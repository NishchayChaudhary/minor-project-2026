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<sst xmlns="http://schemas.openxmlformats.org/spreadsheetml/2006/main" count="9399" uniqueCount="91">
  <si>
    <t xml:space="preserve">city</t>
  </si>
  <si>
    <t xml:space="preserve">state</t>
  </si>
  <si>
    <t xml:space="preserve">latitude</t>
  </si>
  <si>
    <t xml:space="preserve">longitude</t>
  </si>
  <si>
    <t xml:space="preserve">date</t>
  </si>
  <si>
    <t xml:space="preserve">time</t>
  </si>
  <si>
    <t xml:space="preserve">month</t>
  </si>
  <si>
    <t xml:space="preserve">day_name</t>
  </si>
  <si>
    <t xml:space="preserve">is_weekend</t>
  </si>
  <si>
    <t xml:space="preserve">season</t>
  </si>
  <si>
    <t xml:space="preserve">time_of_day</t>
  </si>
  <si>
    <t xml:space="preserve">humidity_percent</t>
  </si>
  <si>
    <t xml:space="preserve">dew_point_c</t>
  </si>
  <si>
    <t xml:space="preserve">wind_gusts_kmh</t>
  </si>
  <si>
    <t xml:space="preserve">precipitation_mm</t>
  </si>
  <si>
    <t xml:space="preserve">is_raining</t>
  </si>
  <si>
    <t xml:space="preserve">heavy_rain</t>
  </si>
  <si>
    <t xml:space="preserve">pressure_msl_hpa</t>
  </si>
  <si>
    <t xml:space="preserve">cloud_cover_percent</t>
  </si>
  <si>
    <t xml:space="preserve">pm2_5_ugm3</t>
  </si>
  <si>
    <t xml:space="preserve">pm10_ugm3</t>
  </si>
  <si>
    <t xml:space="preserve">co_ugm3</t>
  </si>
  <si>
    <t xml:space="preserve">no2_ugm3</t>
  </si>
  <si>
    <t xml:space="preserve">so2_ugm3</t>
  </si>
  <si>
    <t xml:space="preserve">o3_ugm3</t>
  </si>
  <si>
    <t xml:space="preserve">dust_ugm3</t>
  </si>
  <si>
    <t xml:space="preserve">aod</t>
  </si>
  <si>
    <t xml:space="preserve">aqi_category</t>
  </si>
  <si>
    <t xml:space="preserve">pm25_category_india</t>
  </si>
  <si>
    <t xml:space="preserve">festival_period</t>
  </si>
  <si>
    <t xml:space="preserve">crop_burning_season</t>
  </si>
  <si>
    <t xml:space="preserve">PM2.5_si</t>
  </si>
  <si>
    <t xml:space="preserve">PM210_si</t>
  </si>
  <si>
    <t xml:space="preserve">CO_si</t>
  </si>
  <si>
    <t xml:space="preserve">NO2_si</t>
  </si>
  <si>
    <t xml:space="preserve">SO2_si</t>
  </si>
  <si>
    <t xml:space="preserve">O3_si</t>
  </si>
  <si>
    <t xml:space="preserve">AQI</t>
  </si>
  <si>
    <t xml:space="preserve">AQI_Category</t>
  </si>
  <si>
    <t xml:space="preserve">gurugram</t>
  </si>
  <si>
    <t xml:space="preserve">haryana</t>
  </si>
  <si>
    <t xml:space="preserve">00:00:00</t>
  </si>
  <si>
    <t xml:space="preserve">monday</t>
  </si>
  <si>
    <t xml:space="preserve">False</t>
  </si>
  <si>
    <t xml:space="preserve">monsoon</t>
  </si>
  <si>
    <t xml:space="preserve">night</t>
  </si>
  <si>
    <t xml:space="preserve">True</t>
  </si>
  <si>
    <t xml:space="preserve">Moderate</t>
  </si>
  <si>
    <t xml:space="preserve">satisfactory</t>
  </si>
  <si>
    <t xml:space="preserve">01:00:00</t>
  </si>
  <si>
    <t xml:space="preserve">good</t>
  </si>
  <si>
    <t xml:space="preserve">02:00:00</t>
  </si>
  <si>
    <t xml:space="preserve">03:00:00</t>
  </si>
  <si>
    <t xml:space="preserve">04:00:00</t>
  </si>
  <si>
    <t xml:space="preserve">05:00:00</t>
  </si>
  <si>
    <t xml:space="preserve">06:00:00</t>
  </si>
  <si>
    <t xml:space="preserve">early_morning</t>
  </si>
  <si>
    <t xml:space="preserve">07:00:00</t>
  </si>
  <si>
    <t xml:space="preserve">08:00:00</t>
  </si>
  <si>
    <t xml:space="preserve">09:00:00</t>
  </si>
  <si>
    <t xml:space="preserve">morning</t>
  </si>
  <si>
    <t xml:space="preserve">10:00:00</t>
  </si>
  <si>
    <t xml:space="preserve">11:00:00</t>
  </si>
  <si>
    <t xml:space="preserve">12:00:00</t>
  </si>
  <si>
    <t xml:space="preserve">13:00:00</t>
  </si>
  <si>
    <t xml:space="preserve">afternoon</t>
  </si>
  <si>
    <t xml:space="preserve">14:00:00</t>
  </si>
  <si>
    <t xml:space="preserve">15:00:00</t>
  </si>
  <si>
    <t xml:space="preserve">16:00:00</t>
  </si>
  <si>
    <t xml:space="preserve">17:00:00</t>
  </si>
  <si>
    <t xml:space="preserve">18:00:00</t>
  </si>
  <si>
    <t xml:space="preserve">evening</t>
  </si>
  <si>
    <t xml:space="preserve">19:00:00</t>
  </si>
  <si>
    <t xml:space="preserve">20:00:00</t>
  </si>
  <si>
    <t xml:space="preserve">21:00:00</t>
  </si>
  <si>
    <t xml:space="preserve">night_late</t>
  </si>
  <si>
    <t xml:space="preserve">22:00:00</t>
  </si>
  <si>
    <t xml:space="preserve">23:00:00</t>
  </si>
  <si>
    <t xml:space="preserve">tuesday</t>
  </si>
  <si>
    <t xml:space="preserve">wednesday</t>
  </si>
  <si>
    <t xml:space="preserve">thursday</t>
  </si>
  <si>
    <t xml:space="preserve">Unhealthy</t>
  </si>
  <si>
    <t xml:space="preserve">for</t>
  </si>
  <si>
    <t xml:space="preserve">Sensitive</t>
  </si>
  <si>
    <t xml:space="preserve">Groups</t>
  </si>
  <si>
    <t xml:space="preserve">friday</t>
  </si>
  <si>
    <t xml:space="preserve">saturday</t>
  </si>
  <si>
    <t xml:space="preserve">sunday</t>
  </si>
  <si>
    <t xml:space="preserve">moderate</t>
  </si>
  <si>
    <t xml:space="preserve">Very</t>
  </si>
  <si>
    <t xml:space="preserve">poor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</si>
</sst>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21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AN717" activeCellId="0" sqref="AN7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88"/>
    <col collapsed="false" customWidth="true" hidden="false" outlineLevel="0" max="5" min="5" style="1" width="12.79"/>
    <col collapsed="false" customWidth="true" hidden="false" outlineLevel="0" max="30" min="30" style="0" width="20.03"/>
    <col collapsed="false" customWidth="true" hidden="false" outlineLevel="0" max="31" min="31" style="0" width="24.9"/>
    <col collapsed="false" customWidth="true" hidden="false" outlineLevel="0" max="32" min="32" style="0" width="16.42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4" t="s">
        <v>38</v>
      </c>
    </row>
    <row r="2" customFormat="false" ht="15.75" hidden="false" customHeight="false" outlineLevel="0" collapsed="false">
      <c r="A2" s="1" t="s">
        <v>39</v>
      </c>
      <c r="B2" s="1" t="s">
        <v>40</v>
      </c>
      <c r="C2" s="1" t="n">
        <v>28.4595</v>
      </c>
      <c r="D2" s="1" t="n">
        <v>77.0266</v>
      </c>
      <c r="E2" s="5" t="n">
        <v>45901</v>
      </c>
      <c r="F2" s="6" t="s">
        <v>41</v>
      </c>
      <c r="G2" s="1" t="n">
        <v>9</v>
      </c>
      <c r="H2" s="7" t="s">
        <v>42</v>
      </c>
      <c r="I2" s="6" t="s">
        <v>43</v>
      </c>
      <c r="J2" s="7" t="s">
        <v>44</v>
      </c>
      <c r="K2" s="7" t="s">
        <v>45</v>
      </c>
      <c r="L2" s="1" t="n">
        <v>97</v>
      </c>
      <c r="M2" s="1" t="n">
        <v>24.9</v>
      </c>
      <c r="N2" s="1" t="n">
        <v>21.6</v>
      </c>
      <c r="O2" s="1" t="n">
        <v>0.1</v>
      </c>
      <c r="P2" s="6" t="s">
        <v>46</v>
      </c>
      <c r="Q2" s="6" t="s">
        <v>43</v>
      </c>
      <c r="R2" s="1" t="n">
        <v>1001.2</v>
      </c>
      <c r="S2" s="1" t="n">
        <v>100</v>
      </c>
      <c r="T2" s="1" t="n">
        <v>31</v>
      </c>
      <c r="U2" s="1" t="n">
        <v>31</v>
      </c>
      <c r="V2" s="1" t="n">
        <v>439</v>
      </c>
      <c r="W2" s="1" t="n">
        <v>27.7</v>
      </c>
      <c r="X2" s="1" t="n">
        <v>16.8</v>
      </c>
      <c r="Y2" s="1" t="n">
        <v>45</v>
      </c>
      <c r="Z2" s="1" t="n">
        <v>0</v>
      </c>
      <c r="AA2" s="1" t="n">
        <v>94</v>
      </c>
      <c r="AB2" s="7" t="s">
        <v>47</v>
      </c>
      <c r="AC2" s="7" t="s">
        <v>48</v>
      </c>
      <c r="AD2" s="6" t="s">
        <v>43</v>
      </c>
      <c r="AE2" s="6" t="s">
        <v>43</v>
      </c>
      <c r="AF2" s="4" t="n">
        <f aca="false">IF(T2="","",IF(T2&lt;=30,(50/30)*T2,IF(T2&lt;=60,50+((100-50)/(60-30))*(T2-30),IF(T2&lt;=90,100+((200-100)/(90-60))*(T2-60),IF(T2&lt;=120,200+((300-200)/(120-90))*(T2-90),IF(T2&lt;=250,300+((400-300)/(250-120))*(T2-120),IF(T2&lt;=380,400+((500-400)/(380-250))*(T2-250),500)))))))</f>
        <v>51.6666666666667</v>
      </c>
      <c r="AG2" s="4" t="n">
        <f aca="false">IF(U2="","",IF(U2&lt;=50,(50/50)*U2,IF(U2&lt;=100,50+((100-50)/(100-50))*(U2-50),IF(U2&lt;=250,100+((200-100)/(250-100))*(U2-100),IF(U2&lt;=350,200+((300-200)/(350-250))*(U2-250),IF(U2&lt;=430,300+((400-300)/(430-350))*(U2-350),IF(U2&lt;=600,400+((500-400)/(600-430))*(U2-430),500)))))))</f>
        <v>31</v>
      </c>
      <c r="AH2" s="4" t="n">
        <f aca="false">IF(V2="","",IF((V2/1000)&lt;=1,(50/1)*(V2/1000),IF((V2/1000)&lt;=2,50+((100-50)/(2-1))*(V2/1000-1),IF((V2/1000)&lt;=10,100+((200-100)/(10-2))*(V2/1000-2),IF((V2/1000)&lt;=17,200+((300-200)/(17-10))*(V2/1000-10),IF((V2/1000)&lt;=34,300+((400-300)/(34-17))*(V2/1000-17),IF((V2/1000)&lt;=57,400+((500-400)/(57-34))*(V2/1000-34),500)))))))</f>
        <v>21.95</v>
      </c>
      <c r="AI2" s="4" t="n">
        <f aca="false">IF(W2="","",IF(W2&lt;=40,(50/40)*W2,IF(W2&lt;=80,50+((100-50)/(80-40))*(W2-40),IF(W2&lt;=180,100+((200-100)/(180-80))*(W2-80),IF(W2&lt;=280,200+((300-200)/(280-180))*(W2-180),IF(W2&lt;=400,300+((400-300)/(400-280))*(W2-280),IF(W2&lt;=800,400+((500-400)/(800-400))*(W2-400),500)))))))</f>
        <v>34.625</v>
      </c>
      <c r="AJ2" s="4" t="n">
        <f aca="false">IF(X2="","",IF(X2&lt;=40,(50/40)*X2,IF(X2&lt;=80,50+((100-50)/(80-40))*(X2-40),IF(X2&lt;=380,100+((200-100)/(380-80))*(X2-80),IF(X2&lt;=800,200+((300-200)/(800-380))*(X2-380),IF(X2&lt;=1600,300+((400-300)/(1600-800))*(X2-800),IF(X2&lt;=2100,400+((500-400)/(2100-1600))*(X2-1600),500)))))))</f>
        <v>21</v>
      </c>
      <c r="AK2" s="4" t="n">
        <f aca="false">IF(Y2="","",IF(Y2&lt;=50,(50/50)*Y2,IF(Y2&lt;=100,50+((100-50)/(100-50))*(Y2-50),IF(Y2&lt;=168,100+((200-100)/(168-100))*(Y2-100),IF(Y2&lt;=208,200+((300-200)/(208-168))*(Y2-168),IF(Y2&lt;=748,300+((400-300)/(748-208))*(Y2-208),IF(Y2&lt;=1000,400+((500-400)/(1000-748))*(Y2-748),500)))))))</f>
        <v>45</v>
      </c>
      <c r="AL2" s="4" t="n">
        <f aca="false">ROUND(MAX(AF2,AG2,AH2,AI2,AJ2,AK2),0)</f>
        <v>52</v>
      </c>
      <c r="AM2" s="0" t="str">
        <f aca="false">IF(AL2="","",IF(AL2&lt;=50,"Good",IF(AL2&lt;=100,"Satisfactory",IF(AL2&lt;=200,"Moderate",IF(AL2&lt;=300,"Poor",IF(AL2&lt;=400,"Very Poor","Severe"))))))</f>
        <v>Satisfactory</v>
      </c>
    </row>
    <row r="3" customFormat="false" ht="15.75" hidden="false" customHeight="false" outlineLevel="0" collapsed="false">
      <c r="A3" s="1" t="s">
        <v>39</v>
      </c>
      <c r="B3" s="1" t="s">
        <v>40</v>
      </c>
      <c r="C3" s="1" t="n">
        <v>28.4595</v>
      </c>
      <c r="D3" s="1" t="n">
        <v>77.0266</v>
      </c>
      <c r="E3" s="5" t="n">
        <v>45901</v>
      </c>
      <c r="F3" s="6" t="s">
        <v>49</v>
      </c>
      <c r="G3" s="1" t="n">
        <v>9</v>
      </c>
      <c r="H3" s="7" t="s">
        <v>42</v>
      </c>
      <c r="I3" s="6" t="s">
        <v>43</v>
      </c>
      <c r="J3" s="7" t="s">
        <v>44</v>
      </c>
      <c r="K3" s="7" t="s">
        <v>45</v>
      </c>
      <c r="L3" s="1" t="n">
        <v>97</v>
      </c>
      <c r="M3" s="1" t="n">
        <v>24.1</v>
      </c>
      <c r="N3" s="1" t="n">
        <v>23</v>
      </c>
      <c r="O3" s="1" t="n">
        <v>0.5</v>
      </c>
      <c r="P3" s="6" t="s">
        <v>46</v>
      </c>
      <c r="Q3" s="6" t="s">
        <v>43</v>
      </c>
      <c r="R3" s="1" t="n">
        <v>1000.6</v>
      </c>
      <c r="S3" s="1" t="n">
        <v>100</v>
      </c>
      <c r="T3" s="1" t="n">
        <v>25.6</v>
      </c>
      <c r="U3" s="1" t="n">
        <v>25.6</v>
      </c>
      <c r="V3" s="1" t="n">
        <v>339</v>
      </c>
      <c r="W3" s="1" t="n">
        <v>23</v>
      </c>
      <c r="X3" s="1" t="n">
        <v>15.4</v>
      </c>
      <c r="Y3" s="1" t="n">
        <v>48</v>
      </c>
      <c r="Z3" s="1" t="n">
        <v>0</v>
      </c>
      <c r="AA3" s="1" t="n">
        <v>94</v>
      </c>
      <c r="AB3" s="7" t="s">
        <v>47</v>
      </c>
      <c r="AC3" s="7" t="s">
        <v>50</v>
      </c>
      <c r="AD3" s="6" t="s">
        <v>43</v>
      </c>
      <c r="AE3" s="6" t="s">
        <v>43</v>
      </c>
      <c r="AF3" s="4" t="n">
        <f aca="false">IF(T3="","",IF(T3&lt;=30,(50/30)*T3,IF(T3&lt;=60,50+((100-50)/(60-30))*(T3-30),IF(T3&lt;=90,100+((200-100)/(90-60))*(T3-60),IF(T3&lt;=120,200+((300-200)/(120-90))*(T3-90),IF(T3&lt;=250,300+((400-300)/(250-120))*(T3-120),IF(T3&lt;=380,400+((500-400)/(380-250))*(T3-250),500)))))))</f>
        <v>42.6666666666667</v>
      </c>
      <c r="AG3" s="4" t="n">
        <f aca="false">IF(U3="","",IF(U3&lt;=50,(50/50)*U3,IF(U3&lt;=100,50+((100-50)/(100-50))*(U3-50),IF(U3&lt;=250,100+((200-100)/(250-100))*(U3-100),IF(U3&lt;=350,200+((300-200)/(350-250))*(U3-250),IF(U3&lt;=430,300+((400-300)/(430-350))*(U3-350),IF(U3&lt;=600,400+((500-400)/(600-430))*(U3-430),500)))))))</f>
        <v>25.6</v>
      </c>
      <c r="AH3" s="4" t="n">
        <f aca="false">IF(V3="","",IF((V3/1000)&lt;=1,(50/1)*(V3/1000),IF((V3/1000)&lt;=2,50+((100-50)/(2-1))*(V3/1000-1),IF((V3/1000)&lt;=10,100+((200-100)/(10-2))*(V3/1000-2),IF((V3/1000)&lt;=17,200+((300-200)/(17-10))*(V3/1000-10),IF((V3/1000)&lt;=34,300+((400-300)/(34-17))*(V3/1000-17),IF((V3/1000)&lt;=57,400+((500-400)/(57-34))*(V3/1000-34),500)))))))</f>
        <v>16.95</v>
      </c>
      <c r="AI3" s="4" t="n">
        <f aca="false">IF(W3="","",IF(W3&lt;=40,(50/40)*W3,IF(W3&lt;=80,50+((100-50)/(80-40))*(W3-40),IF(W3&lt;=180,100+((200-100)/(180-80))*(W3-80),IF(W3&lt;=280,200+((300-200)/(280-180))*(W3-180),IF(W3&lt;=400,300+((400-300)/(400-280))*(W3-280),IF(W3&lt;=800,400+((500-400)/(800-400))*(W3-400),500)))))))</f>
        <v>28.75</v>
      </c>
      <c r="AJ3" s="4" t="n">
        <f aca="false">IF(X3="","",IF(X3&lt;=40,(50/40)*X3,IF(X3&lt;=80,50+((100-50)/(80-40))*(X3-40),IF(X3&lt;=380,100+((200-100)/(380-80))*(X3-80),IF(X3&lt;=800,200+((300-200)/(800-380))*(X3-380),IF(X3&lt;=1600,300+((400-300)/(1600-800))*(X3-800),IF(X3&lt;=2100,400+((500-400)/(2100-1600))*(X3-1600),500)))))))</f>
        <v>19.25</v>
      </c>
      <c r="AK3" s="4" t="n">
        <f aca="false">IF(Y3="","",IF(Y3&lt;=50,(50/50)*Y3,IF(Y3&lt;=100,50+((100-50)/(100-50))*(Y3-50),IF(Y3&lt;=168,100+((200-100)/(168-100))*(Y3-100),IF(Y3&lt;=208,200+((300-200)/(208-168))*(Y3-168),IF(Y3&lt;=748,300+((400-300)/(748-208))*(Y3-208),IF(Y3&lt;=1000,400+((500-400)/(1000-748))*(Y3-748),500)))))))</f>
        <v>48</v>
      </c>
      <c r="AL3" s="4" t="n">
        <f aca="false">ROUND(MAX(AF3,AG3,AH3,AI3,AJ3,AK3),0)</f>
        <v>48</v>
      </c>
      <c r="AM3" s="4" t="str">
        <f aca="false">IF(AL3="","",IF(AL3&lt;=50,"Good",IF(AL3&lt;=100,"Satisfactory",IF(AL3&lt;=200,"Moderate",IF(AL3&lt;=300,"Poor",IF(AL3&lt;=400,"Very Poor","Severe"))))))</f>
        <v>Good</v>
      </c>
    </row>
    <row r="4" customFormat="false" ht="15.75" hidden="false" customHeight="false" outlineLevel="0" collapsed="false">
      <c r="A4" s="1" t="s">
        <v>39</v>
      </c>
      <c r="B4" s="1" t="s">
        <v>40</v>
      </c>
      <c r="C4" s="1" t="n">
        <v>28.4595</v>
      </c>
      <c r="D4" s="1" t="n">
        <v>77.0266</v>
      </c>
      <c r="E4" s="5" t="n">
        <v>45901</v>
      </c>
      <c r="F4" s="6" t="s">
        <v>51</v>
      </c>
      <c r="G4" s="1" t="n">
        <v>9</v>
      </c>
      <c r="H4" s="7" t="s">
        <v>42</v>
      </c>
      <c r="I4" s="6" t="s">
        <v>43</v>
      </c>
      <c r="J4" s="7" t="s">
        <v>44</v>
      </c>
      <c r="K4" s="7" t="s">
        <v>45</v>
      </c>
      <c r="L4" s="1" t="n">
        <v>97</v>
      </c>
      <c r="M4" s="1" t="n">
        <v>23.9</v>
      </c>
      <c r="N4" s="1" t="n">
        <v>20.5</v>
      </c>
      <c r="O4" s="1" t="n">
        <v>0.2</v>
      </c>
      <c r="P4" s="6" t="s">
        <v>46</v>
      </c>
      <c r="Q4" s="6" t="s">
        <v>43</v>
      </c>
      <c r="R4" s="1" t="n">
        <v>1000</v>
      </c>
      <c r="S4" s="1" t="n">
        <v>100</v>
      </c>
      <c r="T4" s="1" t="n">
        <v>22.8</v>
      </c>
      <c r="U4" s="1" t="n">
        <v>22.8</v>
      </c>
      <c r="V4" s="1" t="n">
        <v>274</v>
      </c>
      <c r="W4" s="1" t="n">
        <v>19.6</v>
      </c>
      <c r="X4" s="1" t="n">
        <v>14.2</v>
      </c>
      <c r="Y4" s="1" t="n">
        <v>50</v>
      </c>
      <c r="Z4" s="1" t="n">
        <v>0</v>
      </c>
      <c r="AA4" s="1" t="n">
        <v>94</v>
      </c>
      <c r="AB4" s="7" t="s">
        <v>47</v>
      </c>
      <c r="AC4" s="7" t="s">
        <v>50</v>
      </c>
      <c r="AD4" s="6" t="s">
        <v>43</v>
      </c>
      <c r="AE4" s="6" t="s">
        <v>43</v>
      </c>
      <c r="AF4" s="4" t="n">
        <f aca="false">IF(T4="","",IF(T4&lt;=30,(50/30)*T4,IF(T4&lt;=60,50+((100-50)/(60-30))*(T4-30),IF(T4&lt;=90,100+((200-100)/(90-60))*(T4-60),IF(T4&lt;=120,200+((300-200)/(120-90))*(T4-90),IF(T4&lt;=250,300+((400-300)/(250-120))*(T4-120),IF(T4&lt;=380,400+((500-400)/(380-250))*(T4-250),500)))))))</f>
        <v>38</v>
      </c>
      <c r="AG4" s="4" t="n">
        <f aca="false">IF(U4="","",IF(U4&lt;=50,(50/50)*U4,IF(U4&lt;=100,50+((100-50)/(100-50))*(U4-50),IF(U4&lt;=250,100+((200-100)/(250-100))*(U4-100),IF(U4&lt;=350,200+((300-200)/(350-250))*(U4-250),IF(U4&lt;=430,300+((400-300)/(430-350))*(U4-350),IF(U4&lt;=600,400+((500-400)/(600-430))*(U4-430),500)))))))</f>
        <v>22.8</v>
      </c>
      <c r="AH4" s="4" t="n">
        <f aca="false">IF(V4="","",IF((V4/1000)&lt;=1,(50/1)*(V4/1000),IF((V4/1000)&lt;=2,50+((100-50)/(2-1))*(V4/1000-1),IF((V4/1000)&lt;=10,100+((200-100)/(10-2))*(V4/1000-2),IF((V4/1000)&lt;=17,200+((300-200)/(17-10))*(V4/1000-10),IF((V4/1000)&lt;=34,300+((400-300)/(34-17))*(V4/1000-17),IF((V4/1000)&lt;=57,400+((500-400)/(57-34))*(V4/1000-34),500)))))))</f>
        <v>13.7</v>
      </c>
      <c r="AI4" s="4" t="n">
        <f aca="false">IF(W4="","",IF(W4&lt;=40,(50/40)*W4,IF(W4&lt;=80,50+((100-50)/(80-40))*(W4-40),IF(W4&lt;=180,100+((200-100)/(180-80))*(W4-80),IF(W4&lt;=280,200+((300-200)/(280-180))*(W4-180),IF(W4&lt;=400,300+((400-300)/(400-280))*(W4-280),IF(W4&lt;=800,400+((500-400)/(800-400))*(W4-400),500)))))))</f>
        <v>24.5</v>
      </c>
      <c r="AJ4" s="4" t="n">
        <f aca="false">IF(X4="","",IF(X4&lt;=40,(50/40)*X4,IF(X4&lt;=80,50+((100-50)/(80-40))*(X4-40),IF(X4&lt;=380,100+((200-100)/(380-80))*(X4-80),IF(X4&lt;=800,200+((300-200)/(800-380))*(X4-380),IF(X4&lt;=1600,300+((400-300)/(1600-800))*(X4-800),IF(X4&lt;=2100,400+((500-400)/(2100-1600))*(X4-1600),500)))))))</f>
        <v>17.75</v>
      </c>
      <c r="AK4" s="4" t="n">
        <f aca="false">IF(Y4="","",IF(Y4&lt;=50,(50/50)*Y4,IF(Y4&lt;=100,50+((100-50)/(100-50))*(Y4-50),IF(Y4&lt;=168,100+((200-100)/(168-100))*(Y4-100),IF(Y4&lt;=208,200+((300-200)/(208-168))*(Y4-168),IF(Y4&lt;=748,300+((400-300)/(748-208))*(Y4-208),IF(Y4&lt;=1000,400+((500-400)/(1000-748))*(Y4-748),500)))))))</f>
        <v>50</v>
      </c>
      <c r="AL4" s="4" t="n">
        <f aca="false">ROUND(MAX(AF4,AG4,AH4,AI4,AJ4,AK4),0)</f>
        <v>50</v>
      </c>
      <c r="AM4" s="4" t="str">
        <f aca="false">IF(AL4="","",IF(AL4&lt;=50,"Good",IF(AL4&lt;=100,"Satisfactory",IF(AL4&lt;=200,"Moderate",IF(AL4&lt;=300,"Poor",IF(AL4&lt;=400,"Very Poor","Severe"))))))</f>
        <v>Good</v>
      </c>
    </row>
    <row r="5" customFormat="false" ht="15.75" hidden="false" customHeight="false" outlineLevel="0" collapsed="false">
      <c r="A5" s="1" t="s">
        <v>39</v>
      </c>
      <c r="B5" s="1" t="s">
        <v>40</v>
      </c>
      <c r="C5" s="1" t="n">
        <v>28.4595</v>
      </c>
      <c r="D5" s="1" t="n">
        <v>77.0266</v>
      </c>
      <c r="E5" s="5" t="n">
        <v>45901</v>
      </c>
      <c r="F5" s="6" t="s">
        <v>52</v>
      </c>
      <c r="G5" s="1" t="n">
        <v>9</v>
      </c>
      <c r="H5" s="7" t="s">
        <v>42</v>
      </c>
      <c r="I5" s="6" t="s">
        <v>43</v>
      </c>
      <c r="J5" s="7" t="s">
        <v>44</v>
      </c>
      <c r="K5" s="7" t="s">
        <v>45</v>
      </c>
      <c r="L5" s="1" t="n">
        <v>97</v>
      </c>
      <c r="M5" s="1" t="n">
        <v>23.6</v>
      </c>
      <c r="N5" s="1" t="n">
        <v>28.1</v>
      </c>
      <c r="O5" s="1" t="n">
        <v>0.7</v>
      </c>
      <c r="P5" s="6" t="s">
        <v>46</v>
      </c>
      <c r="Q5" s="6" t="s">
        <v>43</v>
      </c>
      <c r="R5" s="1" t="n">
        <v>999.9</v>
      </c>
      <c r="S5" s="1" t="n">
        <v>100</v>
      </c>
      <c r="T5" s="1" t="n">
        <v>19.6</v>
      </c>
      <c r="U5" s="1" t="n">
        <v>19.6</v>
      </c>
      <c r="V5" s="1" t="n">
        <v>262</v>
      </c>
      <c r="W5" s="1" t="n">
        <v>18.1</v>
      </c>
      <c r="X5" s="1" t="n">
        <v>13.6</v>
      </c>
      <c r="Y5" s="1" t="n">
        <v>50</v>
      </c>
      <c r="Z5" s="1" t="n">
        <v>0</v>
      </c>
      <c r="AA5" s="1" t="n">
        <v>94</v>
      </c>
      <c r="AB5" s="7" t="s">
        <v>47</v>
      </c>
      <c r="AC5" s="7" t="s">
        <v>50</v>
      </c>
      <c r="AD5" s="6" t="s">
        <v>43</v>
      </c>
      <c r="AE5" s="6" t="s">
        <v>43</v>
      </c>
      <c r="AF5" s="4" t="n">
        <f aca="false">IF(T5="","",IF(T5&lt;=30,(50/30)*T5,IF(T5&lt;=60,50+((100-50)/(60-30))*(T5-30),IF(T5&lt;=90,100+((200-100)/(90-60))*(T5-60),IF(T5&lt;=120,200+((300-200)/(120-90))*(T5-90),IF(T5&lt;=250,300+((400-300)/(250-120))*(T5-120),IF(T5&lt;=380,400+((500-400)/(380-250))*(T5-250),500)))))))</f>
        <v>32.6666666666667</v>
      </c>
      <c r="AG5" s="4" t="n">
        <f aca="false">IF(U5="","",IF(U5&lt;=50,(50/50)*U5,IF(U5&lt;=100,50+((100-50)/(100-50))*(U5-50),IF(U5&lt;=250,100+((200-100)/(250-100))*(U5-100),IF(U5&lt;=350,200+((300-200)/(350-250))*(U5-250),IF(U5&lt;=430,300+((400-300)/(430-350))*(U5-350),IF(U5&lt;=600,400+((500-400)/(600-430))*(U5-430),500)))))))</f>
        <v>19.6</v>
      </c>
      <c r="AH5" s="4" t="n">
        <f aca="false">IF(V5="","",IF((V5/1000)&lt;=1,(50/1)*(V5/1000),IF((V5/1000)&lt;=2,50+((100-50)/(2-1))*(V5/1000-1),IF((V5/1000)&lt;=10,100+((200-100)/(10-2))*(V5/1000-2),IF((V5/1000)&lt;=17,200+((300-200)/(17-10))*(V5/1000-10),IF((V5/1000)&lt;=34,300+((400-300)/(34-17))*(V5/1000-17),IF((V5/1000)&lt;=57,400+((500-400)/(57-34))*(V5/1000-34),500)))))))</f>
        <v>13.1</v>
      </c>
      <c r="AI5" s="4" t="n">
        <f aca="false">IF(W5="","",IF(W5&lt;=40,(50/40)*W5,IF(W5&lt;=80,50+((100-50)/(80-40))*(W5-40),IF(W5&lt;=180,100+((200-100)/(180-80))*(W5-80),IF(W5&lt;=280,200+((300-200)/(280-180))*(W5-180),IF(W5&lt;=400,300+((400-300)/(400-280))*(W5-280),IF(W5&lt;=800,400+((500-400)/(800-400))*(W5-400),500)))))))</f>
        <v>22.625</v>
      </c>
      <c r="AJ5" s="4" t="n">
        <f aca="false">IF(X5="","",IF(X5&lt;=40,(50/40)*X5,IF(X5&lt;=80,50+((100-50)/(80-40))*(X5-40),IF(X5&lt;=380,100+((200-100)/(380-80))*(X5-80),IF(X5&lt;=800,200+((300-200)/(800-380))*(X5-380),IF(X5&lt;=1600,300+((400-300)/(1600-800))*(X5-800),IF(X5&lt;=2100,400+((500-400)/(2100-1600))*(X5-1600),500)))))))</f>
        <v>17</v>
      </c>
      <c r="AK5" s="4" t="n">
        <f aca="false">IF(Y5="","",IF(Y5&lt;=50,(50/50)*Y5,IF(Y5&lt;=100,50+((100-50)/(100-50))*(Y5-50),IF(Y5&lt;=168,100+((200-100)/(168-100))*(Y5-100),IF(Y5&lt;=208,200+((300-200)/(208-168))*(Y5-168),IF(Y5&lt;=748,300+((400-300)/(748-208))*(Y5-208),IF(Y5&lt;=1000,400+((500-400)/(1000-748))*(Y5-748),500)))))))</f>
        <v>50</v>
      </c>
      <c r="AL5" s="4" t="n">
        <f aca="false">ROUND(MAX(AF5,AG5,AH5,AI5,AJ5,AK5),0)</f>
        <v>50</v>
      </c>
      <c r="AM5" s="4" t="str">
        <f aca="false">IF(AL5="","",IF(AL5&lt;=50,"Good",IF(AL5&lt;=100,"Satisfactory",IF(AL5&lt;=200,"Moderate",IF(AL5&lt;=300,"Poor",IF(AL5&lt;=400,"Very Poor","Severe"))))))</f>
        <v>Good</v>
      </c>
    </row>
    <row r="6" customFormat="false" ht="15.75" hidden="false" customHeight="false" outlineLevel="0" collapsed="false">
      <c r="A6" s="1" t="s">
        <v>39</v>
      </c>
      <c r="B6" s="1" t="s">
        <v>40</v>
      </c>
      <c r="C6" s="1" t="n">
        <v>28.4595</v>
      </c>
      <c r="D6" s="1" t="n">
        <v>77.0266</v>
      </c>
      <c r="E6" s="5" t="n">
        <v>45901</v>
      </c>
      <c r="F6" s="6" t="s">
        <v>53</v>
      </c>
      <c r="G6" s="1" t="n">
        <v>9</v>
      </c>
      <c r="H6" s="7" t="s">
        <v>42</v>
      </c>
      <c r="I6" s="6" t="s">
        <v>43</v>
      </c>
      <c r="J6" s="7" t="s">
        <v>44</v>
      </c>
      <c r="K6" s="7" t="s">
        <v>45</v>
      </c>
      <c r="L6" s="1" t="n">
        <v>97</v>
      </c>
      <c r="M6" s="1" t="n">
        <v>23.3</v>
      </c>
      <c r="N6" s="1" t="n">
        <v>29.9</v>
      </c>
      <c r="O6" s="1" t="n">
        <v>3.3</v>
      </c>
      <c r="P6" s="6" t="s">
        <v>46</v>
      </c>
      <c r="Q6" s="6" t="s">
        <v>43</v>
      </c>
      <c r="R6" s="1" t="n">
        <v>999.7</v>
      </c>
      <c r="S6" s="1" t="n">
        <v>100</v>
      </c>
      <c r="T6" s="1" t="n">
        <v>17.6</v>
      </c>
      <c r="U6" s="1" t="n">
        <v>17.6</v>
      </c>
      <c r="V6" s="1" t="n">
        <v>285</v>
      </c>
      <c r="W6" s="1" t="n">
        <v>17.9</v>
      </c>
      <c r="X6" s="1" t="n">
        <v>13.2</v>
      </c>
      <c r="Y6" s="1" t="n">
        <v>50</v>
      </c>
      <c r="Z6" s="1" t="n">
        <v>0</v>
      </c>
      <c r="AA6" s="1" t="n">
        <v>93</v>
      </c>
      <c r="AB6" s="7" t="s">
        <v>47</v>
      </c>
      <c r="AC6" s="7" t="s">
        <v>50</v>
      </c>
      <c r="AD6" s="6" t="s">
        <v>43</v>
      </c>
      <c r="AE6" s="6" t="s">
        <v>43</v>
      </c>
      <c r="AF6" s="4" t="n">
        <f aca="false">IF(T6="","",IF(T6&lt;=30,(50/30)*T6,IF(T6&lt;=60,50+((100-50)/(60-30))*(T6-30),IF(T6&lt;=90,100+((200-100)/(90-60))*(T6-60),IF(T6&lt;=120,200+((300-200)/(120-90))*(T6-90),IF(T6&lt;=250,300+((400-300)/(250-120))*(T6-120),IF(T6&lt;=380,400+((500-400)/(380-250))*(T6-250),500)))))))</f>
        <v>29.3333333333333</v>
      </c>
      <c r="AG6" s="4" t="n">
        <f aca="false">IF(U6="","",IF(U6&lt;=50,(50/50)*U6,IF(U6&lt;=100,50+((100-50)/(100-50))*(U6-50),IF(U6&lt;=250,100+((200-100)/(250-100))*(U6-100),IF(U6&lt;=350,200+((300-200)/(350-250))*(U6-250),IF(U6&lt;=430,300+((400-300)/(430-350))*(U6-350),IF(U6&lt;=600,400+((500-400)/(600-430))*(U6-430),500)))))))</f>
        <v>17.6</v>
      </c>
      <c r="AH6" s="4" t="n">
        <f aca="false">IF(V6="","",IF((V6/1000)&lt;=1,(50/1)*(V6/1000),IF((V6/1000)&lt;=2,50+((100-50)/(2-1))*(V6/1000-1),IF((V6/1000)&lt;=10,100+((200-100)/(10-2))*(V6/1000-2),IF((V6/1000)&lt;=17,200+((300-200)/(17-10))*(V6/1000-10),IF((V6/1000)&lt;=34,300+((400-300)/(34-17))*(V6/1000-17),IF((V6/1000)&lt;=57,400+((500-400)/(57-34))*(V6/1000-34),500)))))))</f>
        <v>14.25</v>
      </c>
      <c r="AI6" s="4" t="n">
        <f aca="false">IF(W6="","",IF(W6&lt;=40,(50/40)*W6,IF(W6&lt;=80,50+((100-50)/(80-40))*(W6-40),IF(W6&lt;=180,100+((200-100)/(180-80))*(W6-80),IF(W6&lt;=280,200+((300-200)/(280-180))*(W6-180),IF(W6&lt;=400,300+((400-300)/(400-280))*(W6-280),IF(W6&lt;=800,400+((500-400)/(800-400))*(W6-400),500)))))))</f>
        <v>22.375</v>
      </c>
      <c r="AJ6" s="4" t="n">
        <f aca="false">IF(X6="","",IF(X6&lt;=40,(50/40)*X6,IF(X6&lt;=80,50+((100-50)/(80-40))*(X6-40),IF(X6&lt;=380,100+((200-100)/(380-80))*(X6-80),IF(X6&lt;=800,200+((300-200)/(800-380))*(X6-380),IF(X6&lt;=1600,300+((400-300)/(1600-800))*(X6-800),IF(X6&lt;=2100,400+((500-400)/(2100-1600))*(X6-1600),500)))))))</f>
        <v>16.5</v>
      </c>
      <c r="AK6" s="4" t="n">
        <f aca="false">IF(Y6="","",IF(Y6&lt;=50,(50/50)*Y6,IF(Y6&lt;=100,50+((100-50)/(100-50))*(Y6-50),IF(Y6&lt;=168,100+((200-100)/(168-100))*(Y6-100),IF(Y6&lt;=208,200+((300-200)/(208-168))*(Y6-168),IF(Y6&lt;=748,300+((400-300)/(748-208))*(Y6-208),IF(Y6&lt;=1000,400+((500-400)/(1000-748))*(Y6-748),500)))))))</f>
        <v>50</v>
      </c>
      <c r="AL6" s="4" t="n">
        <f aca="false">ROUND(MAX(AF6,AG6,AH6,AI6,AJ6,AK6),0)</f>
        <v>50</v>
      </c>
      <c r="AM6" s="4" t="str">
        <f aca="false">IF(AL6="","",IF(AL6&lt;=50,"Good",IF(AL6&lt;=100,"Satisfactory",IF(AL6&lt;=200,"Moderate",IF(AL6&lt;=300,"Poor",IF(AL6&lt;=400,"Very Poor","Severe"))))))</f>
        <v>Good</v>
      </c>
    </row>
    <row r="7" customFormat="false" ht="15.75" hidden="false" customHeight="false" outlineLevel="0" collapsed="false">
      <c r="A7" s="1" t="s">
        <v>39</v>
      </c>
      <c r="B7" s="1" t="s">
        <v>40</v>
      </c>
      <c r="C7" s="1" t="n">
        <v>28.4595</v>
      </c>
      <c r="D7" s="1" t="n">
        <v>77.0266</v>
      </c>
      <c r="E7" s="5" t="n">
        <v>45901</v>
      </c>
      <c r="F7" s="6" t="s">
        <v>54</v>
      </c>
      <c r="G7" s="1" t="n">
        <v>9</v>
      </c>
      <c r="H7" s="7" t="s">
        <v>42</v>
      </c>
      <c r="I7" s="6" t="s">
        <v>43</v>
      </c>
      <c r="J7" s="7" t="s">
        <v>44</v>
      </c>
      <c r="K7" s="7" t="s">
        <v>45</v>
      </c>
      <c r="L7" s="1" t="n">
        <v>98</v>
      </c>
      <c r="M7" s="1" t="n">
        <v>23.5</v>
      </c>
      <c r="N7" s="1" t="n">
        <v>23.4</v>
      </c>
      <c r="O7" s="1" t="n">
        <v>2</v>
      </c>
      <c r="P7" s="6" t="s">
        <v>46</v>
      </c>
      <c r="Q7" s="6" t="s">
        <v>43</v>
      </c>
      <c r="R7" s="1" t="n">
        <v>999.7</v>
      </c>
      <c r="S7" s="1" t="n">
        <v>100</v>
      </c>
      <c r="T7" s="1" t="n">
        <v>25.1</v>
      </c>
      <c r="U7" s="1" t="n">
        <v>25.1</v>
      </c>
      <c r="V7" s="1" t="n">
        <v>320</v>
      </c>
      <c r="W7" s="1" t="n">
        <v>23.7</v>
      </c>
      <c r="X7" s="1" t="n">
        <v>13.7</v>
      </c>
      <c r="Y7" s="1" t="n">
        <v>37</v>
      </c>
      <c r="Z7" s="1" t="n">
        <v>0</v>
      </c>
      <c r="AA7" s="1" t="n">
        <v>92</v>
      </c>
      <c r="AB7" s="7" t="s">
        <v>47</v>
      </c>
      <c r="AC7" s="7" t="s">
        <v>50</v>
      </c>
      <c r="AD7" s="6" t="s">
        <v>43</v>
      </c>
      <c r="AE7" s="6" t="s">
        <v>43</v>
      </c>
      <c r="AF7" s="4" t="n">
        <f aca="false">IF(T7="","",IF(T7&lt;=30,(50/30)*T7,IF(T7&lt;=60,50+((100-50)/(60-30))*(T7-30),IF(T7&lt;=90,100+((200-100)/(90-60))*(T7-60),IF(T7&lt;=120,200+((300-200)/(120-90))*(T7-90),IF(T7&lt;=250,300+((400-300)/(250-120))*(T7-120),IF(T7&lt;=380,400+((500-400)/(380-250))*(T7-250),500)))))))</f>
        <v>41.8333333333333</v>
      </c>
      <c r="AG7" s="4" t="n">
        <f aca="false">IF(U7="","",IF(U7&lt;=50,(50/50)*U7,IF(U7&lt;=100,50+((100-50)/(100-50))*(U7-50),IF(U7&lt;=250,100+((200-100)/(250-100))*(U7-100),IF(U7&lt;=350,200+((300-200)/(350-250))*(U7-250),IF(U7&lt;=430,300+((400-300)/(430-350))*(U7-350),IF(U7&lt;=600,400+((500-400)/(600-430))*(U7-430),500)))))))</f>
        <v>25.1</v>
      </c>
      <c r="AH7" s="4" t="n">
        <f aca="false">IF(V7="","",IF((V7/1000)&lt;=1,(50/1)*(V7/1000),IF((V7/1000)&lt;=2,50+((100-50)/(2-1))*(V7/1000-1),IF((V7/1000)&lt;=10,100+((200-100)/(10-2))*(V7/1000-2),IF((V7/1000)&lt;=17,200+((300-200)/(17-10))*(V7/1000-10),IF((V7/1000)&lt;=34,300+((400-300)/(34-17))*(V7/1000-17),IF((V7/1000)&lt;=57,400+((500-400)/(57-34))*(V7/1000-34),500)))))))</f>
        <v>16</v>
      </c>
      <c r="AI7" s="4" t="n">
        <f aca="false">IF(W7="","",IF(W7&lt;=40,(50/40)*W7,IF(W7&lt;=80,50+((100-50)/(80-40))*(W7-40),IF(W7&lt;=180,100+((200-100)/(180-80))*(W7-80),IF(W7&lt;=280,200+((300-200)/(280-180))*(W7-180),IF(W7&lt;=400,300+((400-300)/(400-280))*(W7-280),IF(W7&lt;=800,400+((500-400)/(800-400))*(W7-400),500)))))))</f>
        <v>29.625</v>
      </c>
      <c r="AJ7" s="4" t="n">
        <f aca="false">IF(X7="","",IF(X7&lt;=40,(50/40)*X7,IF(X7&lt;=80,50+((100-50)/(80-40))*(X7-40),IF(X7&lt;=380,100+((200-100)/(380-80))*(X7-80),IF(X7&lt;=800,200+((300-200)/(800-380))*(X7-380),IF(X7&lt;=1600,300+((400-300)/(1600-800))*(X7-800),IF(X7&lt;=2100,400+((500-400)/(2100-1600))*(X7-1600),500)))))))</f>
        <v>17.125</v>
      </c>
      <c r="AK7" s="4" t="n">
        <f aca="false">IF(Y7="","",IF(Y7&lt;=50,(50/50)*Y7,IF(Y7&lt;=100,50+((100-50)/(100-50))*(Y7-50),IF(Y7&lt;=168,100+((200-100)/(168-100))*(Y7-100),IF(Y7&lt;=208,200+((300-200)/(208-168))*(Y7-168),IF(Y7&lt;=748,300+((400-300)/(748-208))*(Y7-208),IF(Y7&lt;=1000,400+((500-400)/(1000-748))*(Y7-748),500)))))))</f>
        <v>37</v>
      </c>
      <c r="AL7" s="4" t="n">
        <f aca="false">ROUND(MAX(AF7,AG7,AH7,AI7,AJ7,AK7),0)</f>
        <v>42</v>
      </c>
      <c r="AM7" s="4" t="str">
        <f aca="false">IF(AL7="","",IF(AL7&lt;=50,"Good",IF(AL7&lt;=100,"Satisfactory",IF(AL7&lt;=200,"Moderate",IF(AL7&lt;=300,"Poor",IF(AL7&lt;=400,"Very Poor","Severe"))))))</f>
        <v>Good</v>
      </c>
    </row>
    <row r="8" customFormat="false" ht="15.75" hidden="false" customHeight="false" outlineLevel="0" collapsed="false">
      <c r="A8" s="1" t="s">
        <v>39</v>
      </c>
      <c r="B8" s="1" t="s">
        <v>40</v>
      </c>
      <c r="C8" s="1" t="n">
        <v>28.4595</v>
      </c>
      <c r="D8" s="1" t="n">
        <v>77.0266</v>
      </c>
      <c r="E8" s="5" t="n">
        <v>45901</v>
      </c>
      <c r="F8" s="6" t="s">
        <v>55</v>
      </c>
      <c r="G8" s="1" t="n">
        <v>9</v>
      </c>
      <c r="H8" s="7" t="s">
        <v>42</v>
      </c>
      <c r="I8" s="6" t="s">
        <v>43</v>
      </c>
      <c r="J8" s="7" t="s">
        <v>44</v>
      </c>
      <c r="K8" s="7" t="s">
        <v>56</v>
      </c>
      <c r="L8" s="1" t="n">
        <v>97</v>
      </c>
      <c r="M8" s="1" t="n">
        <v>24.4</v>
      </c>
      <c r="N8" s="1" t="n">
        <v>14.4</v>
      </c>
      <c r="O8" s="1" t="n">
        <v>0</v>
      </c>
      <c r="P8" s="6" t="s">
        <v>43</v>
      </c>
      <c r="Q8" s="6" t="s">
        <v>43</v>
      </c>
      <c r="R8" s="1" t="n">
        <v>999.6</v>
      </c>
      <c r="S8" s="1" t="n">
        <v>100</v>
      </c>
      <c r="T8" s="1" t="n">
        <v>23.9</v>
      </c>
      <c r="U8" s="1" t="n">
        <v>23.9</v>
      </c>
      <c r="V8" s="1" t="n">
        <v>376</v>
      </c>
      <c r="W8" s="1" t="n">
        <v>23.5</v>
      </c>
      <c r="X8" s="1" t="n">
        <v>13.7</v>
      </c>
      <c r="Y8" s="1" t="n">
        <v>42</v>
      </c>
      <c r="Z8" s="1" t="n">
        <v>0</v>
      </c>
      <c r="AA8" s="1" t="n">
        <v>91</v>
      </c>
      <c r="AB8" s="7" t="s">
        <v>47</v>
      </c>
      <c r="AC8" s="7" t="s">
        <v>50</v>
      </c>
      <c r="AD8" s="6" t="s">
        <v>43</v>
      </c>
      <c r="AE8" s="6" t="s">
        <v>43</v>
      </c>
      <c r="AF8" s="4" t="n">
        <f aca="false">IF(T8="","",IF(T8&lt;=30,(50/30)*T8,IF(T8&lt;=60,50+((100-50)/(60-30))*(T8-30),IF(T8&lt;=90,100+((200-100)/(90-60))*(T8-60),IF(T8&lt;=120,200+((300-200)/(120-90))*(T8-90),IF(T8&lt;=250,300+((400-300)/(250-120))*(T8-120),IF(T8&lt;=380,400+((500-400)/(380-250))*(T8-250),500)))))))</f>
        <v>39.8333333333333</v>
      </c>
      <c r="AG8" s="4" t="n">
        <f aca="false">IF(U8="","",IF(U8&lt;=50,(50/50)*U8,IF(U8&lt;=100,50+((100-50)/(100-50))*(U8-50),IF(U8&lt;=250,100+((200-100)/(250-100))*(U8-100),IF(U8&lt;=350,200+((300-200)/(350-250))*(U8-250),IF(U8&lt;=430,300+((400-300)/(430-350))*(U8-350),IF(U8&lt;=600,400+((500-400)/(600-430))*(U8-430),500)))))))</f>
        <v>23.9</v>
      </c>
      <c r="AH8" s="4" t="n">
        <f aca="false">IF(V8="","",IF((V8/1000)&lt;=1,(50/1)*(V8/1000),IF((V8/1000)&lt;=2,50+((100-50)/(2-1))*(V8/1000-1),IF((V8/1000)&lt;=10,100+((200-100)/(10-2))*(V8/1000-2),IF((V8/1000)&lt;=17,200+((300-200)/(17-10))*(V8/1000-10),IF((V8/1000)&lt;=34,300+((400-300)/(34-17))*(V8/1000-17),IF((V8/1000)&lt;=57,400+((500-400)/(57-34))*(V8/1000-34),500)))))))</f>
        <v>18.8</v>
      </c>
      <c r="AI8" s="4" t="n">
        <f aca="false">IF(W8="","",IF(W8&lt;=40,(50/40)*W8,IF(W8&lt;=80,50+((100-50)/(80-40))*(W8-40),IF(W8&lt;=180,100+((200-100)/(180-80))*(W8-80),IF(W8&lt;=280,200+((300-200)/(280-180))*(W8-180),IF(W8&lt;=400,300+((400-300)/(400-280))*(W8-280),IF(W8&lt;=800,400+((500-400)/(800-400))*(W8-400),500)))))))</f>
        <v>29.375</v>
      </c>
      <c r="AJ8" s="4" t="n">
        <f aca="false">IF(X8="","",IF(X8&lt;=40,(50/40)*X8,IF(X8&lt;=80,50+((100-50)/(80-40))*(X8-40),IF(X8&lt;=380,100+((200-100)/(380-80))*(X8-80),IF(X8&lt;=800,200+((300-200)/(800-380))*(X8-380),IF(X8&lt;=1600,300+((400-300)/(1600-800))*(X8-800),IF(X8&lt;=2100,400+((500-400)/(2100-1600))*(X8-1600),500)))))))</f>
        <v>17.125</v>
      </c>
      <c r="AK8" s="4" t="n">
        <f aca="false">IF(Y8="","",IF(Y8&lt;=50,(50/50)*Y8,IF(Y8&lt;=100,50+((100-50)/(100-50))*(Y8-50),IF(Y8&lt;=168,100+((200-100)/(168-100))*(Y8-100),IF(Y8&lt;=208,200+((300-200)/(208-168))*(Y8-168),IF(Y8&lt;=748,300+((400-300)/(748-208))*(Y8-208),IF(Y8&lt;=1000,400+((500-400)/(1000-748))*(Y8-748),500)))))))</f>
        <v>42</v>
      </c>
      <c r="AL8" s="4" t="n">
        <f aca="false">ROUND(MAX(AF8,AG8,AH8,AI8,AJ8,AK8),0)</f>
        <v>42</v>
      </c>
      <c r="AM8" s="4" t="str">
        <f aca="false">IF(AL8="","",IF(AL8&lt;=50,"Good",IF(AL8&lt;=100,"Satisfactory",IF(AL8&lt;=200,"Moderate",IF(AL8&lt;=300,"Poor",IF(AL8&lt;=400,"Very Poor","Severe"))))))</f>
        <v>Good</v>
      </c>
    </row>
    <row r="9" customFormat="false" ht="15.75" hidden="false" customHeight="false" outlineLevel="0" collapsed="false">
      <c r="A9" s="1" t="s">
        <v>39</v>
      </c>
      <c r="B9" s="1" t="s">
        <v>40</v>
      </c>
      <c r="C9" s="1" t="n">
        <v>28.4595</v>
      </c>
      <c r="D9" s="1" t="n">
        <v>77.0266</v>
      </c>
      <c r="E9" s="5" t="n">
        <v>45901</v>
      </c>
      <c r="F9" s="6" t="s">
        <v>57</v>
      </c>
      <c r="G9" s="1" t="n">
        <v>9</v>
      </c>
      <c r="H9" s="7" t="s">
        <v>42</v>
      </c>
      <c r="I9" s="6" t="s">
        <v>43</v>
      </c>
      <c r="J9" s="7" t="s">
        <v>44</v>
      </c>
      <c r="K9" s="7" t="s">
        <v>56</v>
      </c>
      <c r="L9" s="1" t="n">
        <v>94</v>
      </c>
      <c r="M9" s="1" t="n">
        <v>24.3</v>
      </c>
      <c r="N9" s="1" t="n">
        <v>20.5</v>
      </c>
      <c r="O9" s="1" t="n">
        <v>0.2</v>
      </c>
      <c r="P9" s="6" t="s">
        <v>46</v>
      </c>
      <c r="Q9" s="6" t="s">
        <v>43</v>
      </c>
      <c r="R9" s="1" t="n">
        <v>1000</v>
      </c>
      <c r="S9" s="1" t="n">
        <v>100</v>
      </c>
      <c r="T9" s="1" t="n">
        <v>21.2</v>
      </c>
      <c r="U9" s="1" t="n">
        <v>21.2</v>
      </c>
      <c r="V9" s="1" t="n">
        <v>446</v>
      </c>
      <c r="W9" s="1" t="n">
        <v>23.1</v>
      </c>
      <c r="X9" s="1" t="n">
        <v>13.7</v>
      </c>
      <c r="Y9" s="1" t="n">
        <v>50</v>
      </c>
      <c r="Z9" s="1" t="n">
        <v>0</v>
      </c>
      <c r="AA9" s="1" t="n">
        <v>89</v>
      </c>
      <c r="AB9" s="7" t="s">
        <v>47</v>
      </c>
      <c r="AC9" s="7" t="s">
        <v>50</v>
      </c>
      <c r="AD9" s="6" t="s">
        <v>43</v>
      </c>
      <c r="AE9" s="6" t="s">
        <v>43</v>
      </c>
      <c r="AF9" s="4" t="n">
        <f aca="false">IF(T9="","",IF(T9&lt;=30,(50/30)*T9,IF(T9&lt;=60,50+((100-50)/(60-30))*(T9-30),IF(T9&lt;=90,100+((200-100)/(90-60))*(T9-60),IF(T9&lt;=120,200+((300-200)/(120-90))*(T9-90),IF(T9&lt;=250,300+((400-300)/(250-120))*(T9-120),IF(T9&lt;=380,400+((500-400)/(380-250))*(T9-250),500)))))))</f>
        <v>35.3333333333333</v>
      </c>
      <c r="AG9" s="4" t="n">
        <f aca="false">IF(U9="","",IF(U9&lt;=50,(50/50)*U9,IF(U9&lt;=100,50+((100-50)/(100-50))*(U9-50),IF(U9&lt;=250,100+((200-100)/(250-100))*(U9-100),IF(U9&lt;=350,200+((300-200)/(350-250))*(U9-250),IF(U9&lt;=430,300+((400-300)/(430-350))*(U9-350),IF(U9&lt;=600,400+((500-400)/(600-430))*(U9-430),500)))))))</f>
        <v>21.2</v>
      </c>
      <c r="AH9" s="4" t="n">
        <f aca="false">IF(V9="","",IF((V9/1000)&lt;=1,(50/1)*(V9/1000),IF((V9/1000)&lt;=2,50+((100-50)/(2-1))*(V9/1000-1),IF((V9/1000)&lt;=10,100+((200-100)/(10-2))*(V9/1000-2),IF((V9/1000)&lt;=17,200+((300-200)/(17-10))*(V9/1000-10),IF((V9/1000)&lt;=34,300+((400-300)/(34-17))*(V9/1000-17),IF((V9/1000)&lt;=57,400+((500-400)/(57-34))*(V9/1000-34),500)))))))</f>
        <v>22.3</v>
      </c>
      <c r="AI9" s="4" t="n">
        <f aca="false">IF(W9="","",IF(W9&lt;=40,(50/40)*W9,IF(W9&lt;=80,50+((100-50)/(80-40))*(W9-40),IF(W9&lt;=180,100+((200-100)/(180-80))*(W9-80),IF(W9&lt;=280,200+((300-200)/(280-180))*(W9-180),IF(W9&lt;=400,300+((400-300)/(400-280))*(W9-280),IF(W9&lt;=800,400+((500-400)/(800-400))*(W9-400),500)))))))</f>
        <v>28.875</v>
      </c>
      <c r="AJ9" s="4" t="n">
        <f aca="false">IF(X9="","",IF(X9&lt;=40,(50/40)*X9,IF(X9&lt;=80,50+((100-50)/(80-40))*(X9-40),IF(X9&lt;=380,100+((200-100)/(380-80))*(X9-80),IF(X9&lt;=800,200+((300-200)/(800-380))*(X9-380),IF(X9&lt;=1600,300+((400-300)/(1600-800))*(X9-800),IF(X9&lt;=2100,400+((500-400)/(2100-1600))*(X9-1600),500)))))))</f>
        <v>17.125</v>
      </c>
      <c r="AK9" s="4" t="n">
        <f aca="false">IF(Y9="","",IF(Y9&lt;=50,(50/50)*Y9,IF(Y9&lt;=100,50+((100-50)/(100-50))*(Y9-50),IF(Y9&lt;=168,100+((200-100)/(168-100))*(Y9-100),IF(Y9&lt;=208,200+((300-200)/(208-168))*(Y9-168),IF(Y9&lt;=748,300+((400-300)/(748-208))*(Y9-208),IF(Y9&lt;=1000,400+((500-400)/(1000-748))*(Y9-748),500)))))))</f>
        <v>50</v>
      </c>
      <c r="AL9" s="4" t="n">
        <f aca="false">ROUND(MAX(AF9,AG9,AH9,AI9,AJ9,AK9),0)</f>
        <v>50</v>
      </c>
      <c r="AM9" s="4" t="str">
        <f aca="false">IF(AL9="","",IF(AL9&lt;=50,"Good",IF(AL9&lt;=100,"Satisfactory",IF(AL9&lt;=200,"Moderate",IF(AL9&lt;=300,"Poor",IF(AL9&lt;=400,"Very Poor","Severe"))))))</f>
        <v>Good</v>
      </c>
    </row>
    <row r="10" customFormat="false" ht="15.75" hidden="false" customHeight="false" outlineLevel="0" collapsed="false">
      <c r="A10" s="1" t="s">
        <v>39</v>
      </c>
      <c r="B10" s="1" t="s">
        <v>40</v>
      </c>
      <c r="C10" s="1" t="n">
        <v>28.4595</v>
      </c>
      <c r="D10" s="1" t="n">
        <v>77.0266</v>
      </c>
      <c r="E10" s="5" t="n">
        <v>45901</v>
      </c>
      <c r="F10" s="6" t="s">
        <v>58</v>
      </c>
      <c r="G10" s="1" t="n">
        <v>9</v>
      </c>
      <c r="H10" s="7" t="s">
        <v>42</v>
      </c>
      <c r="I10" s="6" t="s">
        <v>43</v>
      </c>
      <c r="J10" s="7" t="s">
        <v>44</v>
      </c>
      <c r="K10" s="7" t="s">
        <v>56</v>
      </c>
      <c r="L10" s="1" t="n">
        <v>92</v>
      </c>
      <c r="M10" s="1" t="n">
        <v>24.1</v>
      </c>
      <c r="N10" s="1" t="n">
        <v>23</v>
      </c>
      <c r="O10" s="1" t="n">
        <v>0.1</v>
      </c>
      <c r="P10" s="6" t="s">
        <v>46</v>
      </c>
      <c r="Q10" s="6" t="s">
        <v>43</v>
      </c>
      <c r="R10" s="1" t="n">
        <v>999.8</v>
      </c>
      <c r="S10" s="1" t="n">
        <v>100</v>
      </c>
      <c r="T10" s="1" t="n">
        <v>16.6</v>
      </c>
      <c r="U10" s="1" t="n">
        <v>16.6</v>
      </c>
      <c r="V10" s="1" t="n">
        <v>482</v>
      </c>
      <c r="W10" s="1" t="n">
        <v>21.7</v>
      </c>
      <c r="X10" s="1" t="n">
        <v>13.2</v>
      </c>
      <c r="Y10" s="1" t="n">
        <v>59</v>
      </c>
      <c r="Z10" s="1" t="n">
        <v>0</v>
      </c>
      <c r="AA10" s="1" t="n">
        <v>88</v>
      </c>
      <c r="AB10" s="7" t="s">
        <v>47</v>
      </c>
      <c r="AC10" s="7" t="s">
        <v>50</v>
      </c>
      <c r="AD10" s="6" t="s">
        <v>43</v>
      </c>
      <c r="AE10" s="6" t="s">
        <v>43</v>
      </c>
      <c r="AF10" s="4" t="n">
        <f aca="false">IF(T10="","",IF(T10&lt;=30,(50/30)*T10,IF(T10&lt;=60,50+((100-50)/(60-30))*(T10-30),IF(T10&lt;=90,100+((200-100)/(90-60))*(T10-60),IF(T10&lt;=120,200+((300-200)/(120-90))*(T10-90),IF(T10&lt;=250,300+((400-300)/(250-120))*(T10-120),IF(T10&lt;=380,400+((500-400)/(380-250))*(T10-250),500)))))))</f>
        <v>27.6666666666667</v>
      </c>
      <c r="AG10" s="4" t="n">
        <f aca="false">IF(U10="","",IF(U10&lt;=50,(50/50)*U10,IF(U10&lt;=100,50+((100-50)/(100-50))*(U10-50),IF(U10&lt;=250,100+((200-100)/(250-100))*(U10-100),IF(U10&lt;=350,200+((300-200)/(350-250))*(U10-250),IF(U10&lt;=430,300+((400-300)/(430-350))*(U10-350),IF(U10&lt;=600,400+((500-400)/(600-430))*(U10-430),500)))))))</f>
        <v>16.6</v>
      </c>
      <c r="AH10" s="4" t="n">
        <f aca="false">IF(V10="","",IF((V10/1000)&lt;=1,(50/1)*(V10/1000),IF((V10/1000)&lt;=2,50+((100-50)/(2-1))*(V10/1000-1),IF((V10/1000)&lt;=10,100+((200-100)/(10-2))*(V10/1000-2),IF((V10/1000)&lt;=17,200+((300-200)/(17-10))*(V10/1000-10),IF((V10/1000)&lt;=34,300+((400-300)/(34-17))*(V10/1000-17),IF((V10/1000)&lt;=57,400+((500-400)/(57-34))*(V10/1000-34),500)))))))</f>
        <v>24.1</v>
      </c>
      <c r="AI10" s="4" t="n">
        <f aca="false">IF(W10="","",IF(W10&lt;=40,(50/40)*W10,IF(W10&lt;=80,50+((100-50)/(80-40))*(W10-40),IF(W10&lt;=180,100+((200-100)/(180-80))*(W10-80),IF(W10&lt;=280,200+((300-200)/(280-180))*(W10-180),IF(W10&lt;=400,300+((400-300)/(400-280))*(W10-280),IF(W10&lt;=800,400+((500-400)/(800-400))*(W10-400),500)))))))</f>
        <v>27.125</v>
      </c>
      <c r="AJ10" s="4" t="n">
        <f aca="false">IF(X10="","",IF(X10&lt;=40,(50/40)*X10,IF(X10&lt;=80,50+((100-50)/(80-40))*(X10-40),IF(X10&lt;=380,100+((200-100)/(380-80))*(X10-80),IF(X10&lt;=800,200+((300-200)/(800-380))*(X10-380),IF(X10&lt;=1600,300+((400-300)/(1600-800))*(X10-800),IF(X10&lt;=2100,400+((500-400)/(2100-1600))*(X10-1600),500)))))))</f>
        <v>16.5</v>
      </c>
      <c r="AK10" s="4" t="n">
        <f aca="false">IF(Y10="","",IF(Y10&lt;=50,(50/50)*Y10,IF(Y10&lt;=100,50+((100-50)/(100-50))*(Y10-50),IF(Y10&lt;=168,100+((200-100)/(168-100))*(Y10-100),IF(Y10&lt;=208,200+((300-200)/(208-168))*(Y10-168),IF(Y10&lt;=748,300+((400-300)/(748-208))*(Y10-208),IF(Y10&lt;=1000,400+((500-400)/(1000-748))*(Y10-748),500)))))))</f>
        <v>59</v>
      </c>
      <c r="AL10" s="4" t="n">
        <f aca="false">ROUND(MAX(AF10,AG10,AH10,AI10,AJ10,AK10),0)</f>
        <v>59</v>
      </c>
      <c r="AM10" s="4" t="str">
        <f aca="false">IF(AL10="","",IF(AL10&lt;=50,"Good",IF(AL10&lt;=100,"Satisfactory",IF(AL10&lt;=200,"Moderate",IF(AL10&lt;=300,"Poor",IF(AL10&lt;=400,"Very Poor","Severe"))))))</f>
        <v>Satisfactory</v>
      </c>
    </row>
    <row r="11" customFormat="false" ht="15.75" hidden="false" customHeight="false" outlineLevel="0" collapsed="false">
      <c r="A11" s="1" t="s">
        <v>39</v>
      </c>
      <c r="B11" s="1" t="s">
        <v>40</v>
      </c>
      <c r="C11" s="1" t="n">
        <v>28.4595</v>
      </c>
      <c r="D11" s="1" t="n">
        <v>77.0266</v>
      </c>
      <c r="E11" s="5" t="n">
        <v>45901</v>
      </c>
      <c r="F11" s="6" t="s">
        <v>59</v>
      </c>
      <c r="G11" s="1" t="n">
        <v>9</v>
      </c>
      <c r="H11" s="7" t="s">
        <v>42</v>
      </c>
      <c r="I11" s="6" t="s">
        <v>43</v>
      </c>
      <c r="J11" s="7" t="s">
        <v>44</v>
      </c>
      <c r="K11" s="7" t="s">
        <v>60</v>
      </c>
      <c r="L11" s="1" t="n">
        <v>87</v>
      </c>
      <c r="M11" s="1" t="n">
        <v>24.2</v>
      </c>
      <c r="N11" s="1" t="n">
        <v>24.1</v>
      </c>
      <c r="O11" s="1" t="n">
        <v>0.1</v>
      </c>
      <c r="P11" s="6" t="s">
        <v>46</v>
      </c>
      <c r="Q11" s="6" t="s">
        <v>43</v>
      </c>
      <c r="R11" s="1" t="n">
        <v>1000.1</v>
      </c>
      <c r="S11" s="1" t="n">
        <v>100</v>
      </c>
      <c r="T11" s="1" t="n">
        <v>13.1</v>
      </c>
      <c r="U11" s="1" t="n">
        <v>13.1</v>
      </c>
      <c r="V11" s="1" t="n">
        <v>455</v>
      </c>
      <c r="W11" s="1" t="n">
        <v>18.5</v>
      </c>
      <c r="X11" s="1" t="n">
        <v>12</v>
      </c>
      <c r="Y11" s="1" t="n">
        <v>68</v>
      </c>
      <c r="Z11" s="1" t="n">
        <v>0</v>
      </c>
      <c r="AA11" s="1" t="n">
        <v>86</v>
      </c>
      <c r="AB11" s="7" t="s">
        <v>47</v>
      </c>
      <c r="AC11" s="7" t="s">
        <v>50</v>
      </c>
      <c r="AD11" s="6" t="s">
        <v>43</v>
      </c>
      <c r="AE11" s="6" t="s">
        <v>43</v>
      </c>
      <c r="AF11" s="4" t="n">
        <f aca="false">IF(T11="","",IF(T11&lt;=30,(50/30)*T11,IF(T11&lt;=60,50+((100-50)/(60-30))*(T11-30),IF(T11&lt;=90,100+((200-100)/(90-60))*(T11-60),IF(T11&lt;=120,200+((300-200)/(120-90))*(T11-90),IF(T11&lt;=250,300+((400-300)/(250-120))*(T11-120),IF(T11&lt;=380,400+((500-400)/(380-250))*(T11-250),500)))))))</f>
        <v>21.8333333333333</v>
      </c>
      <c r="AG11" s="4" t="n">
        <f aca="false">IF(U11="","",IF(U11&lt;=50,(50/50)*U11,IF(U11&lt;=100,50+((100-50)/(100-50))*(U11-50),IF(U11&lt;=250,100+((200-100)/(250-100))*(U11-100),IF(U11&lt;=350,200+((300-200)/(350-250))*(U11-250),IF(U11&lt;=430,300+((400-300)/(430-350))*(U11-350),IF(U11&lt;=600,400+((500-400)/(600-430))*(U11-430),500)))))))</f>
        <v>13.1</v>
      </c>
      <c r="AH11" s="4" t="n">
        <f aca="false">IF(V11="","",IF((V11/1000)&lt;=1,(50/1)*(V11/1000),IF((V11/1000)&lt;=2,50+((100-50)/(2-1))*(V11/1000-1),IF((V11/1000)&lt;=10,100+((200-100)/(10-2))*(V11/1000-2),IF((V11/1000)&lt;=17,200+((300-200)/(17-10))*(V11/1000-10),IF((V11/1000)&lt;=34,300+((400-300)/(34-17))*(V11/1000-17),IF((V11/1000)&lt;=57,400+((500-400)/(57-34))*(V11/1000-34),500)))))))</f>
        <v>22.75</v>
      </c>
      <c r="AI11" s="4" t="n">
        <f aca="false">IF(W11="","",IF(W11&lt;=40,(50/40)*W11,IF(W11&lt;=80,50+((100-50)/(80-40))*(W11-40),IF(W11&lt;=180,100+((200-100)/(180-80))*(W11-80),IF(W11&lt;=280,200+((300-200)/(280-180))*(W11-180),IF(W11&lt;=400,300+((400-300)/(400-280))*(W11-280),IF(W11&lt;=800,400+((500-400)/(800-400))*(W11-400),500)))))))</f>
        <v>23.125</v>
      </c>
      <c r="AJ11" s="4" t="n">
        <f aca="false">IF(X11="","",IF(X11&lt;=40,(50/40)*X11,IF(X11&lt;=80,50+((100-50)/(80-40))*(X11-40),IF(X11&lt;=380,100+((200-100)/(380-80))*(X11-80),IF(X11&lt;=800,200+((300-200)/(800-380))*(X11-380),IF(X11&lt;=1600,300+((400-300)/(1600-800))*(X11-800),IF(X11&lt;=2100,400+((500-400)/(2100-1600))*(X11-1600),500)))))))</f>
        <v>15</v>
      </c>
      <c r="AK11" s="4" t="n">
        <f aca="false">IF(Y11="","",IF(Y11&lt;=50,(50/50)*Y11,IF(Y11&lt;=100,50+((100-50)/(100-50))*(Y11-50),IF(Y11&lt;=168,100+((200-100)/(168-100))*(Y11-100),IF(Y11&lt;=208,200+((300-200)/(208-168))*(Y11-168),IF(Y11&lt;=748,300+((400-300)/(748-208))*(Y11-208),IF(Y11&lt;=1000,400+((500-400)/(1000-748))*(Y11-748),500)))))))</f>
        <v>68</v>
      </c>
      <c r="AL11" s="4" t="n">
        <f aca="false">ROUND(MAX(AF11,AG11,AH11,AI11,AJ11,AK11),0)</f>
        <v>68</v>
      </c>
      <c r="AM11" s="4" t="str">
        <f aca="false">IF(AL11="","",IF(AL11&lt;=50,"Good",IF(AL11&lt;=100,"Satisfactory",IF(AL11&lt;=200,"Moderate",IF(AL11&lt;=300,"Poor",IF(AL11&lt;=400,"Very Poor","Severe"))))))</f>
        <v>Satisfactory</v>
      </c>
    </row>
    <row r="12" customFormat="false" ht="15.75" hidden="false" customHeight="false" outlineLevel="0" collapsed="false">
      <c r="A12" s="1" t="s">
        <v>39</v>
      </c>
      <c r="B12" s="1" t="s">
        <v>40</v>
      </c>
      <c r="C12" s="1" t="n">
        <v>28.4595</v>
      </c>
      <c r="D12" s="1" t="n">
        <v>77.0266</v>
      </c>
      <c r="E12" s="5" t="n">
        <v>45901</v>
      </c>
      <c r="F12" s="6" t="s">
        <v>61</v>
      </c>
      <c r="G12" s="1" t="n">
        <v>9</v>
      </c>
      <c r="H12" s="7" t="s">
        <v>42</v>
      </c>
      <c r="I12" s="6" t="s">
        <v>43</v>
      </c>
      <c r="J12" s="7" t="s">
        <v>44</v>
      </c>
      <c r="K12" s="7" t="s">
        <v>60</v>
      </c>
      <c r="L12" s="1" t="n">
        <v>79</v>
      </c>
      <c r="M12" s="1" t="n">
        <v>24.2</v>
      </c>
      <c r="N12" s="1" t="n">
        <v>26.6</v>
      </c>
      <c r="O12" s="1" t="n">
        <v>0.2</v>
      </c>
      <c r="P12" s="6" t="s">
        <v>46</v>
      </c>
      <c r="Q12" s="6" t="s">
        <v>43</v>
      </c>
      <c r="R12" s="1" t="n">
        <v>999.9</v>
      </c>
      <c r="S12" s="1" t="n">
        <v>100</v>
      </c>
      <c r="T12" s="1" t="n">
        <v>11.6</v>
      </c>
      <c r="U12" s="1" t="n">
        <v>11.6</v>
      </c>
      <c r="V12" s="1" t="n">
        <v>395</v>
      </c>
      <c r="W12" s="1" t="n">
        <v>14.3</v>
      </c>
      <c r="X12" s="1" t="n">
        <v>10.4</v>
      </c>
      <c r="Y12" s="1" t="n">
        <v>77</v>
      </c>
      <c r="Z12" s="1" t="n">
        <v>0</v>
      </c>
      <c r="AA12" s="1" t="n">
        <v>85</v>
      </c>
      <c r="AB12" s="7" t="s">
        <v>47</v>
      </c>
      <c r="AC12" s="7" t="s">
        <v>50</v>
      </c>
      <c r="AD12" s="6" t="s">
        <v>43</v>
      </c>
      <c r="AE12" s="6" t="s">
        <v>43</v>
      </c>
      <c r="AF12" s="4" t="n">
        <f aca="false">IF(T12="","",IF(T12&lt;=30,(50/30)*T12,IF(T12&lt;=60,50+((100-50)/(60-30))*(T12-30),IF(T12&lt;=90,100+((200-100)/(90-60))*(T12-60),IF(T12&lt;=120,200+((300-200)/(120-90))*(T12-90),IF(T12&lt;=250,300+((400-300)/(250-120))*(T12-120),IF(T12&lt;=380,400+((500-400)/(380-250))*(T12-250),500)))))))</f>
        <v>19.3333333333333</v>
      </c>
      <c r="AG12" s="4" t="n">
        <f aca="false">IF(U12="","",IF(U12&lt;=50,(50/50)*U12,IF(U12&lt;=100,50+((100-50)/(100-50))*(U12-50),IF(U12&lt;=250,100+((200-100)/(250-100))*(U12-100),IF(U12&lt;=350,200+((300-200)/(350-250))*(U12-250),IF(U12&lt;=430,300+((400-300)/(430-350))*(U12-350),IF(U12&lt;=600,400+((500-400)/(600-430))*(U12-430),500)))))))</f>
        <v>11.6</v>
      </c>
      <c r="AH12" s="4" t="n">
        <f aca="false">IF(V12="","",IF((V12/1000)&lt;=1,(50/1)*(V12/1000),IF((V12/1000)&lt;=2,50+((100-50)/(2-1))*(V12/1000-1),IF((V12/1000)&lt;=10,100+((200-100)/(10-2))*(V12/1000-2),IF((V12/1000)&lt;=17,200+((300-200)/(17-10))*(V12/1000-10),IF((V12/1000)&lt;=34,300+((400-300)/(34-17))*(V12/1000-17),IF((V12/1000)&lt;=57,400+((500-400)/(57-34))*(V12/1000-34),500)))))))</f>
        <v>19.75</v>
      </c>
      <c r="AI12" s="4" t="n">
        <f aca="false">IF(W12="","",IF(W12&lt;=40,(50/40)*W12,IF(W12&lt;=80,50+((100-50)/(80-40))*(W12-40),IF(W12&lt;=180,100+((200-100)/(180-80))*(W12-80),IF(W12&lt;=280,200+((300-200)/(280-180))*(W12-180),IF(W12&lt;=400,300+((400-300)/(400-280))*(W12-280),IF(W12&lt;=800,400+((500-400)/(800-400))*(W12-400),500)))))))</f>
        <v>17.875</v>
      </c>
      <c r="AJ12" s="4" t="n">
        <f aca="false">IF(X12="","",IF(X12&lt;=40,(50/40)*X12,IF(X12&lt;=80,50+((100-50)/(80-40))*(X12-40),IF(X12&lt;=380,100+((200-100)/(380-80))*(X12-80),IF(X12&lt;=800,200+((300-200)/(800-380))*(X12-380),IF(X12&lt;=1600,300+((400-300)/(1600-800))*(X12-800),IF(X12&lt;=2100,400+((500-400)/(2100-1600))*(X12-1600),500)))))))</f>
        <v>13</v>
      </c>
      <c r="AK12" s="4" t="n">
        <f aca="false">IF(Y12="","",IF(Y12&lt;=50,(50/50)*Y12,IF(Y12&lt;=100,50+((100-50)/(100-50))*(Y12-50),IF(Y12&lt;=168,100+((200-100)/(168-100))*(Y12-100),IF(Y12&lt;=208,200+((300-200)/(208-168))*(Y12-168),IF(Y12&lt;=748,300+((400-300)/(748-208))*(Y12-208),IF(Y12&lt;=1000,400+((500-400)/(1000-748))*(Y12-748),500)))))))</f>
        <v>77</v>
      </c>
      <c r="AL12" s="4" t="n">
        <f aca="false">ROUND(MAX(AF12,AG12,AH12,AI12,AJ12,AK12),0)</f>
        <v>77</v>
      </c>
      <c r="AM12" s="4" t="str">
        <f aca="false">IF(AL12="","",IF(AL12&lt;=50,"Good",IF(AL12&lt;=100,"Satisfactory",IF(AL12&lt;=200,"Moderate",IF(AL12&lt;=300,"Poor",IF(AL12&lt;=400,"Very Poor","Severe"))))))</f>
        <v>Satisfactory</v>
      </c>
    </row>
    <row r="13" customFormat="false" ht="15.75" hidden="false" customHeight="false" outlineLevel="0" collapsed="false">
      <c r="A13" s="1" t="s">
        <v>39</v>
      </c>
      <c r="B13" s="1" t="s">
        <v>40</v>
      </c>
      <c r="C13" s="1" t="n">
        <v>28.4595</v>
      </c>
      <c r="D13" s="1" t="n">
        <v>77.0266</v>
      </c>
      <c r="E13" s="5" t="n">
        <v>45901</v>
      </c>
      <c r="F13" s="6" t="s">
        <v>62</v>
      </c>
      <c r="G13" s="1" t="n">
        <v>9</v>
      </c>
      <c r="H13" s="7" t="s">
        <v>42</v>
      </c>
      <c r="I13" s="6" t="s">
        <v>43</v>
      </c>
      <c r="J13" s="7" t="s">
        <v>44</v>
      </c>
      <c r="K13" s="7" t="s">
        <v>60</v>
      </c>
      <c r="L13" s="1" t="n">
        <v>77</v>
      </c>
      <c r="M13" s="1" t="n">
        <v>24.4</v>
      </c>
      <c r="N13" s="1" t="n">
        <v>28.4</v>
      </c>
      <c r="O13" s="1" t="n">
        <v>0.1</v>
      </c>
      <c r="P13" s="6" t="s">
        <v>46</v>
      </c>
      <c r="Q13" s="6" t="s">
        <v>43</v>
      </c>
      <c r="R13" s="1" t="n">
        <v>999.8</v>
      </c>
      <c r="S13" s="1" t="n">
        <v>89</v>
      </c>
      <c r="T13" s="1" t="n">
        <v>12.6</v>
      </c>
      <c r="U13" s="1" t="n">
        <v>12.7</v>
      </c>
      <c r="V13" s="1" t="n">
        <v>349</v>
      </c>
      <c r="W13" s="1" t="n">
        <v>11.1</v>
      </c>
      <c r="X13" s="1" t="n">
        <v>9.1</v>
      </c>
      <c r="Y13" s="1" t="n">
        <v>87</v>
      </c>
      <c r="Z13" s="1" t="n">
        <v>0</v>
      </c>
      <c r="AA13" s="1" t="n">
        <v>83</v>
      </c>
      <c r="AB13" s="7" t="s">
        <v>47</v>
      </c>
      <c r="AC13" s="7" t="s">
        <v>50</v>
      </c>
      <c r="AD13" s="6" t="s">
        <v>43</v>
      </c>
      <c r="AE13" s="6" t="s">
        <v>43</v>
      </c>
      <c r="AF13" s="4" t="n">
        <f aca="false">IF(T13="","",IF(T13&lt;=30,(50/30)*T13,IF(T13&lt;=60,50+((100-50)/(60-30))*(T13-30),IF(T13&lt;=90,100+((200-100)/(90-60))*(T13-60),IF(T13&lt;=120,200+((300-200)/(120-90))*(T13-90),IF(T13&lt;=250,300+((400-300)/(250-120))*(T13-120),IF(T13&lt;=380,400+((500-400)/(380-250))*(T13-250),500)))))))</f>
        <v>21</v>
      </c>
      <c r="AG13" s="4" t="n">
        <f aca="false">IF(U13="","",IF(U13&lt;=50,(50/50)*U13,IF(U13&lt;=100,50+((100-50)/(100-50))*(U13-50),IF(U13&lt;=250,100+((200-100)/(250-100))*(U13-100),IF(U13&lt;=350,200+((300-200)/(350-250))*(U13-250),IF(U13&lt;=430,300+((400-300)/(430-350))*(U13-350),IF(U13&lt;=600,400+((500-400)/(600-430))*(U13-430),500)))))))</f>
        <v>12.7</v>
      </c>
      <c r="AH13" s="4" t="n">
        <f aca="false">IF(V13="","",IF((V13/1000)&lt;=1,(50/1)*(V13/1000),IF((V13/1000)&lt;=2,50+((100-50)/(2-1))*(V13/1000-1),IF((V13/1000)&lt;=10,100+((200-100)/(10-2))*(V13/1000-2),IF((V13/1000)&lt;=17,200+((300-200)/(17-10))*(V13/1000-10),IF((V13/1000)&lt;=34,300+((400-300)/(34-17))*(V13/1000-17),IF((V13/1000)&lt;=57,400+((500-400)/(57-34))*(V13/1000-34),500)))))))</f>
        <v>17.45</v>
      </c>
      <c r="AI13" s="4" t="n">
        <f aca="false">IF(W13="","",IF(W13&lt;=40,(50/40)*W13,IF(W13&lt;=80,50+((100-50)/(80-40))*(W13-40),IF(W13&lt;=180,100+((200-100)/(180-80))*(W13-80),IF(W13&lt;=280,200+((300-200)/(280-180))*(W13-180),IF(W13&lt;=400,300+((400-300)/(400-280))*(W13-280),IF(W13&lt;=800,400+((500-400)/(800-400))*(W13-400),500)))))))</f>
        <v>13.875</v>
      </c>
      <c r="AJ13" s="4" t="n">
        <f aca="false">IF(X13="","",IF(X13&lt;=40,(50/40)*X13,IF(X13&lt;=80,50+((100-50)/(80-40))*(X13-40),IF(X13&lt;=380,100+((200-100)/(380-80))*(X13-80),IF(X13&lt;=800,200+((300-200)/(800-380))*(X13-380),IF(X13&lt;=1600,300+((400-300)/(1600-800))*(X13-800),IF(X13&lt;=2100,400+((500-400)/(2100-1600))*(X13-1600),500)))))))</f>
        <v>11.375</v>
      </c>
      <c r="AK13" s="4" t="n">
        <f aca="false">IF(Y13="","",IF(Y13&lt;=50,(50/50)*Y13,IF(Y13&lt;=100,50+((100-50)/(100-50))*(Y13-50),IF(Y13&lt;=168,100+((200-100)/(168-100))*(Y13-100),IF(Y13&lt;=208,200+((300-200)/(208-168))*(Y13-168),IF(Y13&lt;=748,300+((400-300)/(748-208))*(Y13-208),IF(Y13&lt;=1000,400+((500-400)/(1000-748))*(Y13-748),500)))))))</f>
        <v>87</v>
      </c>
      <c r="AL13" s="4" t="n">
        <f aca="false">ROUND(MAX(AF13,AG13,AH13,AI13,AJ13,AK13),0)</f>
        <v>87</v>
      </c>
      <c r="AM13" s="4" t="str">
        <f aca="false">IF(AL13="","",IF(AL13&lt;=50,"Good",IF(AL13&lt;=100,"Satisfactory",IF(AL13&lt;=200,"Moderate",IF(AL13&lt;=300,"Poor",IF(AL13&lt;=400,"Very Poor","Severe"))))))</f>
        <v>Satisfactory</v>
      </c>
    </row>
    <row r="14" customFormat="false" ht="15.75" hidden="false" customHeight="false" outlineLevel="0" collapsed="false">
      <c r="A14" s="1" t="s">
        <v>39</v>
      </c>
      <c r="B14" s="1" t="s">
        <v>40</v>
      </c>
      <c r="C14" s="1" t="n">
        <v>28.4595</v>
      </c>
      <c r="D14" s="1" t="n">
        <v>77.0266</v>
      </c>
      <c r="E14" s="5" t="n">
        <v>45901</v>
      </c>
      <c r="F14" s="6" t="s">
        <v>63</v>
      </c>
      <c r="G14" s="1" t="n">
        <v>9</v>
      </c>
      <c r="H14" s="7" t="s">
        <v>42</v>
      </c>
      <c r="I14" s="6" t="s">
        <v>43</v>
      </c>
      <c r="J14" s="7" t="s">
        <v>44</v>
      </c>
      <c r="K14" s="7" t="s">
        <v>60</v>
      </c>
      <c r="L14" s="1" t="n">
        <v>74</v>
      </c>
      <c r="M14" s="1" t="n">
        <v>24.8</v>
      </c>
      <c r="N14" s="1" t="n">
        <v>28.8</v>
      </c>
      <c r="O14" s="1" t="n">
        <v>0.1</v>
      </c>
      <c r="P14" s="6" t="s">
        <v>46</v>
      </c>
      <c r="Q14" s="6" t="s">
        <v>43</v>
      </c>
      <c r="R14" s="1" t="n">
        <v>999.3</v>
      </c>
      <c r="S14" s="1" t="n">
        <v>100</v>
      </c>
      <c r="T14" s="1" t="n">
        <v>13.9</v>
      </c>
      <c r="U14" s="1" t="n">
        <v>14.1</v>
      </c>
      <c r="V14" s="1" t="n">
        <v>327</v>
      </c>
      <c r="W14" s="1" t="n">
        <v>9.3</v>
      </c>
      <c r="X14" s="1" t="n">
        <v>8.5</v>
      </c>
      <c r="Y14" s="1" t="n">
        <v>99</v>
      </c>
      <c r="Z14" s="1" t="n">
        <v>0</v>
      </c>
      <c r="AA14" s="1" t="n">
        <v>82</v>
      </c>
      <c r="AB14" s="7" t="s">
        <v>47</v>
      </c>
      <c r="AC14" s="7" t="s">
        <v>50</v>
      </c>
      <c r="AD14" s="6" t="s">
        <v>43</v>
      </c>
      <c r="AE14" s="6" t="s">
        <v>43</v>
      </c>
      <c r="AF14" s="4" t="n">
        <f aca="false">IF(T14="","",IF(T14&lt;=30,(50/30)*T14,IF(T14&lt;=60,50+((100-50)/(60-30))*(T14-30),IF(T14&lt;=90,100+((200-100)/(90-60))*(T14-60),IF(T14&lt;=120,200+((300-200)/(120-90))*(T14-90),IF(T14&lt;=250,300+((400-300)/(250-120))*(T14-120),IF(T14&lt;=380,400+((500-400)/(380-250))*(T14-250),500)))))))</f>
        <v>23.1666666666667</v>
      </c>
      <c r="AG14" s="4" t="n">
        <f aca="false">IF(U14="","",IF(U14&lt;=50,(50/50)*U14,IF(U14&lt;=100,50+((100-50)/(100-50))*(U14-50),IF(U14&lt;=250,100+((200-100)/(250-100))*(U14-100),IF(U14&lt;=350,200+((300-200)/(350-250))*(U14-250),IF(U14&lt;=430,300+((400-300)/(430-350))*(U14-350),IF(U14&lt;=600,400+((500-400)/(600-430))*(U14-430),500)))))))</f>
        <v>14.1</v>
      </c>
      <c r="AH14" s="4" t="n">
        <f aca="false">IF(V14="","",IF((V14/1000)&lt;=1,(50/1)*(V14/1000),IF((V14/1000)&lt;=2,50+((100-50)/(2-1))*(V14/1000-1),IF((V14/1000)&lt;=10,100+((200-100)/(10-2))*(V14/1000-2),IF((V14/1000)&lt;=17,200+((300-200)/(17-10))*(V14/1000-10),IF((V14/1000)&lt;=34,300+((400-300)/(34-17))*(V14/1000-17),IF((V14/1000)&lt;=57,400+((500-400)/(57-34))*(V14/1000-34),500)))))))</f>
        <v>16.35</v>
      </c>
      <c r="AI14" s="4" t="n">
        <f aca="false">IF(W14="","",IF(W14&lt;=40,(50/40)*W14,IF(W14&lt;=80,50+((100-50)/(80-40))*(W14-40),IF(W14&lt;=180,100+((200-100)/(180-80))*(W14-80),IF(W14&lt;=280,200+((300-200)/(280-180))*(W14-180),IF(W14&lt;=400,300+((400-300)/(400-280))*(W14-280),IF(W14&lt;=800,400+((500-400)/(800-400))*(W14-400),500)))))))</f>
        <v>11.625</v>
      </c>
      <c r="AJ14" s="4" t="n">
        <f aca="false">IF(X14="","",IF(X14&lt;=40,(50/40)*X14,IF(X14&lt;=80,50+((100-50)/(80-40))*(X14-40),IF(X14&lt;=380,100+((200-100)/(380-80))*(X14-80),IF(X14&lt;=800,200+((300-200)/(800-380))*(X14-380),IF(X14&lt;=1600,300+((400-300)/(1600-800))*(X14-800),IF(X14&lt;=2100,400+((500-400)/(2100-1600))*(X14-1600),500)))))))</f>
        <v>10.625</v>
      </c>
      <c r="AK14" s="4" t="n">
        <f aca="false">IF(Y14="","",IF(Y14&lt;=50,(50/50)*Y14,IF(Y14&lt;=100,50+((100-50)/(100-50))*(Y14-50),IF(Y14&lt;=168,100+((200-100)/(168-100))*(Y14-100),IF(Y14&lt;=208,200+((300-200)/(208-168))*(Y14-168),IF(Y14&lt;=748,300+((400-300)/(748-208))*(Y14-208),IF(Y14&lt;=1000,400+((500-400)/(1000-748))*(Y14-748),500)))))))</f>
        <v>99</v>
      </c>
      <c r="AL14" s="4" t="n">
        <f aca="false">ROUND(MAX(AF14,AG14,AH14,AI14,AJ14,AK14),0)</f>
        <v>99</v>
      </c>
      <c r="AM14" s="4" t="str">
        <f aca="false">IF(AL14="","",IF(AL14&lt;=50,"Good",IF(AL14&lt;=100,"Satisfactory",IF(AL14&lt;=200,"Moderate",IF(AL14&lt;=300,"Poor",IF(AL14&lt;=400,"Very Poor","Severe"))))))</f>
        <v>Satisfactory</v>
      </c>
    </row>
    <row r="15" customFormat="false" ht="15.75" hidden="false" customHeight="false" outlineLevel="0" collapsed="false">
      <c r="A15" s="1" t="s">
        <v>39</v>
      </c>
      <c r="B15" s="1" t="s">
        <v>40</v>
      </c>
      <c r="C15" s="1" t="n">
        <v>28.4595</v>
      </c>
      <c r="D15" s="1" t="n">
        <v>77.0266</v>
      </c>
      <c r="E15" s="5" t="n">
        <v>45901</v>
      </c>
      <c r="F15" s="6" t="s">
        <v>64</v>
      </c>
      <c r="G15" s="1" t="n">
        <v>9</v>
      </c>
      <c r="H15" s="7" t="s">
        <v>42</v>
      </c>
      <c r="I15" s="6" t="s">
        <v>43</v>
      </c>
      <c r="J15" s="7" t="s">
        <v>44</v>
      </c>
      <c r="K15" s="7" t="s">
        <v>65</v>
      </c>
      <c r="L15" s="1" t="n">
        <v>69</v>
      </c>
      <c r="M15" s="1" t="n">
        <v>23.7</v>
      </c>
      <c r="N15" s="1" t="n">
        <v>29.5</v>
      </c>
      <c r="O15" s="1" t="n">
        <v>0.1</v>
      </c>
      <c r="P15" s="6" t="s">
        <v>46</v>
      </c>
      <c r="Q15" s="6" t="s">
        <v>43</v>
      </c>
      <c r="R15" s="1" t="n">
        <v>997.7</v>
      </c>
      <c r="S15" s="1" t="n">
        <v>100</v>
      </c>
      <c r="T15" s="1" t="n">
        <v>15.7</v>
      </c>
      <c r="U15" s="1" t="n">
        <v>16.1</v>
      </c>
      <c r="V15" s="1" t="n">
        <v>317</v>
      </c>
      <c r="W15" s="1" t="n">
        <v>8.5</v>
      </c>
      <c r="X15" s="1" t="n">
        <v>8.2</v>
      </c>
      <c r="Y15" s="1" t="n">
        <v>112</v>
      </c>
      <c r="Z15" s="1" t="n">
        <v>1</v>
      </c>
      <c r="AA15" s="1" t="n">
        <v>81</v>
      </c>
      <c r="AB15" s="7" t="s">
        <v>47</v>
      </c>
      <c r="AC15" s="7" t="s">
        <v>50</v>
      </c>
      <c r="AD15" s="6" t="s">
        <v>43</v>
      </c>
      <c r="AE15" s="6" t="s">
        <v>43</v>
      </c>
      <c r="AF15" s="4" t="n">
        <f aca="false">IF(T15="","",IF(T15&lt;=30,(50/30)*T15,IF(T15&lt;=60,50+((100-50)/(60-30))*(T15-30),IF(T15&lt;=90,100+((200-100)/(90-60))*(T15-60),IF(T15&lt;=120,200+((300-200)/(120-90))*(T15-90),IF(T15&lt;=250,300+((400-300)/(250-120))*(T15-120),IF(T15&lt;=380,400+((500-400)/(380-250))*(T15-250),500)))))))</f>
        <v>26.1666666666667</v>
      </c>
      <c r="AG15" s="4" t="n">
        <f aca="false">IF(U15="","",IF(U15&lt;=50,(50/50)*U15,IF(U15&lt;=100,50+((100-50)/(100-50))*(U15-50),IF(U15&lt;=250,100+((200-100)/(250-100))*(U15-100),IF(U15&lt;=350,200+((300-200)/(350-250))*(U15-250),IF(U15&lt;=430,300+((400-300)/(430-350))*(U15-350),IF(U15&lt;=600,400+((500-400)/(600-430))*(U15-430),500)))))))</f>
        <v>16.1</v>
      </c>
      <c r="AH15" s="4" t="n">
        <f aca="false">IF(V15="","",IF((V15/1000)&lt;=1,(50/1)*(V15/1000),IF((V15/1000)&lt;=2,50+((100-50)/(2-1))*(V15/1000-1),IF((V15/1000)&lt;=10,100+((200-100)/(10-2))*(V15/1000-2),IF((V15/1000)&lt;=17,200+((300-200)/(17-10))*(V15/1000-10),IF((V15/1000)&lt;=34,300+((400-300)/(34-17))*(V15/1000-17),IF((V15/1000)&lt;=57,400+((500-400)/(57-34))*(V15/1000-34),500)))))))</f>
        <v>15.85</v>
      </c>
      <c r="AI15" s="4" t="n">
        <f aca="false">IF(W15="","",IF(W15&lt;=40,(50/40)*W15,IF(W15&lt;=80,50+((100-50)/(80-40))*(W15-40),IF(W15&lt;=180,100+((200-100)/(180-80))*(W15-80),IF(W15&lt;=280,200+((300-200)/(280-180))*(W15-180),IF(W15&lt;=400,300+((400-300)/(400-280))*(W15-280),IF(W15&lt;=800,400+((500-400)/(800-400))*(W15-400),500)))))))</f>
        <v>10.625</v>
      </c>
      <c r="AJ15" s="4" t="n">
        <f aca="false">IF(X15="","",IF(X15&lt;=40,(50/40)*X15,IF(X15&lt;=80,50+((100-50)/(80-40))*(X15-40),IF(X15&lt;=380,100+((200-100)/(380-80))*(X15-80),IF(X15&lt;=800,200+((300-200)/(800-380))*(X15-380),IF(X15&lt;=1600,300+((400-300)/(1600-800))*(X15-800),IF(X15&lt;=2100,400+((500-400)/(2100-1600))*(X15-1600),500)))))))</f>
        <v>10.25</v>
      </c>
      <c r="AK15" s="4" t="n">
        <f aca="false">IF(Y15="","",IF(Y15&lt;=50,(50/50)*Y15,IF(Y15&lt;=100,50+((100-50)/(100-50))*(Y15-50),IF(Y15&lt;=168,100+((200-100)/(168-100))*(Y15-100),IF(Y15&lt;=208,200+((300-200)/(208-168))*(Y15-168),IF(Y15&lt;=748,300+((400-300)/(748-208))*(Y15-208),IF(Y15&lt;=1000,400+((500-400)/(1000-748))*(Y15-748),500)))))))</f>
        <v>117.647058823529</v>
      </c>
      <c r="AL15" s="4" t="n">
        <f aca="false">ROUND(MAX(AF15,AG15,AH15,AI15,AJ15,AK15),0)</f>
        <v>118</v>
      </c>
      <c r="AM15" s="4" t="str">
        <f aca="false">IF(AL15="","",IF(AL15&lt;=50,"Good",IF(AL15&lt;=100,"Satisfactory",IF(AL15&lt;=200,"Moderate",IF(AL15&lt;=300,"Poor",IF(AL15&lt;=400,"Very Poor","Severe"))))))</f>
        <v>Moderate</v>
      </c>
    </row>
    <row r="16" customFormat="false" ht="15.75" hidden="false" customHeight="false" outlineLevel="0" collapsed="false">
      <c r="A16" s="1" t="s">
        <v>39</v>
      </c>
      <c r="B16" s="1" t="s">
        <v>40</v>
      </c>
      <c r="C16" s="1" t="n">
        <v>28.4595</v>
      </c>
      <c r="D16" s="1" t="n">
        <v>77.0266</v>
      </c>
      <c r="E16" s="5" t="n">
        <v>45901</v>
      </c>
      <c r="F16" s="6" t="s">
        <v>66</v>
      </c>
      <c r="G16" s="1" t="n">
        <v>9</v>
      </c>
      <c r="H16" s="7" t="s">
        <v>42</v>
      </c>
      <c r="I16" s="6" t="s">
        <v>43</v>
      </c>
      <c r="J16" s="7" t="s">
        <v>44</v>
      </c>
      <c r="K16" s="7" t="s">
        <v>65</v>
      </c>
      <c r="L16" s="1" t="n">
        <v>81</v>
      </c>
      <c r="M16" s="1" t="n">
        <v>24.9</v>
      </c>
      <c r="N16" s="1" t="n">
        <v>31</v>
      </c>
      <c r="O16" s="1" t="n">
        <v>2.8</v>
      </c>
      <c r="P16" s="6" t="s">
        <v>46</v>
      </c>
      <c r="Q16" s="6" t="s">
        <v>43</v>
      </c>
      <c r="R16" s="1" t="n">
        <v>997.1</v>
      </c>
      <c r="S16" s="1" t="n">
        <v>100</v>
      </c>
      <c r="T16" s="1" t="n">
        <v>16.2</v>
      </c>
      <c r="U16" s="1" t="n">
        <v>16.7</v>
      </c>
      <c r="V16" s="1" t="n">
        <v>335</v>
      </c>
      <c r="W16" s="1" t="n">
        <v>9.5</v>
      </c>
      <c r="X16" s="1" t="n">
        <v>8.1</v>
      </c>
      <c r="Y16" s="1" t="n">
        <v>117</v>
      </c>
      <c r="Z16" s="1" t="n">
        <v>1</v>
      </c>
      <c r="AA16" s="1" t="n">
        <v>80</v>
      </c>
      <c r="AB16" s="7" t="s">
        <v>47</v>
      </c>
      <c r="AC16" s="7" t="s">
        <v>50</v>
      </c>
      <c r="AD16" s="6" t="s">
        <v>43</v>
      </c>
      <c r="AE16" s="6" t="s">
        <v>43</v>
      </c>
      <c r="AF16" s="4" t="n">
        <f aca="false">IF(T16="","",IF(T16&lt;=30,(50/30)*T16,IF(T16&lt;=60,50+((100-50)/(60-30))*(T16-30),IF(T16&lt;=90,100+((200-100)/(90-60))*(T16-60),IF(T16&lt;=120,200+((300-200)/(120-90))*(T16-90),IF(T16&lt;=250,300+((400-300)/(250-120))*(T16-120),IF(T16&lt;=380,400+((500-400)/(380-250))*(T16-250),500)))))))</f>
        <v>27</v>
      </c>
      <c r="AG16" s="4" t="n">
        <f aca="false">IF(U16="","",IF(U16&lt;=50,(50/50)*U16,IF(U16&lt;=100,50+((100-50)/(100-50))*(U16-50),IF(U16&lt;=250,100+((200-100)/(250-100))*(U16-100),IF(U16&lt;=350,200+((300-200)/(350-250))*(U16-250),IF(U16&lt;=430,300+((400-300)/(430-350))*(U16-350),IF(U16&lt;=600,400+((500-400)/(600-430))*(U16-430),500)))))))</f>
        <v>16.7</v>
      </c>
      <c r="AH16" s="4" t="n">
        <f aca="false">IF(V16="","",IF((V16/1000)&lt;=1,(50/1)*(V16/1000),IF((V16/1000)&lt;=2,50+((100-50)/(2-1))*(V16/1000-1),IF((V16/1000)&lt;=10,100+((200-100)/(10-2))*(V16/1000-2),IF((V16/1000)&lt;=17,200+((300-200)/(17-10))*(V16/1000-10),IF((V16/1000)&lt;=34,300+((400-300)/(34-17))*(V16/1000-17),IF((V16/1000)&lt;=57,400+((500-400)/(57-34))*(V16/1000-34),500)))))))</f>
        <v>16.75</v>
      </c>
      <c r="AI16" s="4" t="n">
        <f aca="false">IF(W16="","",IF(W16&lt;=40,(50/40)*W16,IF(W16&lt;=80,50+((100-50)/(80-40))*(W16-40),IF(W16&lt;=180,100+((200-100)/(180-80))*(W16-80),IF(W16&lt;=280,200+((300-200)/(280-180))*(W16-180),IF(W16&lt;=400,300+((400-300)/(400-280))*(W16-280),IF(W16&lt;=800,400+((500-400)/(800-400))*(W16-400),500)))))))</f>
        <v>11.875</v>
      </c>
      <c r="AJ16" s="4" t="n">
        <f aca="false">IF(X16="","",IF(X16&lt;=40,(50/40)*X16,IF(X16&lt;=80,50+((100-50)/(80-40))*(X16-40),IF(X16&lt;=380,100+((200-100)/(380-80))*(X16-80),IF(X16&lt;=800,200+((300-200)/(800-380))*(X16-380),IF(X16&lt;=1600,300+((400-300)/(1600-800))*(X16-800),IF(X16&lt;=2100,400+((500-400)/(2100-1600))*(X16-1600),500)))))))</f>
        <v>10.125</v>
      </c>
      <c r="AK16" s="4" t="n">
        <f aca="false">IF(Y16="","",IF(Y16&lt;=50,(50/50)*Y16,IF(Y16&lt;=100,50+((100-50)/(100-50))*(Y16-50),IF(Y16&lt;=168,100+((200-100)/(168-100))*(Y16-100),IF(Y16&lt;=208,200+((300-200)/(208-168))*(Y16-168),IF(Y16&lt;=748,300+((400-300)/(748-208))*(Y16-208),IF(Y16&lt;=1000,400+((500-400)/(1000-748))*(Y16-748),500)))))))</f>
        <v>125</v>
      </c>
      <c r="AL16" s="4" t="n">
        <f aca="false">ROUND(MAX(AF16,AG16,AH16,AI16,AJ16,AK16),0)</f>
        <v>125</v>
      </c>
      <c r="AM16" s="4" t="str">
        <f aca="false">IF(AL16="","",IF(AL16&lt;=50,"Good",IF(AL16&lt;=100,"Satisfactory",IF(AL16&lt;=200,"Moderate",IF(AL16&lt;=300,"Poor",IF(AL16&lt;=400,"Very Poor","Severe"))))))</f>
        <v>Moderate</v>
      </c>
    </row>
    <row r="17" customFormat="false" ht="15.75" hidden="false" customHeight="false" outlineLevel="0" collapsed="false">
      <c r="A17" s="1" t="s">
        <v>39</v>
      </c>
      <c r="B17" s="1" t="s">
        <v>40</v>
      </c>
      <c r="C17" s="1" t="n">
        <v>28.4595</v>
      </c>
      <c r="D17" s="1" t="n">
        <v>77.0266</v>
      </c>
      <c r="E17" s="5" t="n">
        <v>45901</v>
      </c>
      <c r="F17" s="6" t="s">
        <v>67</v>
      </c>
      <c r="G17" s="1" t="n">
        <v>9</v>
      </c>
      <c r="H17" s="7" t="s">
        <v>42</v>
      </c>
      <c r="I17" s="6" t="s">
        <v>43</v>
      </c>
      <c r="J17" s="7" t="s">
        <v>44</v>
      </c>
      <c r="K17" s="7" t="s">
        <v>65</v>
      </c>
      <c r="L17" s="1" t="n">
        <v>85</v>
      </c>
      <c r="M17" s="1" t="n">
        <v>24.4</v>
      </c>
      <c r="N17" s="1" t="n">
        <v>30.6</v>
      </c>
      <c r="O17" s="1" t="n">
        <v>9.2</v>
      </c>
      <c r="P17" s="6" t="s">
        <v>46</v>
      </c>
      <c r="Q17" s="6" t="s">
        <v>46</v>
      </c>
      <c r="R17" s="1" t="n">
        <v>996.5</v>
      </c>
      <c r="S17" s="1" t="n">
        <v>99</v>
      </c>
      <c r="T17" s="1" t="n">
        <v>15.7</v>
      </c>
      <c r="U17" s="1" t="n">
        <v>16.2</v>
      </c>
      <c r="V17" s="1" t="n">
        <v>402</v>
      </c>
      <c r="W17" s="1" t="n">
        <v>13.5</v>
      </c>
      <c r="X17" s="1" t="n">
        <v>8</v>
      </c>
      <c r="Y17" s="1" t="n">
        <v>108</v>
      </c>
      <c r="Z17" s="1" t="n">
        <v>1</v>
      </c>
      <c r="AA17" s="1" t="n">
        <v>79</v>
      </c>
      <c r="AB17" s="7" t="s">
        <v>47</v>
      </c>
      <c r="AC17" s="7" t="s">
        <v>50</v>
      </c>
      <c r="AD17" s="6" t="s">
        <v>43</v>
      </c>
      <c r="AE17" s="6" t="s">
        <v>43</v>
      </c>
      <c r="AF17" s="4" t="n">
        <f aca="false">IF(T17="","",IF(T17&lt;=30,(50/30)*T17,IF(T17&lt;=60,50+((100-50)/(60-30))*(T17-30),IF(T17&lt;=90,100+((200-100)/(90-60))*(T17-60),IF(T17&lt;=120,200+((300-200)/(120-90))*(T17-90),IF(T17&lt;=250,300+((400-300)/(250-120))*(T17-120),IF(T17&lt;=380,400+((500-400)/(380-250))*(T17-250),500)))))))</f>
        <v>26.1666666666667</v>
      </c>
      <c r="AG17" s="4" t="n">
        <f aca="false">IF(U17="","",IF(U17&lt;=50,(50/50)*U17,IF(U17&lt;=100,50+((100-50)/(100-50))*(U17-50),IF(U17&lt;=250,100+((200-100)/(250-100))*(U17-100),IF(U17&lt;=350,200+((300-200)/(350-250))*(U17-250),IF(U17&lt;=430,300+((400-300)/(430-350))*(U17-350),IF(U17&lt;=600,400+((500-400)/(600-430))*(U17-430),500)))))))</f>
        <v>16.2</v>
      </c>
      <c r="AH17" s="4" t="n">
        <f aca="false">IF(V17="","",IF((V17/1000)&lt;=1,(50/1)*(V17/1000),IF((V17/1000)&lt;=2,50+((100-50)/(2-1))*(V17/1000-1),IF((V17/1000)&lt;=10,100+((200-100)/(10-2))*(V17/1000-2),IF((V17/1000)&lt;=17,200+((300-200)/(17-10))*(V17/1000-10),IF((V17/1000)&lt;=34,300+((400-300)/(34-17))*(V17/1000-17),IF((V17/1000)&lt;=57,400+((500-400)/(57-34))*(V17/1000-34),500)))))))</f>
        <v>20.1</v>
      </c>
      <c r="AI17" s="4" t="n">
        <f aca="false">IF(W17="","",IF(W17&lt;=40,(50/40)*W17,IF(W17&lt;=80,50+((100-50)/(80-40))*(W17-40),IF(W17&lt;=180,100+((200-100)/(180-80))*(W17-80),IF(W17&lt;=280,200+((300-200)/(280-180))*(W17-180),IF(W17&lt;=400,300+((400-300)/(400-280))*(W17-280),IF(W17&lt;=800,400+((500-400)/(800-400))*(W17-400),500)))))))</f>
        <v>16.875</v>
      </c>
      <c r="AJ17" s="4" t="n">
        <f aca="false">IF(X17="","",IF(X17&lt;=40,(50/40)*X17,IF(X17&lt;=80,50+((100-50)/(80-40))*(X17-40),IF(X17&lt;=380,100+((200-100)/(380-80))*(X17-80),IF(X17&lt;=800,200+((300-200)/(800-380))*(X17-380),IF(X17&lt;=1600,300+((400-300)/(1600-800))*(X17-800),IF(X17&lt;=2100,400+((500-400)/(2100-1600))*(X17-1600),500)))))))</f>
        <v>10</v>
      </c>
      <c r="AK17" s="4" t="n">
        <f aca="false">IF(Y17="","",IF(Y17&lt;=50,(50/50)*Y17,IF(Y17&lt;=100,50+((100-50)/(100-50))*(Y17-50),IF(Y17&lt;=168,100+((200-100)/(168-100))*(Y17-100),IF(Y17&lt;=208,200+((300-200)/(208-168))*(Y17-168),IF(Y17&lt;=748,300+((400-300)/(748-208))*(Y17-208),IF(Y17&lt;=1000,400+((500-400)/(1000-748))*(Y17-748),500)))))))</f>
        <v>111.764705882353</v>
      </c>
      <c r="AL17" s="4" t="n">
        <f aca="false">ROUND(MAX(AF17,AG17,AH17,AI17,AJ17,AK17),0)</f>
        <v>112</v>
      </c>
      <c r="AM17" s="4" t="str">
        <f aca="false">IF(AL17="","",IF(AL17&lt;=50,"Good",IF(AL17&lt;=100,"Satisfactory",IF(AL17&lt;=200,"Moderate",IF(AL17&lt;=300,"Poor",IF(AL17&lt;=400,"Very Poor","Severe"))))))</f>
        <v>Moderate</v>
      </c>
    </row>
    <row r="18" customFormat="false" ht="15.75" hidden="false" customHeight="false" outlineLevel="0" collapsed="false">
      <c r="A18" s="1" t="s">
        <v>39</v>
      </c>
      <c r="B18" s="1" t="s">
        <v>40</v>
      </c>
      <c r="C18" s="1" t="n">
        <v>28.4595</v>
      </c>
      <c r="D18" s="1" t="n">
        <v>77.0266</v>
      </c>
      <c r="E18" s="5" t="n">
        <v>45901</v>
      </c>
      <c r="F18" s="6" t="s">
        <v>68</v>
      </c>
      <c r="G18" s="1" t="n">
        <v>9</v>
      </c>
      <c r="H18" s="7" t="s">
        <v>42</v>
      </c>
      <c r="I18" s="6" t="s">
        <v>43</v>
      </c>
      <c r="J18" s="7" t="s">
        <v>44</v>
      </c>
      <c r="K18" s="7" t="s">
        <v>65</v>
      </c>
      <c r="L18" s="1" t="n">
        <v>91</v>
      </c>
      <c r="M18" s="1" t="n">
        <v>24</v>
      </c>
      <c r="N18" s="1" t="n">
        <v>31.3</v>
      </c>
      <c r="O18" s="1" t="n">
        <v>6.6</v>
      </c>
      <c r="P18" s="6" t="s">
        <v>46</v>
      </c>
      <c r="Q18" s="6" t="s">
        <v>43</v>
      </c>
      <c r="R18" s="1" t="n">
        <v>997.4</v>
      </c>
      <c r="S18" s="1" t="n">
        <v>100</v>
      </c>
      <c r="T18" s="1" t="n">
        <v>15.8</v>
      </c>
      <c r="U18" s="1" t="n">
        <v>16.4</v>
      </c>
      <c r="V18" s="1" t="n">
        <v>496</v>
      </c>
      <c r="W18" s="1" t="n">
        <v>19.3</v>
      </c>
      <c r="X18" s="1" t="n">
        <v>8.1</v>
      </c>
      <c r="Y18" s="1" t="n">
        <v>92</v>
      </c>
      <c r="Z18" s="1" t="n">
        <v>1</v>
      </c>
      <c r="AA18" s="1" t="n">
        <v>77</v>
      </c>
      <c r="AB18" s="7" t="s">
        <v>47</v>
      </c>
      <c r="AC18" s="7" t="s">
        <v>50</v>
      </c>
      <c r="AD18" s="6" t="s">
        <v>43</v>
      </c>
      <c r="AE18" s="6" t="s">
        <v>43</v>
      </c>
      <c r="AF18" s="4" t="n">
        <f aca="false">IF(T18="","",IF(T18&lt;=30,(50/30)*T18,IF(T18&lt;=60,50+((100-50)/(60-30))*(T18-30),IF(T18&lt;=90,100+((200-100)/(90-60))*(T18-60),IF(T18&lt;=120,200+((300-200)/(120-90))*(T18-90),IF(T18&lt;=250,300+((400-300)/(250-120))*(T18-120),IF(T18&lt;=380,400+((500-400)/(380-250))*(T18-250),500)))))))</f>
        <v>26.3333333333333</v>
      </c>
      <c r="AG18" s="4" t="n">
        <f aca="false">IF(U18="","",IF(U18&lt;=50,(50/50)*U18,IF(U18&lt;=100,50+((100-50)/(100-50))*(U18-50),IF(U18&lt;=250,100+((200-100)/(250-100))*(U18-100),IF(U18&lt;=350,200+((300-200)/(350-250))*(U18-250),IF(U18&lt;=430,300+((400-300)/(430-350))*(U18-350),IF(U18&lt;=600,400+((500-400)/(600-430))*(U18-430),500)))))))</f>
        <v>16.4</v>
      </c>
      <c r="AH18" s="4" t="n">
        <f aca="false">IF(V18="","",IF((V18/1000)&lt;=1,(50/1)*(V18/1000),IF((V18/1000)&lt;=2,50+((100-50)/(2-1))*(V18/1000-1),IF((V18/1000)&lt;=10,100+((200-100)/(10-2))*(V18/1000-2),IF((V18/1000)&lt;=17,200+((300-200)/(17-10))*(V18/1000-10),IF((V18/1000)&lt;=34,300+((400-300)/(34-17))*(V18/1000-17),IF((V18/1000)&lt;=57,400+((500-400)/(57-34))*(V18/1000-34),500)))))))</f>
        <v>24.8</v>
      </c>
      <c r="AI18" s="4" t="n">
        <f aca="false">IF(W18="","",IF(W18&lt;=40,(50/40)*W18,IF(W18&lt;=80,50+((100-50)/(80-40))*(W18-40),IF(W18&lt;=180,100+((200-100)/(180-80))*(W18-80),IF(W18&lt;=280,200+((300-200)/(280-180))*(W18-180),IF(W18&lt;=400,300+((400-300)/(400-280))*(W18-280),IF(W18&lt;=800,400+((500-400)/(800-400))*(W18-400),500)))))))</f>
        <v>24.125</v>
      </c>
      <c r="AJ18" s="4" t="n">
        <f aca="false">IF(X18="","",IF(X18&lt;=40,(50/40)*X18,IF(X18&lt;=80,50+((100-50)/(80-40))*(X18-40),IF(X18&lt;=380,100+((200-100)/(380-80))*(X18-80),IF(X18&lt;=800,200+((300-200)/(800-380))*(X18-380),IF(X18&lt;=1600,300+((400-300)/(1600-800))*(X18-800),IF(X18&lt;=2100,400+((500-400)/(2100-1600))*(X18-1600),500)))))))</f>
        <v>10.125</v>
      </c>
      <c r="AK18" s="4" t="n">
        <f aca="false">IF(Y18="","",IF(Y18&lt;=50,(50/50)*Y18,IF(Y18&lt;=100,50+((100-50)/(100-50))*(Y18-50),IF(Y18&lt;=168,100+((200-100)/(168-100))*(Y18-100),IF(Y18&lt;=208,200+((300-200)/(208-168))*(Y18-168),IF(Y18&lt;=748,300+((400-300)/(748-208))*(Y18-208),IF(Y18&lt;=1000,400+((500-400)/(1000-748))*(Y18-748),500)))))))</f>
        <v>92</v>
      </c>
      <c r="AL18" s="4" t="n">
        <f aca="false">ROUND(MAX(AF18,AG18,AH18,AI18,AJ18,AK18),0)</f>
        <v>92</v>
      </c>
      <c r="AM18" s="4" t="str">
        <f aca="false">IF(AL18="","",IF(AL18&lt;=50,"Good",IF(AL18&lt;=100,"Satisfactory",IF(AL18&lt;=200,"Moderate",IF(AL18&lt;=300,"Poor",IF(AL18&lt;=400,"Very Poor","Severe"))))))</f>
        <v>Satisfactory</v>
      </c>
    </row>
    <row r="19" customFormat="false" ht="15.75" hidden="false" customHeight="false" outlineLevel="0" collapsed="false">
      <c r="A19" s="1" t="s">
        <v>39</v>
      </c>
      <c r="B19" s="1" t="s">
        <v>40</v>
      </c>
      <c r="C19" s="1" t="n">
        <v>28.4595</v>
      </c>
      <c r="D19" s="1" t="n">
        <v>77.0266</v>
      </c>
      <c r="E19" s="5" t="n">
        <v>45901</v>
      </c>
      <c r="F19" s="6" t="s">
        <v>69</v>
      </c>
      <c r="G19" s="1" t="n">
        <v>9</v>
      </c>
      <c r="H19" s="7" t="s">
        <v>42</v>
      </c>
      <c r="I19" s="6" t="s">
        <v>43</v>
      </c>
      <c r="J19" s="7" t="s">
        <v>44</v>
      </c>
      <c r="K19" s="7" t="s">
        <v>65</v>
      </c>
      <c r="L19" s="1" t="n">
        <v>92</v>
      </c>
      <c r="M19" s="1" t="n">
        <v>24.2</v>
      </c>
      <c r="N19" s="1" t="n">
        <v>28.8</v>
      </c>
      <c r="O19" s="1" t="n">
        <v>0.3</v>
      </c>
      <c r="P19" s="6" t="s">
        <v>46</v>
      </c>
      <c r="Q19" s="6" t="s">
        <v>43</v>
      </c>
      <c r="R19" s="1" t="n">
        <v>997.2</v>
      </c>
      <c r="S19" s="1" t="n">
        <v>100</v>
      </c>
      <c r="T19" s="1" t="n">
        <v>23.1</v>
      </c>
      <c r="U19" s="1" t="n">
        <v>23.5</v>
      </c>
      <c r="V19" s="1" t="n">
        <v>564</v>
      </c>
      <c r="W19" s="1" t="n">
        <v>22.1</v>
      </c>
      <c r="X19" s="1" t="n">
        <v>13.3</v>
      </c>
      <c r="Y19" s="1" t="n">
        <v>78</v>
      </c>
      <c r="Z19" s="1" t="n">
        <v>1</v>
      </c>
      <c r="AA19" s="1" t="n">
        <v>76</v>
      </c>
      <c r="AB19" s="7" t="s">
        <v>47</v>
      </c>
      <c r="AC19" s="7" t="s">
        <v>50</v>
      </c>
      <c r="AD19" s="6" t="s">
        <v>43</v>
      </c>
      <c r="AE19" s="6" t="s">
        <v>43</v>
      </c>
      <c r="AF19" s="4" t="n">
        <f aca="false">IF(T19="","",IF(T19&lt;=30,(50/30)*T19,IF(T19&lt;=60,50+((100-50)/(60-30))*(T19-30),IF(T19&lt;=90,100+((200-100)/(90-60))*(T19-60),IF(T19&lt;=120,200+((300-200)/(120-90))*(T19-90),IF(T19&lt;=250,300+((400-300)/(250-120))*(T19-120),IF(T19&lt;=380,400+((500-400)/(380-250))*(T19-250),500)))))))</f>
        <v>38.5</v>
      </c>
      <c r="AG19" s="4" t="n">
        <f aca="false">IF(U19="","",IF(U19&lt;=50,(50/50)*U19,IF(U19&lt;=100,50+((100-50)/(100-50))*(U19-50),IF(U19&lt;=250,100+((200-100)/(250-100))*(U19-100),IF(U19&lt;=350,200+((300-200)/(350-250))*(U19-250),IF(U19&lt;=430,300+((400-300)/(430-350))*(U19-350),IF(U19&lt;=600,400+((500-400)/(600-430))*(U19-430),500)))))))</f>
        <v>23.5</v>
      </c>
      <c r="AH19" s="4" t="n">
        <f aca="false">IF(V19="","",IF((V19/1000)&lt;=1,(50/1)*(V19/1000),IF((V19/1000)&lt;=2,50+((100-50)/(2-1))*(V19/1000-1),IF((V19/1000)&lt;=10,100+((200-100)/(10-2))*(V19/1000-2),IF((V19/1000)&lt;=17,200+((300-200)/(17-10))*(V19/1000-10),IF((V19/1000)&lt;=34,300+((400-300)/(34-17))*(V19/1000-17),IF((V19/1000)&lt;=57,400+((500-400)/(57-34))*(V19/1000-34),500)))))))</f>
        <v>28.2</v>
      </c>
      <c r="AI19" s="4" t="n">
        <f aca="false">IF(W19="","",IF(W19&lt;=40,(50/40)*W19,IF(W19&lt;=80,50+((100-50)/(80-40))*(W19-40),IF(W19&lt;=180,100+((200-100)/(180-80))*(W19-80),IF(W19&lt;=280,200+((300-200)/(280-180))*(W19-180),IF(W19&lt;=400,300+((400-300)/(400-280))*(W19-280),IF(W19&lt;=800,400+((500-400)/(800-400))*(W19-400),500)))))))</f>
        <v>27.625</v>
      </c>
      <c r="AJ19" s="4" t="n">
        <f aca="false">IF(X19="","",IF(X19&lt;=40,(50/40)*X19,IF(X19&lt;=80,50+((100-50)/(80-40))*(X19-40),IF(X19&lt;=380,100+((200-100)/(380-80))*(X19-80),IF(X19&lt;=800,200+((300-200)/(800-380))*(X19-380),IF(X19&lt;=1600,300+((400-300)/(1600-800))*(X19-800),IF(X19&lt;=2100,400+((500-400)/(2100-1600))*(X19-1600),500)))))))</f>
        <v>16.625</v>
      </c>
      <c r="AK19" s="4" t="n">
        <f aca="false">IF(Y19="","",IF(Y19&lt;=50,(50/50)*Y19,IF(Y19&lt;=100,50+((100-50)/(100-50))*(Y19-50),IF(Y19&lt;=168,100+((200-100)/(168-100))*(Y19-100),IF(Y19&lt;=208,200+((300-200)/(208-168))*(Y19-168),IF(Y19&lt;=748,300+((400-300)/(748-208))*(Y19-208),IF(Y19&lt;=1000,400+((500-400)/(1000-748))*(Y19-748),500)))))))</f>
        <v>78</v>
      </c>
      <c r="AL19" s="4" t="n">
        <f aca="false">ROUND(MAX(AF19,AG19,AH19,AI19,AJ19,AK19),0)</f>
        <v>78</v>
      </c>
      <c r="AM19" s="4" t="str">
        <f aca="false">IF(AL19="","",IF(AL19&lt;=50,"Good",IF(AL19&lt;=100,"Satisfactory",IF(AL19&lt;=200,"Moderate",IF(AL19&lt;=300,"Poor",IF(AL19&lt;=400,"Very Poor","Severe"))))))</f>
        <v>Satisfactory</v>
      </c>
    </row>
    <row r="20" customFormat="false" ht="15.75" hidden="false" customHeight="false" outlineLevel="0" collapsed="false">
      <c r="A20" s="1" t="s">
        <v>39</v>
      </c>
      <c r="B20" s="1" t="s">
        <v>40</v>
      </c>
      <c r="C20" s="1" t="n">
        <v>28.4595</v>
      </c>
      <c r="D20" s="1" t="n">
        <v>77.0266</v>
      </c>
      <c r="E20" s="5" t="n">
        <v>45901</v>
      </c>
      <c r="F20" s="6" t="s">
        <v>70</v>
      </c>
      <c r="G20" s="1" t="n">
        <v>9</v>
      </c>
      <c r="H20" s="7" t="s">
        <v>42</v>
      </c>
      <c r="I20" s="6" t="s">
        <v>43</v>
      </c>
      <c r="J20" s="7" t="s">
        <v>44</v>
      </c>
      <c r="K20" s="7" t="s">
        <v>71</v>
      </c>
      <c r="L20" s="1" t="n">
        <v>96</v>
      </c>
      <c r="M20" s="1" t="n">
        <v>24.1</v>
      </c>
      <c r="N20" s="1" t="n">
        <v>38.9</v>
      </c>
      <c r="O20" s="1" t="n">
        <v>1.3</v>
      </c>
      <c r="P20" s="6" t="s">
        <v>46</v>
      </c>
      <c r="Q20" s="6" t="s">
        <v>43</v>
      </c>
      <c r="R20" s="1" t="n">
        <v>998.3</v>
      </c>
      <c r="S20" s="1" t="n">
        <v>100</v>
      </c>
      <c r="T20" s="1" t="n">
        <v>24.3</v>
      </c>
      <c r="U20" s="1" t="n">
        <v>24.6</v>
      </c>
      <c r="V20" s="1" t="n">
        <v>585</v>
      </c>
      <c r="W20" s="1" t="n">
        <v>22.4</v>
      </c>
      <c r="X20" s="1" t="n">
        <v>14</v>
      </c>
      <c r="Y20" s="1" t="n">
        <v>74</v>
      </c>
      <c r="Z20" s="1" t="n">
        <v>1</v>
      </c>
      <c r="AA20" s="1" t="n">
        <v>75</v>
      </c>
      <c r="AB20" s="7" t="s">
        <v>47</v>
      </c>
      <c r="AC20" s="7" t="s">
        <v>50</v>
      </c>
      <c r="AD20" s="6" t="s">
        <v>43</v>
      </c>
      <c r="AE20" s="6" t="s">
        <v>43</v>
      </c>
      <c r="AF20" s="4" t="n">
        <f aca="false">IF(T20="","",IF(T20&lt;=30,(50/30)*T20,IF(T20&lt;=60,50+((100-50)/(60-30))*(T20-30),IF(T20&lt;=90,100+((200-100)/(90-60))*(T20-60),IF(T20&lt;=120,200+((300-200)/(120-90))*(T20-90),IF(T20&lt;=250,300+((400-300)/(250-120))*(T20-120),IF(T20&lt;=380,400+((500-400)/(380-250))*(T20-250),500)))))))</f>
        <v>40.5</v>
      </c>
      <c r="AG20" s="4" t="n">
        <f aca="false">IF(U20="","",IF(U20&lt;=50,(50/50)*U20,IF(U20&lt;=100,50+((100-50)/(100-50))*(U20-50),IF(U20&lt;=250,100+((200-100)/(250-100))*(U20-100),IF(U20&lt;=350,200+((300-200)/(350-250))*(U20-250),IF(U20&lt;=430,300+((400-300)/(430-350))*(U20-350),IF(U20&lt;=600,400+((500-400)/(600-430))*(U20-430),500)))))))</f>
        <v>24.6</v>
      </c>
      <c r="AH20" s="4" t="n">
        <f aca="false">IF(V20="","",IF((V20/1000)&lt;=1,(50/1)*(V20/1000),IF((V20/1000)&lt;=2,50+((100-50)/(2-1))*(V20/1000-1),IF((V20/1000)&lt;=10,100+((200-100)/(10-2))*(V20/1000-2),IF((V20/1000)&lt;=17,200+((300-200)/(17-10))*(V20/1000-10),IF((V20/1000)&lt;=34,300+((400-300)/(34-17))*(V20/1000-17),IF((V20/1000)&lt;=57,400+((500-400)/(57-34))*(V20/1000-34),500)))))))</f>
        <v>29.25</v>
      </c>
      <c r="AI20" s="4" t="n">
        <f aca="false">IF(W20="","",IF(W20&lt;=40,(50/40)*W20,IF(W20&lt;=80,50+((100-50)/(80-40))*(W20-40),IF(W20&lt;=180,100+((200-100)/(180-80))*(W20-80),IF(W20&lt;=280,200+((300-200)/(280-180))*(W20-180),IF(W20&lt;=400,300+((400-300)/(400-280))*(W20-280),IF(W20&lt;=800,400+((500-400)/(800-400))*(W20-400),500)))))))</f>
        <v>28</v>
      </c>
      <c r="AJ20" s="4" t="n">
        <f aca="false">IF(X20="","",IF(X20&lt;=40,(50/40)*X20,IF(X20&lt;=80,50+((100-50)/(80-40))*(X20-40),IF(X20&lt;=380,100+((200-100)/(380-80))*(X20-80),IF(X20&lt;=800,200+((300-200)/(800-380))*(X20-380),IF(X20&lt;=1600,300+((400-300)/(1600-800))*(X20-800),IF(X20&lt;=2100,400+((500-400)/(2100-1600))*(X20-1600),500)))))))</f>
        <v>17.5</v>
      </c>
      <c r="AK20" s="4" t="n">
        <f aca="false">IF(Y20="","",IF(Y20&lt;=50,(50/50)*Y20,IF(Y20&lt;=100,50+((100-50)/(100-50))*(Y20-50),IF(Y20&lt;=168,100+((200-100)/(168-100))*(Y20-100),IF(Y20&lt;=208,200+((300-200)/(208-168))*(Y20-168),IF(Y20&lt;=748,300+((400-300)/(748-208))*(Y20-208),IF(Y20&lt;=1000,400+((500-400)/(1000-748))*(Y20-748),500)))))))</f>
        <v>74</v>
      </c>
      <c r="AL20" s="4" t="n">
        <f aca="false">ROUND(MAX(AF20,AG20,AH20,AI20,AJ20,AK20),0)</f>
        <v>74</v>
      </c>
      <c r="AM20" s="4" t="str">
        <f aca="false">IF(AL20="","",IF(AL20&lt;=50,"Good",IF(AL20&lt;=100,"Satisfactory",IF(AL20&lt;=200,"Moderate",IF(AL20&lt;=300,"Poor",IF(AL20&lt;=400,"Very Poor","Severe"))))))</f>
        <v>Satisfactory</v>
      </c>
    </row>
    <row r="21" customFormat="false" ht="15.75" hidden="false" customHeight="false" outlineLevel="0" collapsed="false">
      <c r="A21" s="1" t="s">
        <v>39</v>
      </c>
      <c r="B21" s="1" t="s">
        <v>40</v>
      </c>
      <c r="C21" s="1" t="n">
        <v>28.4595</v>
      </c>
      <c r="D21" s="1" t="n">
        <v>77.0266</v>
      </c>
      <c r="E21" s="5" t="n">
        <v>45901</v>
      </c>
      <c r="F21" s="6" t="s">
        <v>72</v>
      </c>
      <c r="G21" s="1" t="n">
        <v>9</v>
      </c>
      <c r="H21" s="7" t="s">
        <v>42</v>
      </c>
      <c r="I21" s="6" t="s">
        <v>43</v>
      </c>
      <c r="J21" s="7" t="s">
        <v>44</v>
      </c>
      <c r="K21" s="7" t="s">
        <v>71</v>
      </c>
      <c r="L21" s="1" t="n">
        <v>96</v>
      </c>
      <c r="M21" s="1" t="n">
        <v>23.9</v>
      </c>
      <c r="N21" s="1" t="n">
        <v>38.2</v>
      </c>
      <c r="O21" s="1" t="n">
        <v>2.1</v>
      </c>
      <c r="P21" s="6" t="s">
        <v>46</v>
      </c>
      <c r="Q21" s="6" t="s">
        <v>43</v>
      </c>
      <c r="R21" s="1" t="n">
        <v>998.8</v>
      </c>
      <c r="S21" s="1" t="n">
        <v>100</v>
      </c>
      <c r="T21" s="1" t="n">
        <v>25.6</v>
      </c>
      <c r="U21" s="1" t="n">
        <v>25.8</v>
      </c>
      <c r="V21" s="1" t="n">
        <v>580</v>
      </c>
      <c r="W21" s="1" t="n">
        <v>22.7</v>
      </c>
      <c r="X21" s="1" t="n">
        <v>14.8</v>
      </c>
      <c r="Y21" s="1" t="n">
        <v>68</v>
      </c>
      <c r="Z21" s="1" t="n">
        <v>0</v>
      </c>
      <c r="AA21" s="1" t="n">
        <v>74</v>
      </c>
      <c r="AB21" s="7" t="s">
        <v>47</v>
      </c>
      <c r="AC21" s="7" t="s">
        <v>50</v>
      </c>
      <c r="AD21" s="6" t="s">
        <v>43</v>
      </c>
      <c r="AE21" s="6" t="s">
        <v>43</v>
      </c>
      <c r="AF21" s="4" t="n">
        <f aca="false">IF(T21="","",IF(T21&lt;=30,(50/30)*T21,IF(T21&lt;=60,50+((100-50)/(60-30))*(T21-30),IF(T21&lt;=90,100+((200-100)/(90-60))*(T21-60),IF(T21&lt;=120,200+((300-200)/(120-90))*(T21-90),IF(T21&lt;=250,300+((400-300)/(250-120))*(T21-120),IF(T21&lt;=380,400+((500-400)/(380-250))*(T21-250),500)))))))</f>
        <v>42.6666666666667</v>
      </c>
      <c r="AG21" s="4" t="n">
        <f aca="false">IF(U21="","",IF(U21&lt;=50,(50/50)*U21,IF(U21&lt;=100,50+((100-50)/(100-50))*(U21-50),IF(U21&lt;=250,100+((200-100)/(250-100))*(U21-100),IF(U21&lt;=350,200+((300-200)/(350-250))*(U21-250),IF(U21&lt;=430,300+((400-300)/(430-350))*(U21-350),IF(U21&lt;=600,400+((500-400)/(600-430))*(U21-430),500)))))))</f>
        <v>25.8</v>
      </c>
      <c r="AH21" s="4" t="n">
        <f aca="false">IF(V21="","",IF((V21/1000)&lt;=1,(50/1)*(V21/1000),IF((V21/1000)&lt;=2,50+((100-50)/(2-1))*(V21/1000-1),IF((V21/1000)&lt;=10,100+((200-100)/(10-2))*(V21/1000-2),IF((V21/1000)&lt;=17,200+((300-200)/(17-10))*(V21/1000-10),IF((V21/1000)&lt;=34,300+((400-300)/(34-17))*(V21/1000-17),IF((V21/1000)&lt;=57,400+((500-400)/(57-34))*(V21/1000-34),500)))))))</f>
        <v>29</v>
      </c>
      <c r="AI21" s="4" t="n">
        <f aca="false">IF(W21="","",IF(W21&lt;=40,(50/40)*W21,IF(W21&lt;=80,50+((100-50)/(80-40))*(W21-40),IF(W21&lt;=180,100+((200-100)/(180-80))*(W21-80),IF(W21&lt;=280,200+((300-200)/(280-180))*(W21-180),IF(W21&lt;=400,300+((400-300)/(400-280))*(W21-280),IF(W21&lt;=800,400+((500-400)/(800-400))*(W21-400),500)))))))</f>
        <v>28.375</v>
      </c>
      <c r="AJ21" s="4" t="n">
        <f aca="false">IF(X21="","",IF(X21&lt;=40,(50/40)*X21,IF(X21&lt;=80,50+((100-50)/(80-40))*(X21-40),IF(X21&lt;=380,100+((200-100)/(380-80))*(X21-80),IF(X21&lt;=800,200+((300-200)/(800-380))*(X21-380),IF(X21&lt;=1600,300+((400-300)/(1600-800))*(X21-800),IF(X21&lt;=2100,400+((500-400)/(2100-1600))*(X21-1600),500)))))))</f>
        <v>18.5</v>
      </c>
      <c r="AK21" s="4" t="n">
        <f aca="false">IF(Y21="","",IF(Y21&lt;=50,(50/50)*Y21,IF(Y21&lt;=100,50+((100-50)/(100-50))*(Y21-50),IF(Y21&lt;=168,100+((200-100)/(168-100))*(Y21-100),IF(Y21&lt;=208,200+((300-200)/(208-168))*(Y21-168),IF(Y21&lt;=748,300+((400-300)/(748-208))*(Y21-208),IF(Y21&lt;=1000,400+((500-400)/(1000-748))*(Y21-748),500)))))))</f>
        <v>68</v>
      </c>
      <c r="AL21" s="4" t="n">
        <f aca="false">ROUND(MAX(AF21,AG21,AH21,AI21,AJ21,AK21),0)</f>
        <v>68</v>
      </c>
      <c r="AM21" s="4" t="str">
        <f aca="false">IF(AL21="","",IF(AL21&lt;=50,"Good",IF(AL21&lt;=100,"Satisfactory",IF(AL21&lt;=200,"Moderate",IF(AL21&lt;=300,"Poor",IF(AL21&lt;=400,"Very Poor","Severe"))))))</f>
        <v>Satisfactory</v>
      </c>
    </row>
    <row r="22" customFormat="false" ht="15.75" hidden="false" customHeight="false" outlineLevel="0" collapsed="false">
      <c r="A22" s="1" t="s">
        <v>39</v>
      </c>
      <c r="B22" s="1" t="s">
        <v>40</v>
      </c>
      <c r="C22" s="1" t="n">
        <v>28.4595</v>
      </c>
      <c r="D22" s="1" t="n">
        <v>77.0266</v>
      </c>
      <c r="E22" s="5" t="n">
        <v>45901</v>
      </c>
      <c r="F22" s="6" t="s">
        <v>73</v>
      </c>
      <c r="G22" s="1" t="n">
        <v>9</v>
      </c>
      <c r="H22" s="7" t="s">
        <v>42</v>
      </c>
      <c r="I22" s="6" t="s">
        <v>43</v>
      </c>
      <c r="J22" s="7" t="s">
        <v>44</v>
      </c>
      <c r="K22" s="7" t="s">
        <v>71</v>
      </c>
      <c r="L22" s="1" t="n">
        <v>96</v>
      </c>
      <c r="M22" s="1" t="n">
        <v>23.8</v>
      </c>
      <c r="N22" s="1" t="n">
        <v>32.4</v>
      </c>
      <c r="O22" s="1" t="n">
        <v>2.3</v>
      </c>
      <c r="P22" s="6" t="s">
        <v>46</v>
      </c>
      <c r="Q22" s="6" t="s">
        <v>43</v>
      </c>
      <c r="R22" s="1" t="n">
        <v>999.7</v>
      </c>
      <c r="S22" s="1" t="n">
        <v>100</v>
      </c>
      <c r="T22" s="1" t="n">
        <v>25</v>
      </c>
      <c r="U22" s="1" t="n">
        <v>25.3</v>
      </c>
      <c r="V22" s="1" t="n">
        <v>561</v>
      </c>
      <c r="W22" s="1" t="n">
        <v>22.3</v>
      </c>
      <c r="X22" s="1" t="n">
        <v>15.1</v>
      </c>
      <c r="Y22" s="1" t="n">
        <v>64</v>
      </c>
      <c r="Z22" s="1" t="n">
        <v>0</v>
      </c>
      <c r="AA22" s="1" t="n">
        <v>73</v>
      </c>
      <c r="AB22" s="7" t="s">
        <v>47</v>
      </c>
      <c r="AC22" s="7" t="s">
        <v>50</v>
      </c>
      <c r="AD22" s="6" t="s">
        <v>43</v>
      </c>
      <c r="AE22" s="6" t="s">
        <v>43</v>
      </c>
      <c r="AF22" s="4" t="n">
        <f aca="false">IF(T22="","",IF(T22&lt;=30,(50/30)*T22,IF(T22&lt;=60,50+((100-50)/(60-30))*(T22-30),IF(T22&lt;=90,100+((200-100)/(90-60))*(T22-60),IF(T22&lt;=120,200+((300-200)/(120-90))*(T22-90),IF(T22&lt;=250,300+((400-300)/(250-120))*(T22-120),IF(T22&lt;=380,400+((500-400)/(380-250))*(T22-250),500)))))))</f>
        <v>41.6666666666667</v>
      </c>
      <c r="AG22" s="4" t="n">
        <f aca="false">IF(U22="","",IF(U22&lt;=50,(50/50)*U22,IF(U22&lt;=100,50+((100-50)/(100-50))*(U22-50),IF(U22&lt;=250,100+((200-100)/(250-100))*(U22-100),IF(U22&lt;=350,200+((300-200)/(350-250))*(U22-250),IF(U22&lt;=430,300+((400-300)/(430-350))*(U22-350),IF(U22&lt;=600,400+((500-400)/(600-430))*(U22-430),500)))))))</f>
        <v>25.3</v>
      </c>
      <c r="AH22" s="4" t="n">
        <f aca="false">IF(V22="","",IF((V22/1000)&lt;=1,(50/1)*(V22/1000),IF((V22/1000)&lt;=2,50+((100-50)/(2-1))*(V22/1000-1),IF((V22/1000)&lt;=10,100+((200-100)/(10-2))*(V22/1000-2),IF((V22/1000)&lt;=17,200+((300-200)/(17-10))*(V22/1000-10),IF((V22/1000)&lt;=34,300+((400-300)/(34-17))*(V22/1000-17),IF((V22/1000)&lt;=57,400+((500-400)/(57-34))*(V22/1000-34),500)))))))</f>
        <v>28.05</v>
      </c>
      <c r="AI22" s="4" t="n">
        <f aca="false">IF(W22="","",IF(W22&lt;=40,(50/40)*W22,IF(W22&lt;=80,50+((100-50)/(80-40))*(W22-40),IF(W22&lt;=180,100+((200-100)/(180-80))*(W22-80),IF(W22&lt;=280,200+((300-200)/(280-180))*(W22-180),IF(W22&lt;=400,300+((400-300)/(400-280))*(W22-280),IF(W22&lt;=800,400+((500-400)/(800-400))*(W22-400),500)))))))</f>
        <v>27.875</v>
      </c>
      <c r="AJ22" s="4" t="n">
        <f aca="false">IF(X22="","",IF(X22&lt;=40,(50/40)*X22,IF(X22&lt;=80,50+((100-50)/(80-40))*(X22-40),IF(X22&lt;=380,100+((200-100)/(380-80))*(X22-80),IF(X22&lt;=800,200+((300-200)/(800-380))*(X22-380),IF(X22&lt;=1600,300+((400-300)/(1600-800))*(X22-800),IF(X22&lt;=2100,400+((500-400)/(2100-1600))*(X22-1600),500)))))))</f>
        <v>18.875</v>
      </c>
      <c r="AK22" s="4" t="n">
        <f aca="false">IF(Y22="","",IF(Y22&lt;=50,(50/50)*Y22,IF(Y22&lt;=100,50+((100-50)/(100-50))*(Y22-50),IF(Y22&lt;=168,100+((200-100)/(168-100))*(Y22-100),IF(Y22&lt;=208,200+((300-200)/(208-168))*(Y22-168),IF(Y22&lt;=748,300+((400-300)/(748-208))*(Y22-208),IF(Y22&lt;=1000,400+((500-400)/(1000-748))*(Y22-748),500)))))))</f>
        <v>64</v>
      </c>
      <c r="AL22" s="4" t="n">
        <f aca="false">ROUND(MAX(AF22,AG22,AH22,AI22,AJ22,AK22),0)</f>
        <v>64</v>
      </c>
      <c r="AM22" s="4" t="str">
        <f aca="false">IF(AL22="","",IF(AL22&lt;=50,"Good",IF(AL22&lt;=100,"Satisfactory",IF(AL22&lt;=200,"Moderate",IF(AL22&lt;=300,"Poor",IF(AL22&lt;=400,"Very Poor","Severe"))))))</f>
        <v>Satisfactory</v>
      </c>
    </row>
    <row r="23" customFormat="false" ht="15.75" hidden="false" customHeight="false" outlineLevel="0" collapsed="false">
      <c r="A23" s="1" t="s">
        <v>39</v>
      </c>
      <c r="B23" s="1" t="s">
        <v>40</v>
      </c>
      <c r="C23" s="1" t="n">
        <v>28.4595</v>
      </c>
      <c r="D23" s="1" t="n">
        <v>77.0266</v>
      </c>
      <c r="E23" s="5" t="n">
        <v>45901</v>
      </c>
      <c r="F23" s="6" t="s">
        <v>74</v>
      </c>
      <c r="G23" s="1" t="n">
        <v>9</v>
      </c>
      <c r="H23" s="7" t="s">
        <v>42</v>
      </c>
      <c r="I23" s="6" t="s">
        <v>43</v>
      </c>
      <c r="J23" s="7" t="s">
        <v>44</v>
      </c>
      <c r="K23" s="7" t="s">
        <v>75</v>
      </c>
      <c r="L23" s="1" t="n">
        <v>97</v>
      </c>
      <c r="M23" s="1" t="n">
        <v>23.8</v>
      </c>
      <c r="N23" s="1" t="n">
        <v>32.8</v>
      </c>
      <c r="O23" s="1" t="n">
        <v>1.9</v>
      </c>
      <c r="P23" s="6" t="s">
        <v>46</v>
      </c>
      <c r="Q23" s="6" t="s">
        <v>43</v>
      </c>
      <c r="R23" s="1" t="n">
        <v>1000.2</v>
      </c>
      <c r="S23" s="1" t="n">
        <v>100</v>
      </c>
      <c r="T23" s="1" t="n">
        <v>24.7</v>
      </c>
      <c r="U23" s="1" t="n">
        <v>24.9</v>
      </c>
      <c r="V23" s="1" t="n">
        <v>529</v>
      </c>
      <c r="W23" s="1" t="n">
        <v>20.7</v>
      </c>
      <c r="X23" s="1" t="n">
        <v>14.4</v>
      </c>
      <c r="Y23" s="1" t="n">
        <v>63</v>
      </c>
      <c r="Z23" s="1" t="n">
        <v>0</v>
      </c>
      <c r="AA23" s="1" t="n">
        <v>72</v>
      </c>
      <c r="AB23" s="7" t="s">
        <v>47</v>
      </c>
      <c r="AC23" s="7" t="s">
        <v>50</v>
      </c>
      <c r="AD23" s="6" t="s">
        <v>43</v>
      </c>
      <c r="AE23" s="6" t="s">
        <v>43</v>
      </c>
      <c r="AF23" s="4" t="n">
        <f aca="false">IF(T23="","",IF(T23&lt;=30,(50/30)*T23,IF(T23&lt;=60,50+((100-50)/(60-30))*(T23-30),IF(T23&lt;=90,100+((200-100)/(90-60))*(T23-60),IF(T23&lt;=120,200+((300-200)/(120-90))*(T23-90),IF(T23&lt;=250,300+((400-300)/(250-120))*(T23-120),IF(T23&lt;=380,400+((500-400)/(380-250))*(T23-250),500)))))))</f>
        <v>41.1666666666667</v>
      </c>
      <c r="AG23" s="4" t="n">
        <f aca="false">IF(U23="","",IF(U23&lt;=50,(50/50)*U23,IF(U23&lt;=100,50+((100-50)/(100-50))*(U23-50),IF(U23&lt;=250,100+((200-100)/(250-100))*(U23-100),IF(U23&lt;=350,200+((300-200)/(350-250))*(U23-250),IF(U23&lt;=430,300+((400-300)/(430-350))*(U23-350),IF(U23&lt;=600,400+((500-400)/(600-430))*(U23-430),500)))))))</f>
        <v>24.9</v>
      </c>
      <c r="AH23" s="4" t="n">
        <f aca="false">IF(V23="","",IF((V23/1000)&lt;=1,(50/1)*(V23/1000),IF((V23/1000)&lt;=2,50+((100-50)/(2-1))*(V23/1000-1),IF((V23/1000)&lt;=10,100+((200-100)/(10-2))*(V23/1000-2),IF((V23/1000)&lt;=17,200+((300-200)/(17-10))*(V23/1000-10),IF((V23/1000)&lt;=34,300+((400-300)/(34-17))*(V23/1000-17),IF((V23/1000)&lt;=57,400+((500-400)/(57-34))*(V23/1000-34),500)))))))</f>
        <v>26.45</v>
      </c>
      <c r="AI23" s="4" t="n">
        <f aca="false">IF(W23="","",IF(W23&lt;=40,(50/40)*W23,IF(W23&lt;=80,50+((100-50)/(80-40))*(W23-40),IF(W23&lt;=180,100+((200-100)/(180-80))*(W23-80),IF(W23&lt;=280,200+((300-200)/(280-180))*(W23-180),IF(W23&lt;=400,300+((400-300)/(400-280))*(W23-280),IF(W23&lt;=800,400+((500-400)/(800-400))*(W23-400),500)))))))</f>
        <v>25.875</v>
      </c>
      <c r="AJ23" s="4" t="n">
        <f aca="false">IF(X23="","",IF(X23&lt;=40,(50/40)*X23,IF(X23&lt;=80,50+((100-50)/(80-40))*(X23-40),IF(X23&lt;=380,100+((200-100)/(380-80))*(X23-80),IF(X23&lt;=800,200+((300-200)/(800-380))*(X23-380),IF(X23&lt;=1600,300+((400-300)/(1600-800))*(X23-800),IF(X23&lt;=2100,400+((500-400)/(2100-1600))*(X23-1600),500)))))))</f>
        <v>18</v>
      </c>
      <c r="AK23" s="4" t="n">
        <f aca="false">IF(Y23="","",IF(Y23&lt;=50,(50/50)*Y23,IF(Y23&lt;=100,50+((100-50)/(100-50))*(Y23-50),IF(Y23&lt;=168,100+((200-100)/(168-100))*(Y23-100),IF(Y23&lt;=208,200+((300-200)/(208-168))*(Y23-168),IF(Y23&lt;=748,300+((400-300)/(748-208))*(Y23-208),IF(Y23&lt;=1000,400+((500-400)/(1000-748))*(Y23-748),500)))))))</f>
        <v>63</v>
      </c>
      <c r="AL23" s="4" t="n">
        <f aca="false">ROUND(MAX(AF23,AG23,AH23,AI23,AJ23,AK23),0)</f>
        <v>63</v>
      </c>
      <c r="AM23" s="4" t="str">
        <f aca="false">IF(AL23="","",IF(AL23&lt;=50,"Good",IF(AL23&lt;=100,"Satisfactory",IF(AL23&lt;=200,"Moderate",IF(AL23&lt;=300,"Poor",IF(AL23&lt;=400,"Very Poor","Severe"))))))</f>
        <v>Satisfactory</v>
      </c>
    </row>
    <row r="24" customFormat="false" ht="15.75" hidden="false" customHeight="false" outlineLevel="0" collapsed="false">
      <c r="A24" s="1" t="s">
        <v>39</v>
      </c>
      <c r="B24" s="1" t="s">
        <v>40</v>
      </c>
      <c r="C24" s="1" t="n">
        <v>28.4595</v>
      </c>
      <c r="D24" s="1" t="n">
        <v>77.0266</v>
      </c>
      <c r="E24" s="5" t="n">
        <v>45901</v>
      </c>
      <c r="F24" s="6" t="s">
        <v>76</v>
      </c>
      <c r="G24" s="1" t="n">
        <v>9</v>
      </c>
      <c r="H24" s="7" t="s">
        <v>42</v>
      </c>
      <c r="I24" s="6" t="s">
        <v>43</v>
      </c>
      <c r="J24" s="7" t="s">
        <v>44</v>
      </c>
      <c r="K24" s="7" t="s">
        <v>75</v>
      </c>
      <c r="L24" s="1" t="n">
        <v>97</v>
      </c>
      <c r="M24" s="1" t="n">
        <v>23.8</v>
      </c>
      <c r="N24" s="1" t="n">
        <v>32.4</v>
      </c>
      <c r="O24" s="1" t="n">
        <v>0.2</v>
      </c>
      <c r="P24" s="6" t="s">
        <v>46</v>
      </c>
      <c r="Q24" s="6" t="s">
        <v>43</v>
      </c>
      <c r="R24" s="1" t="n">
        <v>1000.5</v>
      </c>
      <c r="S24" s="1" t="n">
        <v>100</v>
      </c>
      <c r="T24" s="1" t="n">
        <v>23.4</v>
      </c>
      <c r="U24" s="1" t="n">
        <v>23.5</v>
      </c>
      <c r="V24" s="1" t="n">
        <v>483</v>
      </c>
      <c r="W24" s="1" t="n">
        <v>18.3</v>
      </c>
      <c r="X24" s="1" t="n">
        <v>13.1</v>
      </c>
      <c r="Y24" s="1" t="n">
        <v>63</v>
      </c>
      <c r="Z24" s="1" t="n">
        <v>0</v>
      </c>
      <c r="AA24" s="1" t="n">
        <v>70</v>
      </c>
      <c r="AB24" s="7" t="s">
        <v>47</v>
      </c>
      <c r="AC24" s="7" t="s">
        <v>50</v>
      </c>
      <c r="AD24" s="6" t="s">
        <v>43</v>
      </c>
      <c r="AE24" s="6" t="s">
        <v>43</v>
      </c>
      <c r="AF24" s="4" t="n">
        <f aca="false">IF(T24="","",IF(T24&lt;=30,(50/30)*T24,IF(T24&lt;=60,50+((100-50)/(60-30))*(T24-30),IF(T24&lt;=90,100+((200-100)/(90-60))*(T24-60),IF(T24&lt;=120,200+((300-200)/(120-90))*(T24-90),IF(T24&lt;=250,300+((400-300)/(250-120))*(T24-120),IF(T24&lt;=380,400+((500-400)/(380-250))*(T24-250),500)))))))</f>
        <v>39</v>
      </c>
      <c r="AG24" s="4" t="n">
        <f aca="false">IF(U24="","",IF(U24&lt;=50,(50/50)*U24,IF(U24&lt;=100,50+((100-50)/(100-50))*(U24-50),IF(U24&lt;=250,100+((200-100)/(250-100))*(U24-100),IF(U24&lt;=350,200+((300-200)/(350-250))*(U24-250),IF(U24&lt;=430,300+((400-300)/(430-350))*(U24-350),IF(U24&lt;=600,400+((500-400)/(600-430))*(U24-430),500)))))))</f>
        <v>23.5</v>
      </c>
      <c r="AH24" s="4" t="n">
        <f aca="false">IF(V24="","",IF((V24/1000)&lt;=1,(50/1)*(V24/1000),IF((V24/1000)&lt;=2,50+((100-50)/(2-1))*(V24/1000-1),IF((V24/1000)&lt;=10,100+((200-100)/(10-2))*(V24/1000-2),IF((V24/1000)&lt;=17,200+((300-200)/(17-10))*(V24/1000-10),IF((V24/1000)&lt;=34,300+((400-300)/(34-17))*(V24/1000-17),IF((V24/1000)&lt;=57,400+((500-400)/(57-34))*(V24/1000-34),500)))))))</f>
        <v>24.15</v>
      </c>
      <c r="AI24" s="4" t="n">
        <f aca="false">IF(W24="","",IF(W24&lt;=40,(50/40)*W24,IF(W24&lt;=80,50+((100-50)/(80-40))*(W24-40),IF(W24&lt;=180,100+((200-100)/(180-80))*(W24-80),IF(W24&lt;=280,200+((300-200)/(280-180))*(W24-180),IF(W24&lt;=400,300+((400-300)/(400-280))*(W24-280),IF(W24&lt;=800,400+((500-400)/(800-400))*(W24-400),500)))))))</f>
        <v>22.875</v>
      </c>
      <c r="AJ24" s="4" t="n">
        <f aca="false">IF(X24="","",IF(X24&lt;=40,(50/40)*X24,IF(X24&lt;=80,50+((100-50)/(80-40))*(X24-40),IF(X24&lt;=380,100+((200-100)/(380-80))*(X24-80),IF(X24&lt;=800,200+((300-200)/(800-380))*(X24-380),IF(X24&lt;=1600,300+((400-300)/(1600-800))*(X24-800),IF(X24&lt;=2100,400+((500-400)/(2100-1600))*(X24-1600),500)))))))</f>
        <v>16.375</v>
      </c>
      <c r="AK24" s="4" t="n">
        <f aca="false">IF(Y24="","",IF(Y24&lt;=50,(50/50)*Y24,IF(Y24&lt;=100,50+((100-50)/(100-50))*(Y24-50),IF(Y24&lt;=168,100+((200-100)/(168-100))*(Y24-100),IF(Y24&lt;=208,200+((300-200)/(208-168))*(Y24-168),IF(Y24&lt;=748,300+((400-300)/(748-208))*(Y24-208),IF(Y24&lt;=1000,400+((500-400)/(1000-748))*(Y24-748),500)))))))</f>
        <v>63</v>
      </c>
      <c r="AL24" s="4" t="n">
        <f aca="false">ROUND(MAX(AF24,AG24,AH24,AI24,AJ24,AK24),0)</f>
        <v>63</v>
      </c>
      <c r="AM24" s="4" t="str">
        <f aca="false">IF(AL24="","",IF(AL24&lt;=50,"Good",IF(AL24&lt;=100,"Satisfactory",IF(AL24&lt;=200,"Moderate",IF(AL24&lt;=300,"Poor",IF(AL24&lt;=400,"Very Poor","Severe"))))))</f>
        <v>Satisfactory</v>
      </c>
    </row>
    <row r="25" customFormat="false" ht="15.75" hidden="false" customHeight="false" outlineLevel="0" collapsed="false">
      <c r="A25" s="1" t="s">
        <v>39</v>
      </c>
      <c r="B25" s="1" t="s">
        <v>40</v>
      </c>
      <c r="C25" s="1" t="n">
        <v>28.4595</v>
      </c>
      <c r="D25" s="1" t="n">
        <v>77.0266</v>
      </c>
      <c r="E25" s="5" t="n">
        <v>45901</v>
      </c>
      <c r="F25" s="6" t="s">
        <v>77</v>
      </c>
      <c r="G25" s="1" t="n">
        <v>9</v>
      </c>
      <c r="H25" s="7" t="s">
        <v>42</v>
      </c>
      <c r="I25" s="6" t="s">
        <v>43</v>
      </c>
      <c r="J25" s="7" t="s">
        <v>44</v>
      </c>
      <c r="K25" s="7" t="s">
        <v>75</v>
      </c>
      <c r="L25" s="1" t="n">
        <v>98</v>
      </c>
      <c r="M25" s="1" t="n">
        <v>23.9</v>
      </c>
      <c r="N25" s="1" t="n">
        <v>26.3</v>
      </c>
      <c r="O25" s="1" t="n">
        <v>2.2</v>
      </c>
      <c r="P25" s="6" t="s">
        <v>46</v>
      </c>
      <c r="Q25" s="6" t="s">
        <v>43</v>
      </c>
      <c r="R25" s="1" t="n">
        <v>1000.3</v>
      </c>
      <c r="S25" s="1" t="n">
        <v>100</v>
      </c>
      <c r="T25" s="1" t="n">
        <v>20.1</v>
      </c>
      <c r="U25" s="1" t="n">
        <v>20.1</v>
      </c>
      <c r="V25" s="1" t="n">
        <v>432</v>
      </c>
      <c r="W25" s="1" t="n">
        <v>16.2</v>
      </c>
      <c r="X25" s="1" t="n">
        <v>11.8</v>
      </c>
      <c r="Y25" s="1" t="n">
        <v>63</v>
      </c>
      <c r="Z25" s="1" t="n">
        <v>0</v>
      </c>
      <c r="AA25" s="1" t="n">
        <v>69</v>
      </c>
      <c r="AB25" s="7" t="s">
        <v>47</v>
      </c>
      <c r="AC25" s="7" t="s">
        <v>50</v>
      </c>
      <c r="AD25" s="6" t="s">
        <v>43</v>
      </c>
      <c r="AE25" s="6" t="s">
        <v>43</v>
      </c>
      <c r="AF25" s="4" t="n">
        <f aca="false">IF(T25="","",IF(T25&lt;=30,(50/30)*T25,IF(T25&lt;=60,50+((100-50)/(60-30))*(T25-30),IF(T25&lt;=90,100+((200-100)/(90-60))*(T25-60),IF(T25&lt;=120,200+((300-200)/(120-90))*(T25-90),IF(T25&lt;=250,300+((400-300)/(250-120))*(T25-120),IF(T25&lt;=380,400+((500-400)/(380-250))*(T25-250),500)))))))</f>
        <v>33.5</v>
      </c>
      <c r="AG25" s="4" t="n">
        <f aca="false">IF(U25="","",IF(U25&lt;=50,(50/50)*U25,IF(U25&lt;=100,50+((100-50)/(100-50))*(U25-50),IF(U25&lt;=250,100+((200-100)/(250-100))*(U25-100),IF(U25&lt;=350,200+((300-200)/(350-250))*(U25-250),IF(U25&lt;=430,300+((400-300)/(430-350))*(U25-350),IF(U25&lt;=600,400+((500-400)/(600-430))*(U25-430),500)))))))</f>
        <v>20.1</v>
      </c>
      <c r="AH25" s="4" t="n">
        <f aca="false">IF(V25="","",IF((V25/1000)&lt;=1,(50/1)*(V25/1000),IF((V25/1000)&lt;=2,50+((100-50)/(2-1))*(V25/1000-1),IF((V25/1000)&lt;=10,100+((200-100)/(10-2))*(V25/1000-2),IF((V25/1000)&lt;=17,200+((300-200)/(17-10))*(V25/1000-10),IF((V25/1000)&lt;=34,300+((400-300)/(34-17))*(V25/1000-17),IF((V25/1000)&lt;=57,400+((500-400)/(57-34))*(V25/1000-34),500)))))))</f>
        <v>21.6</v>
      </c>
      <c r="AI25" s="4" t="n">
        <f aca="false">IF(W25="","",IF(W25&lt;=40,(50/40)*W25,IF(W25&lt;=80,50+((100-50)/(80-40))*(W25-40),IF(W25&lt;=180,100+((200-100)/(180-80))*(W25-80),IF(W25&lt;=280,200+((300-200)/(280-180))*(W25-180),IF(W25&lt;=400,300+((400-300)/(400-280))*(W25-280),IF(W25&lt;=800,400+((500-400)/(800-400))*(W25-400),500)))))))</f>
        <v>20.25</v>
      </c>
      <c r="AJ25" s="4" t="n">
        <f aca="false">IF(X25="","",IF(X25&lt;=40,(50/40)*X25,IF(X25&lt;=80,50+((100-50)/(80-40))*(X25-40),IF(X25&lt;=380,100+((200-100)/(380-80))*(X25-80),IF(X25&lt;=800,200+((300-200)/(800-380))*(X25-380),IF(X25&lt;=1600,300+((400-300)/(1600-800))*(X25-800),IF(X25&lt;=2100,400+((500-400)/(2100-1600))*(X25-1600),500)))))))</f>
        <v>14.75</v>
      </c>
      <c r="AK25" s="4" t="n">
        <f aca="false">IF(Y25="","",IF(Y25&lt;=50,(50/50)*Y25,IF(Y25&lt;=100,50+((100-50)/(100-50))*(Y25-50),IF(Y25&lt;=168,100+((200-100)/(168-100))*(Y25-100),IF(Y25&lt;=208,200+((300-200)/(208-168))*(Y25-168),IF(Y25&lt;=748,300+((400-300)/(748-208))*(Y25-208),IF(Y25&lt;=1000,400+((500-400)/(1000-748))*(Y25-748),500)))))))</f>
        <v>63</v>
      </c>
      <c r="AL25" s="4" t="n">
        <f aca="false">ROUND(MAX(AF25,AG25,AH25,AI25,AJ25,AK25),0)</f>
        <v>63</v>
      </c>
      <c r="AM25" s="4" t="str">
        <f aca="false">IF(AL25="","",IF(AL25&lt;=50,"Good",IF(AL25&lt;=100,"Satisfactory",IF(AL25&lt;=200,"Moderate",IF(AL25&lt;=300,"Poor",IF(AL25&lt;=400,"Very Poor","Severe"))))))</f>
        <v>Satisfactory</v>
      </c>
    </row>
    <row r="26" customFormat="false" ht="15.75" hidden="false" customHeight="false" outlineLevel="0" collapsed="false">
      <c r="A26" s="1" t="s">
        <v>39</v>
      </c>
      <c r="B26" s="1" t="s">
        <v>40</v>
      </c>
      <c r="C26" s="1" t="n">
        <v>28.4595</v>
      </c>
      <c r="D26" s="1" t="n">
        <v>77.0266</v>
      </c>
      <c r="E26" s="5" t="n">
        <v>45902</v>
      </c>
      <c r="F26" s="6" t="s">
        <v>41</v>
      </c>
      <c r="G26" s="1" t="n">
        <v>9</v>
      </c>
      <c r="H26" s="7" t="s">
        <v>78</v>
      </c>
      <c r="I26" s="6" t="s">
        <v>43</v>
      </c>
      <c r="J26" s="7" t="s">
        <v>44</v>
      </c>
      <c r="K26" s="7" t="s">
        <v>45</v>
      </c>
      <c r="L26" s="1" t="n">
        <v>98</v>
      </c>
      <c r="M26" s="1" t="n">
        <v>24</v>
      </c>
      <c r="N26" s="1" t="n">
        <v>23</v>
      </c>
      <c r="O26" s="1" t="n">
        <v>0.4</v>
      </c>
      <c r="P26" s="6" t="s">
        <v>46</v>
      </c>
      <c r="Q26" s="6" t="s">
        <v>43</v>
      </c>
      <c r="R26" s="1" t="n">
        <v>999.8</v>
      </c>
      <c r="S26" s="1" t="n">
        <v>100</v>
      </c>
      <c r="T26" s="1" t="n">
        <v>16.2</v>
      </c>
      <c r="U26" s="1" t="n">
        <v>16.4</v>
      </c>
      <c r="V26" s="1" t="n">
        <v>370</v>
      </c>
      <c r="W26" s="1" t="n">
        <v>14.5</v>
      </c>
      <c r="X26" s="1" t="n">
        <v>10.6</v>
      </c>
      <c r="Y26" s="1" t="n">
        <v>64</v>
      </c>
      <c r="Z26" s="1" t="n">
        <v>0</v>
      </c>
      <c r="AA26" s="1" t="n">
        <v>67</v>
      </c>
      <c r="AB26" s="7" t="s">
        <v>47</v>
      </c>
      <c r="AC26" s="7" t="s">
        <v>50</v>
      </c>
      <c r="AD26" s="6" t="s">
        <v>43</v>
      </c>
      <c r="AE26" s="6" t="s">
        <v>43</v>
      </c>
      <c r="AF26" s="4" t="n">
        <f aca="false">IF(T26="","",IF(T26&lt;=30,(50/30)*T26,IF(T26&lt;=60,50+((100-50)/(60-30))*(T26-30),IF(T26&lt;=90,100+((200-100)/(90-60))*(T26-60),IF(T26&lt;=120,200+((300-200)/(120-90))*(T26-90),IF(T26&lt;=250,300+((400-300)/(250-120))*(T26-120),IF(T26&lt;=380,400+((500-400)/(380-250))*(T26-250),500)))))))</f>
        <v>27</v>
      </c>
      <c r="AG26" s="4" t="n">
        <f aca="false">IF(U26="","",IF(U26&lt;=50,(50/50)*U26,IF(U26&lt;=100,50+((100-50)/(100-50))*(U26-50),IF(U26&lt;=250,100+((200-100)/(250-100))*(U26-100),IF(U26&lt;=350,200+((300-200)/(350-250))*(U26-250),IF(U26&lt;=430,300+((400-300)/(430-350))*(U26-350),IF(U26&lt;=600,400+((500-400)/(600-430))*(U26-430),500)))))))</f>
        <v>16.4</v>
      </c>
      <c r="AH26" s="4" t="n">
        <f aca="false">IF(V26="","",IF((V26/1000)&lt;=1,(50/1)*(V26/1000),IF((V26/1000)&lt;=2,50+((100-50)/(2-1))*(V26/1000-1),IF((V26/1000)&lt;=10,100+((200-100)/(10-2))*(V26/1000-2),IF((V26/1000)&lt;=17,200+((300-200)/(17-10))*(V26/1000-10),IF((V26/1000)&lt;=34,300+((400-300)/(34-17))*(V26/1000-17),IF((V26/1000)&lt;=57,400+((500-400)/(57-34))*(V26/1000-34),500)))))))</f>
        <v>18.5</v>
      </c>
      <c r="AI26" s="4" t="n">
        <f aca="false">IF(W26="","",IF(W26&lt;=40,(50/40)*W26,IF(W26&lt;=80,50+((100-50)/(80-40))*(W26-40),IF(W26&lt;=180,100+((200-100)/(180-80))*(W26-80),IF(W26&lt;=280,200+((300-200)/(280-180))*(W26-180),IF(W26&lt;=400,300+((400-300)/(400-280))*(W26-280),IF(W26&lt;=800,400+((500-400)/(800-400))*(W26-400),500)))))))</f>
        <v>18.125</v>
      </c>
      <c r="AJ26" s="4" t="n">
        <f aca="false">IF(X26="","",IF(X26&lt;=40,(50/40)*X26,IF(X26&lt;=80,50+((100-50)/(80-40))*(X26-40),IF(X26&lt;=380,100+((200-100)/(380-80))*(X26-80),IF(X26&lt;=800,200+((300-200)/(800-380))*(X26-380),IF(X26&lt;=1600,300+((400-300)/(1600-800))*(X26-800),IF(X26&lt;=2100,400+((500-400)/(2100-1600))*(X26-1600),500)))))))</f>
        <v>13.25</v>
      </c>
      <c r="AK26" s="4" t="n">
        <f aca="false">IF(Y26="","",IF(Y26&lt;=50,(50/50)*Y26,IF(Y26&lt;=100,50+((100-50)/(100-50))*(Y26-50),IF(Y26&lt;=168,100+((200-100)/(168-100))*(Y26-100),IF(Y26&lt;=208,200+((300-200)/(208-168))*(Y26-168),IF(Y26&lt;=748,300+((400-300)/(748-208))*(Y26-208),IF(Y26&lt;=1000,400+((500-400)/(1000-748))*(Y26-748),500)))))))</f>
        <v>64</v>
      </c>
      <c r="AL26" s="4" t="n">
        <f aca="false">ROUND(MAX(AF26,AG26,AH26,AI26,AJ26,AK26),0)</f>
        <v>64</v>
      </c>
      <c r="AM26" s="4" t="str">
        <f aca="false">IF(AL26="","",IF(AL26&lt;=50,"Good",IF(AL26&lt;=100,"Satisfactory",IF(AL26&lt;=200,"Moderate",IF(AL26&lt;=300,"Poor",IF(AL26&lt;=400,"Very Poor","Severe"))))))</f>
        <v>Satisfactory</v>
      </c>
    </row>
    <row r="27" customFormat="false" ht="15.75" hidden="false" customHeight="false" outlineLevel="0" collapsed="false">
      <c r="A27" s="1" t="s">
        <v>39</v>
      </c>
      <c r="B27" s="1" t="s">
        <v>40</v>
      </c>
      <c r="C27" s="1" t="n">
        <v>28.4595</v>
      </c>
      <c r="D27" s="1" t="n">
        <v>77.0266</v>
      </c>
      <c r="E27" s="5" t="n">
        <v>45902</v>
      </c>
      <c r="F27" s="6" t="s">
        <v>49</v>
      </c>
      <c r="G27" s="1" t="n">
        <v>9</v>
      </c>
      <c r="H27" s="7" t="s">
        <v>78</v>
      </c>
      <c r="I27" s="6" t="s">
        <v>43</v>
      </c>
      <c r="J27" s="7" t="s">
        <v>44</v>
      </c>
      <c r="K27" s="7" t="s">
        <v>45</v>
      </c>
      <c r="L27" s="1" t="n">
        <v>98</v>
      </c>
      <c r="M27" s="1" t="n">
        <v>23.8</v>
      </c>
      <c r="N27" s="1" t="n">
        <v>26.3</v>
      </c>
      <c r="O27" s="1" t="n">
        <v>0.5</v>
      </c>
      <c r="P27" s="6" t="s">
        <v>46</v>
      </c>
      <c r="Q27" s="6" t="s">
        <v>43</v>
      </c>
      <c r="R27" s="1" t="n">
        <v>999.2</v>
      </c>
      <c r="S27" s="1" t="n">
        <v>100</v>
      </c>
      <c r="T27" s="1" t="n">
        <v>12.6</v>
      </c>
      <c r="U27" s="1" t="n">
        <v>12.7</v>
      </c>
      <c r="V27" s="1" t="n">
        <v>304</v>
      </c>
      <c r="W27" s="1" t="n">
        <v>12.9</v>
      </c>
      <c r="X27" s="1" t="n">
        <v>9.4</v>
      </c>
      <c r="Y27" s="1" t="n">
        <v>65</v>
      </c>
      <c r="Z27" s="1" t="n">
        <v>0</v>
      </c>
      <c r="AA27" s="1" t="n">
        <v>66</v>
      </c>
      <c r="AB27" s="7" t="s">
        <v>47</v>
      </c>
      <c r="AC27" s="7" t="s">
        <v>50</v>
      </c>
      <c r="AD27" s="6" t="s">
        <v>43</v>
      </c>
      <c r="AE27" s="6" t="s">
        <v>43</v>
      </c>
      <c r="AF27" s="4" t="n">
        <f aca="false">IF(T27="","",IF(T27&lt;=30,(50/30)*T27,IF(T27&lt;=60,50+((100-50)/(60-30))*(T27-30),IF(T27&lt;=90,100+((200-100)/(90-60))*(T27-60),IF(T27&lt;=120,200+((300-200)/(120-90))*(T27-90),IF(T27&lt;=250,300+((400-300)/(250-120))*(T27-120),IF(T27&lt;=380,400+((500-400)/(380-250))*(T27-250),500)))))))</f>
        <v>21</v>
      </c>
      <c r="AG27" s="4" t="n">
        <f aca="false">IF(U27="","",IF(U27&lt;=50,(50/50)*U27,IF(U27&lt;=100,50+((100-50)/(100-50))*(U27-50),IF(U27&lt;=250,100+((200-100)/(250-100))*(U27-100),IF(U27&lt;=350,200+((300-200)/(350-250))*(U27-250),IF(U27&lt;=430,300+((400-300)/(430-350))*(U27-350),IF(U27&lt;=600,400+((500-400)/(600-430))*(U27-430),500)))))))</f>
        <v>12.7</v>
      </c>
      <c r="AH27" s="4" t="n">
        <f aca="false">IF(V27="","",IF((V27/1000)&lt;=1,(50/1)*(V27/1000),IF((V27/1000)&lt;=2,50+((100-50)/(2-1))*(V27/1000-1),IF((V27/1000)&lt;=10,100+((200-100)/(10-2))*(V27/1000-2),IF((V27/1000)&lt;=17,200+((300-200)/(17-10))*(V27/1000-10),IF((V27/1000)&lt;=34,300+((400-300)/(34-17))*(V27/1000-17),IF((V27/1000)&lt;=57,400+((500-400)/(57-34))*(V27/1000-34),500)))))))</f>
        <v>15.2</v>
      </c>
      <c r="AI27" s="4" t="n">
        <f aca="false">IF(W27="","",IF(W27&lt;=40,(50/40)*W27,IF(W27&lt;=80,50+((100-50)/(80-40))*(W27-40),IF(W27&lt;=180,100+((200-100)/(180-80))*(W27-80),IF(W27&lt;=280,200+((300-200)/(280-180))*(W27-180),IF(W27&lt;=400,300+((400-300)/(400-280))*(W27-280),IF(W27&lt;=800,400+((500-400)/(800-400))*(W27-400),500)))))))</f>
        <v>16.125</v>
      </c>
      <c r="AJ27" s="4" t="n">
        <f aca="false">IF(X27="","",IF(X27&lt;=40,(50/40)*X27,IF(X27&lt;=80,50+((100-50)/(80-40))*(X27-40),IF(X27&lt;=380,100+((200-100)/(380-80))*(X27-80),IF(X27&lt;=800,200+((300-200)/(800-380))*(X27-380),IF(X27&lt;=1600,300+((400-300)/(1600-800))*(X27-800),IF(X27&lt;=2100,400+((500-400)/(2100-1600))*(X27-1600),500)))))))</f>
        <v>11.75</v>
      </c>
      <c r="AK27" s="4" t="n">
        <f aca="false">IF(Y27="","",IF(Y27&lt;=50,(50/50)*Y27,IF(Y27&lt;=100,50+((100-50)/(100-50))*(Y27-50),IF(Y27&lt;=168,100+((200-100)/(168-100))*(Y27-100),IF(Y27&lt;=208,200+((300-200)/(208-168))*(Y27-168),IF(Y27&lt;=748,300+((400-300)/(748-208))*(Y27-208),IF(Y27&lt;=1000,400+((500-400)/(1000-748))*(Y27-748),500)))))))</f>
        <v>65</v>
      </c>
      <c r="AL27" s="4" t="n">
        <f aca="false">ROUND(MAX(AF27,AG27,AH27,AI27,AJ27,AK27),0)</f>
        <v>65</v>
      </c>
      <c r="AM27" s="4" t="str">
        <f aca="false">IF(AL27="","",IF(AL27&lt;=50,"Good",IF(AL27&lt;=100,"Satisfactory",IF(AL27&lt;=200,"Moderate",IF(AL27&lt;=300,"Poor",IF(AL27&lt;=400,"Very Poor","Severe"))))))</f>
        <v>Satisfactory</v>
      </c>
    </row>
    <row r="28" customFormat="false" ht="15.75" hidden="false" customHeight="false" outlineLevel="0" collapsed="false">
      <c r="A28" s="1" t="s">
        <v>39</v>
      </c>
      <c r="B28" s="1" t="s">
        <v>40</v>
      </c>
      <c r="C28" s="1" t="n">
        <v>28.4595</v>
      </c>
      <c r="D28" s="1" t="n">
        <v>77.0266</v>
      </c>
      <c r="E28" s="5" t="n">
        <v>45902</v>
      </c>
      <c r="F28" s="6" t="s">
        <v>51</v>
      </c>
      <c r="G28" s="1" t="n">
        <v>9</v>
      </c>
      <c r="H28" s="7" t="s">
        <v>78</v>
      </c>
      <c r="I28" s="6" t="s">
        <v>43</v>
      </c>
      <c r="J28" s="7" t="s">
        <v>44</v>
      </c>
      <c r="K28" s="7" t="s">
        <v>45</v>
      </c>
      <c r="L28" s="1" t="n">
        <v>99</v>
      </c>
      <c r="M28" s="1" t="n">
        <v>23.6</v>
      </c>
      <c r="N28" s="1" t="n">
        <v>26.3</v>
      </c>
      <c r="O28" s="1" t="n">
        <v>1.3</v>
      </c>
      <c r="P28" s="6" t="s">
        <v>46</v>
      </c>
      <c r="Q28" s="6" t="s">
        <v>43</v>
      </c>
      <c r="R28" s="1" t="n">
        <v>998.8</v>
      </c>
      <c r="S28" s="1" t="n">
        <v>100</v>
      </c>
      <c r="T28" s="1" t="n">
        <v>10.8</v>
      </c>
      <c r="U28" s="1" t="n">
        <v>10.9</v>
      </c>
      <c r="V28" s="1" t="n">
        <v>258</v>
      </c>
      <c r="W28" s="1" t="n">
        <v>11.9</v>
      </c>
      <c r="X28" s="1" t="n">
        <v>8.7</v>
      </c>
      <c r="Y28" s="1" t="n">
        <v>65</v>
      </c>
      <c r="Z28" s="1" t="n">
        <v>0</v>
      </c>
      <c r="AA28" s="1" t="n">
        <v>65</v>
      </c>
      <c r="AB28" s="7" t="s">
        <v>47</v>
      </c>
      <c r="AC28" s="7" t="s">
        <v>50</v>
      </c>
      <c r="AD28" s="6" t="s">
        <v>43</v>
      </c>
      <c r="AE28" s="6" t="s">
        <v>43</v>
      </c>
      <c r="AF28" s="4" t="n">
        <f aca="false">IF(T28="","",IF(T28&lt;=30,(50/30)*T28,IF(T28&lt;=60,50+((100-50)/(60-30))*(T28-30),IF(T28&lt;=90,100+((200-100)/(90-60))*(T28-60),IF(T28&lt;=120,200+((300-200)/(120-90))*(T28-90),IF(T28&lt;=250,300+((400-300)/(250-120))*(T28-120),IF(T28&lt;=380,400+((500-400)/(380-250))*(T28-250),500)))))))</f>
        <v>18</v>
      </c>
      <c r="AG28" s="4" t="n">
        <f aca="false">IF(U28="","",IF(U28&lt;=50,(50/50)*U28,IF(U28&lt;=100,50+((100-50)/(100-50))*(U28-50),IF(U28&lt;=250,100+((200-100)/(250-100))*(U28-100),IF(U28&lt;=350,200+((300-200)/(350-250))*(U28-250),IF(U28&lt;=430,300+((400-300)/(430-350))*(U28-350),IF(U28&lt;=600,400+((500-400)/(600-430))*(U28-430),500)))))))</f>
        <v>10.9</v>
      </c>
      <c r="AH28" s="4" t="n">
        <f aca="false">IF(V28="","",IF((V28/1000)&lt;=1,(50/1)*(V28/1000),IF((V28/1000)&lt;=2,50+((100-50)/(2-1))*(V28/1000-1),IF((V28/1000)&lt;=10,100+((200-100)/(10-2))*(V28/1000-2),IF((V28/1000)&lt;=17,200+((300-200)/(17-10))*(V28/1000-10),IF((V28/1000)&lt;=34,300+((400-300)/(34-17))*(V28/1000-17),IF((V28/1000)&lt;=57,400+((500-400)/(57-34))*(V28/1000-34),500)))))))</f>
        <v>12.9</v>
      </c>
      <c r="AI28" s="4" t="n">
        <f aca="false">IF(W28="","",IF(W28&lt;=40,(50/40)*W28,IF(W28&lt;=80,50+((100-50)/(80-40))*(W28-40),IF(W28&lt;=180,100+((200-100)/(180-80))*(W28-80),IF(W28&lt;=280,200+((300-200)/(280-180))*(W28-180),IF(W28&lt;=400,300+((400-300)/(400-280))*(W28-280),IF(W28&lt;=800,400+((500-400)/(800-400))*(W28-400),500)))))))</f>
        <v>14.875</v>
      </c>
      <c r="AJ28" s="4" t="n">
        <f aca="false">IF(X28="","",IF(X28&lt;=40,(50/40)*X28,IF(X28&lt;=80,50+((100-50)/(80-40))*(X28-40),IF(X28&lt;=380,100+((200-100)/(380-80))*(X28-80),IF(X28&lt;=800,200+((300-200)/(800-380))*(X28-380),IF(X28&lt;=1600,300+((400-300)/(1600-800))*(X28-800),IF(X28&lt;=2100,400+((500-400)/(2100-1600))*(X28-1600),500)))))))</f>
        <v>10.875</v>
      </c>
      <c r="AK28" s="4" t="n">
        <f aca="false">IF(Y28="","",IF(Y28&lt;=50,(50/50)*Y28,IF(Y28&lt;=100,50+((100-50)/(100-50))*(Y28-50),IF(Y28&lt;=168,100+((200-100)/(168-100))*(Y28-100),IF(Y28&lt;=208,200+((300-200)/(208-168))*(Y28-168),IF(Y28&lt;=748,300+((400-300)/(748-208))*(Y28-208),IF(Y28&lt;=1000,400+((500-400)/(1000-748))*(Y28-748),500)))))))</f>
        <v>65</v>
      </c>
      <c r="AL28" s="4" t="n">
        <f aca="false">ROUND(MAX(AF28,AG28,AH28,AI28,AJ28,AK28),0)</f>
        <v>65</v>
      </c>
      <c r="AM28" s="4" t="str">
        <f aca="false">IF(AL28="","",IF(AL28&lt;=50,"Good",IF(AL28&lt;=100,"Satisfactory",IF(AL28&lt;=200,"Moderate",IF(AL28&lt;=300,"Poor",IF(AL28&lt;=400,"Very Poor","Severe"))))))</f>
        <v>Satisfactory</v>
      </c>
    </row>
    <row r="29" customFormat="false" ht="15.75" hidden="false" customHeight="false" outlineLevel="0" collapsed="false">
      <c r="A29" s="1" t="s">
        <v>39</v>
      </c>
      <c r="B29" s="1" t="s">
        <v>40</v>
      </c>
      <c r="C29" s="1" t="n">
        <v>28.4595</v>
      </c>
      <c r="D29" s="1" t="n">
        <v>77.0266</v>
      </c>
      <c r="E29" s="5" t="n">
        <v>45902</v>
      </c>
      <c r="F29" s="6" t="s">
        <v>52</v>
      </c>
      <c r="G29" s="1" t="n">
        <v>9</v>
      </c>
      <c r="H29" s="7" t="s">
        <v>78</v>
      </c>
      <c r="I29" s="6" t="s">
        <v>43</v>
      </c>
      <c r="J29" s="7" t="s">
        <v>44</v>
      </c>
      <c r="K29" s="7" t="s">
        <v>45</v>
      </c>
      <c r="L29" s="1" t="n">
        <v>97</v>
      </c>
      <c r="M29" s="1" t="n">
        <v>23.4</v>
      </c>
      <c r="N29" s="1" t="n">
        <v>29.5</v>
      </c>
      <c r="O29" s="1" t="n">
        <v>0.4</v>
      </c>
      <c r="P29" s="6" t="s">
        <v>46</v>
      </c>
      <c r="Q29" s="6" t="s">
        <v>43</v>
      </c>
      <c r="R29" s="1" t="n">
        <v>998.4</v>
      </c>
      <c r="S29" s="1" t="n">
        <v>100</v>
      </c>
      <c r="T29" s="1" t="n">
        <v>9.1</v>
      </c>
      <c r="U29" s="1" t="n">
        <v>9.2</v>
      </c>
      <c r="V29" s="1" t="n">
        <v>239</v>
      </c>
      <c r="W29" s="1" t="n">
        <v>11.4</v>
      </c>
      <c r="X29" s="1" t="n">
        <v>8.8</v>
      </c>
      <c r="Y29" s="1" t="n">
        <v>64</v>
      </c>
      <c r="Z29" s="1" t="n">
        <v>0</v>
      </c>
      <c r="AA29" s="1" t="n">
        <v>64</v>
      </c>
      <c r="AB29" s="7" t="s">
        <v>47</v>
      </c>
      <c r="AC29" s="7" t="s">
        <v>50</v>
      </c>
      <c r="AD29" s="6" t="s">
        <v>43</v>
      </c>
      <c r="AE29" s="6" t="s">
        <v>43</v>
      </c>
      <c r="AF29" s="4" t="n">
        <f aca="false">IF(T29="","",IF(T29&lt;=30,(50/30)*T29,IF(T29&lt;=60,50+((100-50)/(60-30))*(T29-30),IF(T29&lt;=90,100+((200-100)/(90-60))*(T29-60),IF(T29&lt;=120,200+((300-200)/(120-90))*(T29-90),IF(T29&lt;=250,300+((400-300)/(250-120))*(T29-120),IF(T29&lt;=380,400+((500-400)/(380-250))*(T29-250),500)))))))</f>
        <v>15.1666666666667</v>
      </c>
      <c r="AG29" s="4" t="n">
        <f aca="false">IF(U29="","",IF(U29&lt;=50,(50/50)*U29,IF(U29&lt;=100,50+((100-50)/(100-50))*(U29-50),IF(U29&lt;=250,100+((200-100)/(250-100))*(U29-100),IF(U29&lt;=350,200+((300-200)/(350-250))*(U29-250),IF(U29&lt;=430,300+((400-300)/(430-350))*(U29-350),IF(U29&lt;=600,400+((500-400)/(600-430))*(U29-430),500)))))))</f>
        <v>9.2</v>
      </c>
      <c r="AH29" s="4" t="n">
        <f aca="false">IF(V29="","",IF((V29/1000)&lt;=1,(50/1)*(V29/1000),IF((V29/1000)&lt;=2,50+((100-50)/(2-1))*(V29/1000-1),IF((V29/1000)&lt;=10,100+((200-100)/(10-2))*(V29/1000-2),IF((V29/1000)&lt;=17,200+((300-200)/(17-10))*(V29/1000-10),IF((V29/1000)&lt;=34,300+((400-300)/(34-17))*(V29/1000-17),IF((V29/1000)&lt;=57,400+((500-400)/(57-34))*(V29/1000-34),500)))))))</f>
        <v>11.95</v>
      </c>
      <c r="AI29" s="4" t="n">
        <f aca="false">IF(W29="","",IF(W29&lt;=40,(50/40)*W29,IF(W29&lt;=80,50+((100-50)/(80-40))*(W29-40),IF(W29&lt;=180,100+((200-100)/(180-80))*(W29-80),IF(W29&lt;=280,200+((300-200)/(280-180))*(W29-180),IF(W29&lt;=400,300+((400-300)/(400-280))*(W29-280),IF(W29&lt;=800,400+((500-400)/(800-400))*(W29-400),500)))))))</f>
        <v>14.25</v>
      </c>
      <c r="AJ29" s="4" t="n">
        <f aca="false">IF(X29="","",IF(X29&lt;=40,(50/40)*X29,IF(X29&lt;=80,50+((100-50)/(80-40))*(X29-40),IF(X29&lt;=380,100+((200-100)/(380-80))*(X29-80),IF(X29&lt;=800,200+((300-200)/(800-380))*(X29-380),IF(X29&lt;=1600,300+((400-300)/(1600-800))*(X29-800),IF(X29&lt;=2100,400+((500-400)/(2100-1600))*(X29-1600),500)))))))</f>
        <v>11</v>
      </c>
      <c r="AK29" s="4" t="n">
        <f aca="false">IF(Y29="","",IF(Y29&lt;=50,(50/50)*Y29,IF(Y29&lt;=100,50+((100-50)/(100-50))*(Y29-50),IF(Y29&lt;=168,100+((200-100)/(168-100))*(Y29-100),IF(Y29&lt;=208,200+((300-200)/(208-168))*(Y29-168),IF(Y29&lt;=748,300+((400-300)/(748-208))*(Y29-208),IF(Y29&lt;=1000,400+((500-400)/(1000-748))*(Y29-748),500)))))))</f>
        <v>64</v>
      </c>
      <c r="AL29" s="4" t="n">
        <f aca="false">ROUND(MAX(AF29,AG29,AH29,AI29,AJ29,AK29),0)</f>
        <v>64</v>
      </c>
      <c r="AM29" s="4" t="str">
        <f aca="false">IF(AL29="","",IF(AL29&lt;=50,"Good",IF(AL29&lt;=100,"Satisfactory",IF(AL29&lt;=200,"Moderate",IF(AL29&lt;=300,"Poor",IF(AL29&lt;=400,"Very Poor","Severe"))))))</f>
        <v>Satisfactory</v>
      </c>
    </row>
    <row r="30" customFormat="false" ht="15.75" hidden="false" customHeight="false" outlineLevel="0" collapsed="false">
      <c r="A30" s="1" t="s">
        <v>39</v>
      </c>
      <c r="B30" s="1" t="s">
        <v>40</v>
      </c>
      <c r="C30" s="1" t="n">
        <v>28.4595</v>
      </c>
      <c r="D30" s="1" t="n">
        <v>77.0266</v>
      </c>
      <c r="E30" s="5" t="n">
        <v>45902</v>
      </c>
      <c r="F30" s="6" t="s">
        <v>53</v>
      </c>
      <c r="G30" s="1" t="n">
        <v>9</v>
      </c>
      <c r="H30" s="7" t="s">
        <v>78</v>
      </c>
      <c r="I30" s="6" t="s">
        <v>43</v>
      </c>
      <c r="J30" s="7" t="s">
        <v>44</v>
      </c>
      <c r="K30" s="7" t="s">
        <v>45</v>
      </c>
      <c r="L30" s="1" t="n">
        <v>96</v>
      </c>
      <c r="M30" s="1" t="n">
        <v>23.2</v>
      </c>
      <c r="N30" s="1" t="n">
        <v>31.3</v>
      </c>
      <c r="O30" s="1" t="n">
        <v>0</v>
      </c>
      <c r="P30" s="6" t="s">
        <v>43</v>
      </c>
      <c r="Q30" s="6" t="s">
        <v>43</v>
      </c>
      <c r="R30" s="1" t="n">
        <v>998.4</v>
      </c>
      <c r="S30" s="1" t="n">
        <v>100</v>
      </c>
      <c r="T30" s="1" t="n">
        <v>8.1</v>
      </c>
      <c r="U30" s="1" t="n">
        <v>8.3</v>
      </c>
      <c r="V30" s="1" t="n">
        <v>240</v>
      </c>
      <c r="W30" s="1" t="n">
        <v>11.4</v>
      </c>
      <c r="X30" s="1" t="n">
        <v>9.5</v>
      </c>
      <c r="Y30" s="1" t="n">
        <v>62</v>
      </c>
      <c r="Z30" s="1" t="n">
        <v>0</v>
      </c>
      <c r="AA30" s="1" t="n">
        <v>63</v>
      </c>
      <c r="AB30" s="7" t="s">
        <v>47</v>
      </c>
      <c r="AC30" s="7" t="s">
        <v>50</v>
      </c>
      <c r="AD30" s="6" t="s">
        <v>43</v>
      </c>
      <c r="AE30" s="6" t="s">
        <v>43</v>
      </c>
      <c r="AF30" s="4" t="n">
        <f aca="false">IF(T30="","",IF(T30&lt;=30,(50/30)*T30,IF(T30&lt;=60,50+((100-50)/(60-30))*(T30-30),IF(T30&lt;=90,100+((200-100)/(90-60))*(T30-60),IF(T30&lt;=120,200+((300-200)/(120-90))*(T30-90),IF(T30&lt;=250,300+((400-300)/(250-120))*(T30-120),IF(T30&lt;=380,400+((500-400)/(380-250))*(T30-250),500)))))))</f>
        <v>13.5</v>
      </c>
      <c r="AG30" s="4" t="n">
        <f aca="false">IF(U30="","",IF(U30&lt;=50,(50/50)*U30,IF(U30&lt;=100,50+((100-50)/(100-50))*(U30-50),IF(U30&lt;=250,100+((200-100)/(250-100))*(U30-100),IF(U30&lt;=350,200+((300-200)/(350-250))*(U30-250),IF(U30&lt;=430,300+((400-300)/(430-350))*(U30-350),IF(U30&lt;=600,400+((500-400)/(600-430))*(U30-430),500)))))))</f>
        <v>8.3</v>
      </c>
      <c r="AH30" s="4" t="n">
        <f aca="false">IF(V30="","",IF((V30/1000)&lt;=1,(50/1)*(V30/1000),IF((V30/1000)&lt;=2,50+((100-50)/(2-1))*(V30/1000-1),IF((V30/1000)&lt;=10,100+((200-100)/(10-2))*(V30/1000-2),IF((V30/1000)&lt;=17,200+((300-200)/(17-10))*(V30/1000-10),IF((V30/1000)&lt;=34,300+((400-300)/(34-17))*(V30/1000-17),IF((V30/1000)&lt;=57,400+((500-400)/(57-34))*(V30/1000-34),500)))))))</f>
        <v>12</v>
      </c>
      <c r="AI30" s="4" t="n">
        <f aca="false">IF(W30="","",IF(W30&lt;=40,(50/40)*W30,IF(W30&lt;=80,50+((100-50)/(80-40))*(W30-40),IF(W30&lt;=180,100+((200-100)/(180-80))*(W30-80),IF(W30&lt;=280,200+((300-200)/(280-180))*(W30-180),IF(W30&lt;=400,300+((400-300)/(400-280))*(W30-280),IF(W30&lt;=800,400+((500-400)/(800-400))*(W30-400),500)))))))</f>
        <v>14.25</v>
      </c>
      <c r="AJ30" s="4" t="n">
        <f aca="false">IF(X30="","",IF(X30&lt;=40,(50/40)*X30,IF(X30&lt;=80,50+((100-50)/(80-40))*(X30-40),IF(X30&lt;=380,100+((200-100)/(380-80))*(X30-80),IF(X30&lt;=800,200+((300-200)/(800-380))*(X30-380),IF(X30&lt;=1600,300+((400-300)/(1600-800))*(X30-800),IF(X30&lt;=2100,400+((500-400)/(2100-1600))*(X30-1600),500)))))))</f>
        <v>11.875</v>
      </c>
      <c r="AK30" s="4" t="n">
        <f aca="false">IF(Y30="","",IF(Y30&lt;=50,(50/50)*Y30,IF(Y30&lt;=100,50+((100-50)/(100-50))*(Y30-50),IF(Y30&lt;=168,100+((200-100)/(168-100))*(Y30-100),IF(Y30&lt;=208,200+((300-200)/(208-168))*(Y30-168),IF(Y30&lt;=748,300+((400-300)/(748-208))*(Y30-208),IF(Y30&lt;=1000,400+((500-400)/(1000-748))*(Y30-748),500)))))))</f>
        <v>62</v>
      </c>
      <c r="AL30" s="4" t="n">
        <f aca="false">ROUND(MAX(AF30,AG30,AH30,AI30,AJ30,AK30),0)</f>
        <v>62</v>
      </c>
      <c r="AM30" s="4" t="str">
        <f aca="false">IF(AL30="","",IF(AL30&lt;=50,"Good",IF(AL30&lt;=100,"Satisfactory",IF(AL30&lt;=200,"Moderate",IF(AL30&lt;=300,"Poor",IF(AL30&lt;=400,"Very Poor","Severe"))))))</f>
        <v>Satisfactory</v>
      </c>
    </row>
    <row r="31" customFormat="false" ht="15.75" hidden="false" customHeight="false" outlineLevel="0" collapsed="false">
      <c r="A31" s="1" t="s">
        <v>39</v>
      </c>
      <c r="B31" s="1" t="s">
        <v>40</v>
      </c>
      <c r="C31" s="1" t="n">
        <v>28.4595</v>
      </c>
      <c r="D31" s="1" t="n">
        <v>77.0266</v>
      </c>
      <c r="E31" s="5" t="n">
        <v>45902</v>
      </c>
      <c r="F31" s="6" t="s">
        <v>54</v>
      </c>
      <c r="G31" s="1" t="n">
        <v>9</v>
      </c>
      <c r="H31" s="7" t="s">
        <v>78</v>
      </c>
      <c r="I31" s="6" t="s">
        <v>43</v>
      </c>
      <c r="J31" s="7" t="s">
        <v>44</v>
      </c>
      <c r="K31" s="7" t="s">
        <v>45</v>
      </c>
      <c r="L31" s="1" t="n">
        <v>98</v>
      </c>
      <c r="M31" s="1" t="n">
        <v>23.4</v>
      </c>
      <c r="N31" s="1" t="n">
        <v>28.4</v>
      </c>
      <c r="O31" s="1" t="n">
        <v>1.4</v>
      </c>
      <c r="P31" s="6" t="s">
        <v>46</v>
      </c>
      <c r="Q31" s="6" t="s">
        <v>43</v>
      </c>
      <c r="R31" s="1" t="n">
        <v>998.9</v>
      </c>
      <c r="S31" s="1" t="n">
        <v>100</v>
      </c>
      <c r="T31" s="1" t="n">
        <v>9.4</v>
      </c>
      <c r="U31" s="1" t="n">
        <v>9.5</v>
      </c>
      <c r="V31" s="1" t="n">
        <v>270</v>
      </c>
      <c r="W31" s="1" t="n">
        <v>14.2</v>
      </c>
      <c r="X31" s="1" t="n">
        <v>9.2</v>
      </c>
      <c r="Y31" s="1" t="n">
        <v>53</v>
      </c>
      <c r="Z31" s="1" t="n">
        <v>0</v>
      </c>
      <c r="AA31" s="1" t="n">
        <v>62</v>
      </c>
      <c r="AB31" s="7" t="s">
        <v>47</v>
      </c>
      <c r="AC31" s="7" t="s">
        <v>50</v>
      </c>
      <c r="AD31" s="6" t="s">
        <v>43</v>
      </c>
      <c r="AE31" s="6" t="s">
        <v>43</v>
      </c>
      <c r="AF31" s="4" t="n">
        <f aca="false">IF(T31="","",IF(T31&lt;=30,(50/30)*T31,IF(T31&lt;=60,50+((100-50)/(60-30))*(T31-30),IF(T31&lt;=90,100+((200-100)/(90-60))*(T31-60),IF(T31&lt;=120,200+((300-200)/(120-90))*(T31-90),IF(T31&lt;=250,300+((400-300)/(250-120))*(T31-120),IF(T31&lt;=380,400+((500-400)/(380-250))*(T31-250),500)))))))</f>
        <v>15.6666666666667</v>
      </c>
      <c r="AG31" s="4" t="n">
        <f aca="false">IF(U31="","",IF(U31&lt;=50,(50/50)*U31,IF(U31&lt;=100,50+((100-50)/(100-50))*(U31-50),IF(U31&lt;=250,100+((200-100)/(250-100))*(U31-100),IF(U31&lt;=350,200+((300-200)/(350-250))*(U31-250),IF(U31&lt;=430,300+((400-300)/(430-350))*(U31-350),IF(U31&lt;=600,400+((500-400)/(600-430))*(U31-430),500)))))))</f>
        <v>9.5</v>
      </c>
      <c r="AH31" s="4" t="n">
        <f aca="false">IF(V31="","",IF((V31/1000)&lt;=1,(50/1)*(V31/1000),IF((V31/1000)&lt;=2,50+((100-50)/(2-1))*(V31/1000-1),IF((V31/1000)&lt;=10,100+((200-100)/(10-2))*(V31/1000-2),IF((V31/1000)&lt;=17,200+((300-200)/(17-10))*(V31/1000-10),IF((V31/1000)&lt;=34,300+((400-300)/(34-17))*(V31/1000-17),IF((V31/1000)&lt;=57,400+((500-400)/(57-34))*(V31/1000-34),500)))))))</f>
        <v>13.5</v>
      </c>
      <c r="AI31" s="4" t="n">
        <f aca="false">IF(W31="","",IF(W31&lt;=40,(50/40)*W31,IF(W31&lt;=80,50+((100-50)/(80-40))*(W31-40),IF(W31&lt;=180,100+((200-100)/(180-80))*(W31-80),IF(W31&lt;=280,200+((300-200)/(280-180))*(W31-180),IF(W31&lt;=400,300+((400-300)/(400-280))*(W31-280),IF(W31&lt;=800,400+((500-400)/(800-400))*(W31-400),500)))))))</f>
        <v>17.75</v>
      </c>
      <c r="AJ31" s="4" t="n">
        <f aca="false">IF(X31="","",IF(X31&lt;=40,(50/40)*X31,IF(X31&lt;=80,50+((100-50)/(80-40))*(X31-40),IF(X31&lt;=380,100+((200-100)/(380-80))*(X31-80),IF(X31&lt;=800,200+((300-200)/(800-380))*(X31-380),IF(X31&lt;=1600,300+((400-300)/(1600-800))*(X31-800),IF(X31&lt;=2100,400+((500-400)/(2100-1600))*(X31-1600),500)))))))</f>
        <v>11.5</v>
      </c>
      <c r="AK31" s="4" t="n">
        <f aca="false">IF(Y31="","",IF(Y31&lt;=50,(50/50)*Y31,IF(Y31&lt;=100,50+((100-50)/(100-50))*(Y31-50),IF(Y31&lt;=168,100+((200-100)/(168-100))*(Y31-100),IF(Y31&lt;=208,200+((300-200)/(208-168))*(Y31-168),IF(Y31&lt;=748,300+((400-300)/(748-208))*(Y31-208),IF(Y31&lt;=1000,400+((500-400)/(1000-748))*(Y31-748),500)))))))</f>
        <v>53</v>
      </c>
      <c r="AL31" s="4" t="n">
        <f aca="false">ROUND(MAX(AF31,AG31,AH31,AI31,AJ31,AK31),0)</f>
        <v>53</v>
      </c>
      <c r="AM31" s="4" t="str">
        <f aca="false">IF(AL31="","",IF(AL31&lt;=50,"Good",IF(AL31&lt;=100,"Satisfactory",IF(AL31&lt;=200,"Moderate",IF(AL31&lt;=300,"Poor",IF(AL31&lt;=400,"Very Poor","Severe"))))))</f>
        <v>Satisfactory</v>
      </c>
    </row>
    <row r="32" customFormat="false" ht="15.75" hidden="false" customHeight="false" outlineLevel="0" collapsed="false">
      <c r="A32" s="1" t="s">
        <v>39</v>
      </c>
      <c r="B32" s="1" t="s">
        <v>40</v>
      </c>
      <c r="C32" s="1" t="n">
        <v>28.4595</v>
      </c>
      <c r="D32" s="1" t="n">
        <v>77.0266</v>
      </c>
      <c r="E32" s="5" t="n">
        <v>45902</v>
      </c>
      <c r="F32" s="6" t="s">
        <v>55</v>
      </c>
      <c r="G32" s="1" t="n">
        <v>9</v>
      </c>
      <c r="H32" s="7" t="s">
        <v>78</v>
      </c>
      <c r="I32" s="6" t="s">
        <v>43</v>
      </c>
      <c r="J32" s="7" t="s">
        <v>44</v>
      </c>
      <c r="K32" s="7" t="s">
        <v>56</v>
      </c>
      <c r="L32" s="1" t="n">
        <v>97</v>
      </c>
      <c r="M32" s="1" t="n">
        <v>23.3</v>
      </c>
      <c r="N32" s="1" t="n">
        <v>28.8</v>
      </c>
      <c r="O32" s="1" t="n">
        <v>2.1</v>
      </c>
      <c r="P32" s="6" t="s">
        <v>46</v>
      </c>
      <c r="Q32" s="6" t="s">
        <v>43</v>
      </c>
      <c r="R32" s="1" t="n">
        <v>1000</v>
      </c>
      <c r="S32" s="1" t="n">
        <v>100</v>
      </c>
      <c r="T32" s="1" t="n">
        <v>9.8</v>
      </c>
      <c r="U32" s="1" t="n">
        <v>10</v>
      </c>
      <c r="V32" s="1" t="n">
        <v>356</v>
      </c>
      <c r="W32" s="1" t="n">
        <v>16.5</v>
      </c>
      <c r="X32" s="1" t="n">
        <v>9.7</v>
      </c>
      <c r="Y32" s="1" t="n">
        <v>53</v>
      </c>
      <c r="Z32" s="1" t="n">
        <v>0</v>
      </c>
      <c r="AA32" s="1" t="n">
        <v>61</v>
      </c>
      <c r="AB32" s="7" t="s">
        <v>47</v>
      </c>
      <c r="AC32" s="7" t="s">
        <v>50</v>
      </c>
      <c r="AD32" s="6" t="s">
        <v>43</v>
      </c>
      <c r="AE32" s="6" t="s">
        <v>43</v>
      </c>
      <c r="AF32" s="4" t="n">
        <f aca="false">IF(T32="","",IF(T32&lt;=30,(50/30)*T32,IF(T32&lt;=60,50+((100-50)/(60-30))*(T32-30),IF(T32&lt;=90,100+((200-100)/(90-60))*(T32-60),IF(T32&lt;=120,200+((300-200)/(120-90))*(T32-90),IF(T32&lt;=250,300+((400-300)/(250-120))*(T32-120),IF(T32&lt;=380,400+((500-400)/(380-250))*(T32-250),500)))))))</f>
        <v>16.3333333333333</v>
      </c>
      <c r="AG32" s="4" t="n">
        <f aca="false">IF(U32="","",IF(U32&lt;=50,(50/50)*U32,IF(U32&lt;=100,50+((100-50)/(100-50))*(U32-50),IF(U32&lt;=250,100+((200-100)/(250-100))*(U32-100),IF(U32&lt;=350,200+((300-200)/(350-250))*(U32-250),IF(U32&lt;=430,300+((400-300)/(430-350))*(U32-350),IF(U32&lt;=600,400+((500-400)/(600-430))*(U32-430),500)))))))</f>
        <v>10</v>
      </c>
      <c r="AH32" s="4" t="n">
        <f aca="false">IF(V32="","",IF((V32/1000)&lt;=1,(50/1)*(V32/1000),IF((V32/1000)&lt;=2,50+((100-50)/(2-1))*(V32/1000-1),IF((V32/1000)&lt;=10,100+((200-100)/(10-2))*(V32/1000-2),IF((V32/1000)&lt;=17,200+((300-200)/(17-10))*(V32/1000-10),IF((V32/1000)&lt;=34,300+((400-300)/(34-17))*(V32/1000-17),IF((V32/1000)&lt;=57,400+((500-400)/(57-34))*(V32/1000-34),500)))))))</f>
        <v>17.8</v>
      </c>
      <c r="AI32" s="4" t="n">
        <f aca="false">IF(W32="","",IF(W32&lt;=40,(50/40)*W32,IF(W32&lt;=80,50+((100-50)/(80-40))*(W32-40),IF(W32&lt;=180,100+((200-100)/(180-80))*(W32-80),IF(W32&lt;=280,200+((300-200)/(280-180))*(W32-180),IF(W32&lt;=400,300+((400-300)/(400-280))*(W32-280),IF(W32&lt;=800,400+((500-400)/(800-400))*(W32-400),500)))))))</f>
        <v>20.625</v>
      </c>
      <c r="AJ32" s="4" t="n">
        <f aca="false">IF(X32="","",IF(X32&lt;=40,(50/40)*X32,IF(X32&lt;=80,50+((100-50)/(80-40))*(X32-40),IF(X32&lt;=380,100+((200-100)/(380-80))*(X32-80),IF(X32&lt;=800,200+((300-200)/(800-380))*(X32-380),IF(X32&lt;=1600,300+((400-300)/(1600-800))*(X32-800),IF(X32&lt;=2100,400+((500-400)/(2100-1600))*(X32-1600),500)))))))</f>
        <v>12.125</v>
      </c>
      <c r="AK32" s="4" t="n">
        <f aca="false">IF(Y32="","",IF(Y32&lt;=50,(50/50)*Y32,IF(Y32&lt;=100,50+((100-50)/(100-50))*(Y32-50),IF(Y32&lt;=168,100+((200-100)/(168-100))*(Y32-100),IF(Y32&lt;=208,200+((300-200)/(208-168))*(Y32-168),IF(Y32&lt;=748,300+((400-300)/(748-208))*(Y32-208),IF(Y32&lt;=1000,400+((500-400)/(1000-748))*(Y32-748),500)))))))</f>
        <v>53</v>
      </c>
      <c r="AL32" s="4" t="n">
        <f aca="false">ROUND(MAX(AF32,AG32,AH32,AI32,AJ32,AK32),0)</f>
        <v>53</v>
      </c>
      <c r="AM32" s="4" t="str">
        <f aca="false">IF(AL32="","",IF(AL32&lt;=50,"Good",IF(AL32&lt;=100,"Satisfactory",IF(AL32&lt;=200,"Moderate",IF(AL32&lt;=300,"Poor",IF(AL32&lt;=400,"Very Poor","Severe"))))))</f>
        <v>Satisfactory</v>
      </c>
    </row>
    <row r="33" customFormat="false" ht="15.75" hidden="false" customHeight="false" outlineLevel="0" collapsed="false">
      <c r="A33" s="1" t="s">
        <v>39</v>
      </c>
      <c r="B33" s="1" t="s">
        <v>40</v>
      </c>
      <c r="C33" s="1" t="n">
        <v>28.4595</v>
      </c>
      <c r="D33" s="1" t="n">
        <v>77.0266</v>
      </c>
      <c r="E33" s="5" t="n">
        <v>45902</v>
      </c>
      <c r="F33" s="6" t="s">
        <v>57</v>
      </c>
      <c r="G33" s="1" t="n">
        <v>9</v>
      </c>
      <c r="H33" s="7" t="s">
        <v>78</v>
      </c>
      <c r="I33" s="6" t="s">
        <v>43</v>
      </c>
      <c r="J33" s="7" t="s">
        <v>44</v>
      </c>
      <c r="K33" s="7" t="s">
        <v>56</v>
      </c>
      <c r="L33" s="1" t="n">
        <v>94</v>
      </c>
      <c r="M33" s="1" t="n">
        <v>23.2</v>
      </c>
      <c r="N33" s="1" t="n">
        <v>31</v>
      </c>
      <c r="O33" s="1" t="n">
        <v>0.5</v>
      </c>
      <c r="P33" s="6" t="s">
        <v>46</v>
      </c>
      <c r="Q33" s="6" t="s">
        <v>43</v>
      </c>
      <c r="R33" s="1" t="n">
        <v>1000.5</v>
      </c>
      <c r="S33" s="1" t="n">
        <v>100</v>
      </c>
      <c r="T33" s="1" t="n">
        <v>9.9</v>
      </c>
      <c r="U33" s="1" t="n">
        <v>9.9</v>
      </c>
      <c r="V33" s="1" t="n">
        <v>470</v>
      </c>
      <c r="W33" s="1" t="n">
        <v>19.5</v>
      </c>
      <c r="X33" s="1" t="n">
        <v>10.5</v>
      </c>
      <c r="Y33" s="1" t="n">
        <v>53</v>
      </c>
      <c r="Z33" s="1" t="n">
        <v>0</v>
      </c>
      <c r="AA33" s="1" t="n">
        <v>59</v>
      </c>
      <c r="AB33" s="7" t="s">
        <v>47</v>
      </c>
      <c r="AC33" s="7" t="s">
        <v>50</v>
      </c>
      <c r="AD33" s="6" t="s">
        <v>43</v>
      </c>
      <c r="AE33" s="6" t="s">
        <v>43</v>
      </c>
      <c r="AF33" s="4" t="n">
        <f aca="false">IF(T33="","",IF(T33&lt;=30,(50/30)*T33,IF(T33&lt;=60,50+((100-50)/(60-30))*(T33-30),IF(T33&lt;=90,100+((200-100)/(90-60))*(T33-60),IF(T33&lt;=120,200+((300-200)/(120-90))*(T33-90),IF(T33&lt;=250,300+((400-300)/(250-120))*(T33-120),IF(T33&lt;=380,400+((500-400)/(380-250))*(T33-250),500)))))))</f>
        <v>16.5</v>
      </c>
      <c r="AG33" s="4" t="n">
        <f aca="false">IF(U33="","",IF(U33&lt;=50,(50/50)*U33,IF(U33&lt;=100,50+((100-50)/(100-50))*(U33-50),IF(U33&lt;=250,100+((200-100)/(250-100))*(U33-100),IF(U33&lt;=350,200+((300-200)/(350-250))*(U33-250),IF(U33&lt;=430,300+((400-300)/(430-350))*(U33-350),IF(U33&lt;=600,400+((500-400)/(600-430))*(U33-430),500)))))))</f>
        <v>9.9</v>
      </c>
      <c r="AH33" s="4" t="n">
        <f aca="false">IF(V33="","",IF((V33/1000)&lt;=1,(50/1)*(V33/1000),IF((V33/1000)&lt;=2,50+((100-50)/(2-1))*(V33/1000-1),IF((V33/1000)&lt;=10,100+((200-100)/(10-2))*(V33/1000-2),IF((V33/1000)&lt;=17,200+((300-200)/(17-10))*(V33/1000-10),IF((V33/1000)&lt;=34,300+((400-300)/(34-17))*(V33/1000-17),IF((V33/1000)&lt;=57,400+((500-400)/(57-34))*(V33/1000-34),500)))))))</f>
        <v>23.5</v>
      </c>
      <c r="AI33" s="4" t="n">
        <f aca="false">IF(W33="","",IF(W33&lt;=40,(50/40)*W33,IF(W33&lt;=80,50+((100-50)/(80-40))*(W33-40),IF(W33&lt;=180,100+((200-100)/(180-80))*(W33-80),IF(W33&lt;=280,200+((300-200)/(280-180))*(W33-180),IF(W33&lt;=400,300+((400-300)/(400-280))*(W33-280),IF(W33&lt;=800,400+((500-400)/(800-400))*(W33-400),500)))))))</f>
        <v>24.375</v>
      </c>
      <c r="AJ33" s="4" t="n">
        <f aca="false">IF(X33="","",IF(X33&lt;=40,(50/40)*X33,IF(X33&lt;=80,50+((100-50)/(80-40))*(X33-40),IF(X33&lt;=380,100+((200-100)/(380-80))*(X33-80),IF(X33&lt;=800,200+((300-200)/(800-380))*(X33-380),IF(X33&lt;=1600,300+((400-300)/(1600-800))*(X33-800),IF(X33&lt;=2100,400+((500-400)/(2100-1600))*(X33-1600),500)))))))</f>
        <v>13.125</v>
      </c>
      <c r="AK33" s="4" t="n">
        <f aca="false">IF(Y33="","",IF(Y33&lt;=50,(50/50)*Y33,IF(Y33&lt;=100,50+((100-50)/(100-50))*(Y33-50),IF(Y33&lt;=168,100+((200-100)/(168-100))*(Y33-100),IF(Y33&lt;=208,200+((300-200)/(208-168))*(Y33-168),IF(Y33&lt;=748,300+((400-300)/(748-208))*(Y33-208),IF(Y33&lt;=1000,400+((500-400)/(1000-748))*(Y33-748),500)))))))</f>
        <v>53</v>
      </c>
      <c r="AL33" s="4" t="n">
        <f aca="false">ROUND(MAX(AF33,AG33,AH33,AI33,AJ33,AK33),0)</f>
        <v>53</v>
      </c>
      <c r="AM33" s="4" t="str">
        <f aca="false">IF(AL33="","",IF(AL33&lt;=50,"Good",IF(AL33&lt;=100,"Satisfactory",IF(AL33&lt;=200,"Moderate",IF(AL33&lt;=300,"Poor",IF(AL33&lt;=400,"Very Poor","Severe"))))))</f>
        <v>Satisfactory</v>
      </c>
    </row>
    <row r="34" customFormat="false" ht="15.75" hidden="false" customHeight="false" outlineLevel="0" collapsed="false">
      <c r="A34" s="1" t="s">
        <v>39</v>
      </c>
      <c r="B34" s="1" t="s">
        <v>40</v>
      </c>
      <c r="C34" s="1" t="n">
        <v>28.4595</v>
      </c>
      <c r="D34" s="1" t="n">
        <v>77.0266</v>
      </c>
      <c r="E34" s="5" t="n">
        <v>45902</v>
      </c>
      <c r="F34" s="6" t="s">
        <v>58</v>
      </c>
      <c r="G34" s="1" t="n">
        <v>9</v>
      </c>
      <c r="H34" s="7" t="s">
        <v>78</v>
      </c>
      <c r="I34" s="6" t="s">
        <v>43</v>
      </c>
      <c r="J34" s="7" t="s">
        <v>44</v>
      </c>
      <c r="K34" s="7" t="s">
        <v>56</v>
      </c>
      <c r="L34" s="1" t="n">
        <v>97</v>
      </c>
      <c r="M34" s="1" t="n">
        <v>23.8</v>
      </c>
      <c r="N34" s="1" t="n">
        <v>31.3</v>
      </c>
      <c r="O34" s="1" t="n">
        <v>1.5</v>
      </c>
      <c r="P34" s="6" t="s">
        <v>46</v>
      </c>
      <c r="Q34" s="6" t="s">
        <v>43</v>
      </c>
      <c r="R34" s="1" t="n">
        <v>1001.1</v>
      </c>
      <c r="S34" s="1" t="n">
        <v>100</v>
      </c>
      <c r="T34" s="1" t="n">
        <v>9.1</v>
      </c>
      <c r="U34" s="1" t="n">
        <v>9.1</v>
      </c>
      <c r="V34" s="1" t="n">
        <v>537</v>
      </c>
      <c r="W34" s="1" t="n">
        <v>21</v>
      </c>
      <c r="X34" s="1" t="n">
        <v>10.9</v>
      </c>
      <c r="Y34" s="1" t="n">
        <v>55</v>
      </c>
      <c r="Z34" s="1" t="n">
        <v>0</v>
      </c>
      <c r="AA34" s="1" t="n">
        <v>58</v>
      </c>
      <c r="AB34" s="7" t="s">
        <v>47</v>
      </c>
      <c r="AC34" s="7" t="s">
        <v>50</v>
      </c>
      <c r="AD34" s="6" t="s">
        <v>43</v>
      </c>
      <c r="AE34" s="6" t="s">
        <v>43</v>
      </c>
      <c r="AF34" s="4" t="n">
        <f aca="false">IF(T34="","",IF(T34&lt;=30,(50/30)*T34,IF(T34&lt;=60,50+((100-50)/(60-30))*(T34-30),IF(T34&lt;=90,100+((200-100)/(90-60))*(T34-60),IF(T34&lt;=120,200+((300-200)/(120-90))*(T34-90),IF(T34&lt;=250,300+((400-300)/(250-120))*(T34-120),IF(T34&lt;=380,400+((500-400)/(380-250))*(T34-250),500)))))))</f>
        <v>15.1666666666667</v>
      </c>
      <c r="AG34" s="4" t="n">
        <f aca="false">IF(U34="","",IF(U34&lt;=50,(50/50)*U34,IF(U34&lt;=100,50+((100-50)/(100-50))*(U34-50),IF(U34&lt;=250,100+((200-100)/(250-100))*(U34-100),IF(U34&lt;=350,200+((300-200)/(350-250))*(U34-250),IF(U34&lt;=430,300+((400-300)/(430-350))*(U34-350),IF(U34&lt;=600,400+((500-400)/(600-430))*(U34-430),500)))))))</f>
        <v>9.1</v>
      </c>
      <c r="AH34" s="4" t="n">
        <f aca="false">IF(V34="","",IF((V34/1000)&lt;=1,(50/1)*(V34/1000),IF((V34/1000)&lt;=2,50+((100-50)/(2-1))*(V34/1000-1),IF((V34/1000)&lt;=10,100+((200-100)/(10-2))*(V34/1000-2),IF((V34/1000)&lt;=17,200+((300-200)/(17-10))*(V34/1000-10),IF((V34/1000)&lt;=34,300+((400-300)/(34-17))*(V34/1000-17),IF((V34/1000)&lt;=57,400+((500-400)/(57-34))*(V34/1000-34),500)))))))</f>
        <v>26.85</v>
      </c>
      <c r="AI34" s="4" t="n">
        <f aca="false">IF(W34="","",IF(W34&lt;=40,(50/40)*W34,IF(W34&lt;=80,50+((100-50)/(80-40))*(W34-40),IF(W34&lt;=180,100+((200-100)/(180-80))*(W34-80),IF(W34&lt;=280,200+((300-200)/(280-180))*(W34-180),IF(W34&lt;=400,300+((400-300)/(400-280))*(W34-280),IF(W34&lt;=800,400+((500-400)/(800-400))*(W34-400),500)))))))</f>
        <v>26.25</v>
      </c>
      <c r="AJ34" s="4" t="n">
        <f aca="false">IF(X34="","",IF(X34&lt;=40,(50/40)*X34,IF(X34&lt;=80,50+((100-50)/(80-40))*(X34-40),IF(X34&lt;=380,100+((200-100)/(380-80))*(X34-80),IF(X34&lt;=800,200+((300-200)/(800-380))*(X34-380),IF(X34&lt;=1600,300+((400-300)/(1600-800))*(X34-800),IF(X34&lt;=2100,400+((500-400)/(2100-1600))*(X34-1600),500)))))))</f>
        <v>13.625</v>
      </c>
      <c r="AK34" s="4" t="n">
        <f aca="false">IF(Y34="","",IF(Y34&lt;=50,(50/50)*Y34,IF(Y34&lt;=100,50+((100-50)/(100-50))*(Y34-50),IF(Y34&lt;=168,100+((200-100)/(168-100))*(Y34-100),IF(Y34&lt;=208,200+((300-200)/(208-168))*(Y34-168),IF(Y34&lt;=748,300+((400-300)/(748-208))*(Y34-208),IF(Y34&lt;=1000,400+((500-400)/(1000-748))*(Y34-748),500)))))))</f>
        <v>55</v>
      </c>
      <c r="AL34" s="4" t="n">
        <f aca="false">ROUND(MAX(AF34,AG34,AH34,AI34,AJ34,AK34),0)</f>
        <v>55</v>
      </c>
      <c r="AM34" s="4" t="str">
        <f aca="false">IF(AL34="","",IF(AL34&lt;=50,"Good",IF(AL34&lt;=100,"Satisfactory",IF(AL34&lt;=200,"Moderate",IF(AL34&lt;=300,"Poor",IF(AL34&lt;=400,"Very Poor","Severe"))))))</f>
        <v>Satisfactory</v>
      </c>
    </row>
    <row r="35" customFormat="false" ht="15.75" hidden="false" customHeight="false" outlineLevel="0" collapsed="false">
      <c r="A35" s="1" t="s">
        <v>39</v>
      </c>
      <c r="B35" s="1" t="s">
        <v>40</v>
      </c>
      <c r="C35" s="1" t="n">
        <v>28.4595</v>
      </c>
      <c r="D35" s="1" t="n">
        <v>77.0266</v>
      </c>
      <c r="E35" s="5" t="n">
        <v>45902</v>
      </c>
      <c r="F35" s="6" t="s">
        <v>59</v>
      </c>
      <c r="G35" s="1" t="n">
        <v>9</v>
      </c>
      <c r="H35" s="7" t="s">
        <v>78</v>
      </c>
      <c r="I35" s="6" t="s">
        <v>43</v>
      </c>
      <c r="J35" s="7" t="s">
        <v>44</v>
      </c>
      <c r="K35" s="7" t="s">
        <v>60</v>
      </c>
      <c r="L35" s="1" t="n">
        <v>90</v>
      </c>
      <c r="M35" s="1" t="n">
        <v>23.4</v>
      </c>
      <c r="N35" s="1" t="n">
        <v>39.2</v>
      </c>
      <c r="O35" s="1" t="n">
        <v>0.2</v>
      </c>
      <c r="P35" s="6" t="s">
        <v>46</v>
      </c>
      <c r="Q35" s="6" t="s">
        <v>43</v>
      </c>
      <c r="R35" s="1" t="n">
        <v>1001.6</v>
      </c>
      <c r="S35" s="1" t="n">
        <v>100</v>
      </c>
      <c r="T35" s="1" t="n">
        <v>8</v>
      </c>
      <c r="U35" s="1" t="n">
        <v>8</v>
      </c>
      <c r="V35" s="1" t="n">
        <v>510</v>
      </c>
      <c r="W35" s="1" t="n">
        <v>19.7</v>
      </c>
      <c r="X35" s="1" t="n">
        <v>10.7</v>
      </c>
      <c r="Y35" s="1" t="n">
        <v>61</v>
      </c>
      <c r="Z35" s="1" t="n">
        <v>0</v>
      </c>
      <c r="AA35" s="1" t="n">
        <v>58</v>
      </c>
      <c r="AB35" s="7" t="s">
        <v>47</v>
      </c>
      <c r="AC35" s="7" t="s">
        <v>50</v>
      </c>
      <c r="AD35" s="6" t="s">
        <v>43</v>
      </c>
      <c r="AE35" s="6" t="s">
        <v>43</v>
      </c>
      <c r="AF35" s="4" t="n">
        <f aca="false">IF(T35="","",IF(T35&lt;=30,(50/30)*T35,IF(T35&lt;=60,50+((100-50)/(60-30))*(T35-30),IF(T35&lt;=90,100+((200-100)/(90-60))*(T35-60),IF(T35&lt;=120,200+((300-200)/(120-90))*(T35-90),IF(T35&lt;=250,300+((400-300)/(250-120))*(T35-120),IF(T35&lt;=380,400+((500-400)/(380-250))*(T35-250),500)))))))</f>
        <v>13.3333333333333</v>
      </c>
      <c r="AG35" s="4" t="n">
        <f aca="false">IF(U35="","",IF(U35&lt;=50,(50/50)*U35,IF(U35&lt;=100,50+((100-50)/(100-50))*(U35-50),IF(U35&lt;=250,100+((200-100)/(250-100))*(U35-100),IF(U35&lt;=350,200+((300-200)/(350-250))*(U35-250),IF(U35&lt;=430,300+((400-300)/(430-350))*(U35-350),IF(U35&lt;=600,400+((500-400)/(600-430))*(U35-430),500)))))))</f>
        <v>8</v>
      </c>
      <c r="AH35" s="4" t="n">
        <f aca="false">IF(V35="","",IF((V35/1000)&lt;=1,(50/1)*(V35/1000),IF((V35/1000)&lt;=2,50+((100-50)/(2-1))*(V35/1000-1),IF((V35/1000)&lt;=10,100+((200-100)/(10-2))*(V35/1000-2),IF((V35/1000)&lt;=17,200+((300-200)/(17-10))*(V35/1000-10),IF((V35/1000)&lt;=34,300+((400-300)/(34-17))*(V35/1000-17),IF((V35/1000)&lt;=57,400+((500-400)/(57-34))*(V35/1000-34),500)))))))</f>
        <v>25.5</v>
      </c>
      <c r="AI35" s="4" t="n">
        <f aca="false">IF(W35="","",IF(W35&lt;=40,(50/40)*W35,IF(W35&lt;=80,50+((100-50)/(80-40))*(W35-40),IF(W35&lt;=180,100+((200-100)/(180-80))*(W35-80),IF(W35&lt;=280,200+((300-200)/(280-180))*(W35-180),IF(W35&lt;=400,300+((400-300)/(400-280))*(W35-280),IF(W35&lt;=800,400+((500-400)/(800-400))*(W35-400),500)))))))</f>
        <v>24.625</v>
      </c>
      <c r="AJ35" s="4" t="n">
        <f aca="false">IF(X35="","",IF(X35&lt;=40,(50/40)*X35,IF(X35&lt;=80,50+((100-50)/(80-40))*(X35-40),IF(X35&lt;=380,100+((200-100)/(380-80))*(X35-80),IF(X35&lt;=800,200+((300-200)/(800-380))*(X35-380),IF(X35&lt;=1600,300+((400-300)/(1600-800))*(X35-800),IF(X35&lt;=2100,400+((500-400)/(2100-1600))*(X35-1600),500)))))))</f>
        <v>13.375</v>
      </c>
      <c r="AK35" s="4" t="n">
        <f aca="false">IF(Y35="","",IF(Y35&lt;=50,(50/50)*Y35,IF(Y35&lt;=100,50+((100-50)/(100-50))*(Y35-50),IF(Y35&lt;=168,100+((200-100)/(168-100))*(Y35-100),IF(Y35&lt;=208,200+((300-200)/(208-168))*(Y35-168),IF(Y35&lt;=748,300+((400-300)/(748-208))*(Y35-208),IF(Y35&lt;=1000,400+((500-400)/(1000-748))*(Y35-748),500)))))))</f>
        <v>61</v>
      </c>
      <c r="AL35" s="4" t="n">
        <f aca="false">ROUND(MAX(AF35,AG35,AH35,AI35,AJ35,AK35),0)</f>
        <v>61</v>
      </c>
      <c r="AM35" s="4" t="str">
        <f aca="false">IF(AL35="","",IF(AL35&lt;=50,"Good",IF(AL35&lt;=100,"Satisfactory",IF(AL35&lt;=200,"Moderate",IF(AL35&lt;=300,"Poor",IF(AL35&lt;=400,"Very Poor","Severe"))))))</f>
        <v>Satisfactory</v>
      </c>
    </row>
    <row r="36" customFormat="false" ht="15.75" hidden="false" customHeight="false" outlineLevel="0" collapsed="false">
      <c r="A36" s="1" t="s">
        <v>39</v>
      </c>
      <c r="B36" s="1" t="s">
        <v>40</v>
      </c>
      <c r="C36" s="1" t="n">
        <v>28.4595</v>
      </c>
      <c r="D36" s="1" t="n">
        <v>77.0266</v>
      </c>
      <c r="E36" s="5" t="n">
        <v>45902</v>
      </c>
      <c r="F36" s="6" t="s">
        <v>61</v>
      </c>
      <c r="G36" s="1" t="n">
        <v>9</v>
      </c>
      <c r="H36" s="7" t="s">
        <v>78</v>
      </c>
      <c r="I36" s="6" t="s">
        <v>43</v>
      </c>
      <c r="J36" s="7" t="s">
        <v>44</v>
      </c>
      <c r="K36" s="7" t="s">
        <v>60</v>
      </c>
      <c r="L36" s="1" t="n">
        <v>87</v>
      </c>
      <c r="M36" s="1" t="n">
        <v>23.6</v>
      </c>
      <c r="N36" s="1" t="n">
        <v>40</v>
      </c>
      <c r="O36" s="1" t="n">
        <v>0.1</v>
      </c>
      <c r="P36" s="6" t="s">
        <v>46</v>
      </c>
      <c r="Q36" s="6" t="s">
        <v>43</v>
      </c>
      <c r="R36" s="1" t="n">
        <v>1002.2</v>
      </c>
      <c r="S36" s="1" t="n">
        <v>100</v>
      </c>
      <c r="T36" s="1" t="n">
        <v>9.1</v>
      </c>
      <c r="U36" s="1" t="n">
        <v>9.1</v>
      </c>
      <c r="V36" s="1" t="n">
        <v>436</v>
      </c>
      <c r="W36" s="1" t="n">
        <v>16.9</v>
      </c>
      <c r="X36" s="1" t="n">
        <v>10.2</v>
      </c>
      <c r="Y36" s="1" t="n">
        <v>70</v>
      </c>
      <c r="Z36" s="1" t="n">
        <v>0</v>
      </c>
      <c r="AA36" s="1" t="n">
        <v>57</v>
      </c>
      <c r="AB36" s="7" t="s">
        <v>47</v>
      </c>
      <c r="AC36" s="7" t="s">
        <v>50</v>
      </c>
      <c r="AD36" s="6" t="s">
        <v>43</v>
      </c>
      <c r="AE36" s="6" t="s">
        <v>43</v>
      </c>
      <c r="AF36" s="4" t="n">
        <f aca="false">IF(T36="","",IF(T36&lt;=30,(50/30)*T36,IF(T36&lt;=60,50+((100-50)/(60-30))*(T36-30),IF(T36&lt;=90,100+((200-100)/(90-60))*(T36-60),IF(T36&lt;=120,200+((300-200)/(120-90))*(T36-90),IF(T36&lt;=250,300+((400-300)/(250-120))*(T36-120),IF(T36&lt;=380,400+((500-400)/(380-250))*(T36-250),500)))))))</f>
        <v>15.1666666666667</v>
      </c>
      <c r="AG36" s="4" t="n">
        <f aca="false">IF(U36="","",IF(U36&lt;=50,(50/50)*U36,IF(U36&lt;=100,50+((100-50)/(100-50))*(U36-50),IF(U36&lt;=250,100+((200-100)/(250-100))*(U36-100),IF(U36&lt;=350,200+((300-200)/(350-250))*(U36-250),IF(U36&lt;=430,300+((400-300)/(430-350))*(U36-350),IF(U36&lt;=600,400+((500-400)/(600-430))*(U36-430),500)))))))</f>
        <v>9.1</v>
      </c>
      <c r="AH36" s="4" t="n">
        <f aca="false">IF(V36="","",IF((V36/1000)&lt;=1,(50/1)*(V36/1000),IF((V36/1000)&lt;=2,50+((100-50)/(2-1))*(V36/1000-1),IF((V36/1000)&lt;=10,100+((200-100)/(10-2))*(V36/1000-2),IF((V36/1000)&lt;=17,200+((300-200)/(17-10))*(V36/1000-10),IF((V36/1000)&lt;=34,300+((400-300)/(34-17))*(V36/1000-17),IF((V36/1000)&lt;=57,400+((500-400)/(57-34))*(V36/1000-34),500)))))))</f>
        <v>21.8</v>
      </c>
      <c r="AI36" s="4" t="n">
        <f aca="false">IF(W36="","",IF(W36&lt;=40,(50/40)*W36,IF(W36&lt;=80,50+((100-50)/(80-40))*(W36-40),IF(W36&lt;=180,100+((200-100)/(180-80))*(W36-80),IF(W36&lt;=280,200+((300-200)/(280-180))*(W36-180),IF(W36&lt;=400,300+((400-300)/(400-280))*(W36-280),IF(W36&lt;=800,400+((500-400)/(800-400))*(W36-400),500)))))))</f>
        <v>21.125</v>
      </c>
      <c r="AJ36" s="4" t="n">
        <f aca="false">IF(X36="","",IF(X36&lt;=40,(50/40)*X36,IF(X36&lt;=80,50+((100-50)/(80-40))*(X36-40),IF(X36&lt;=380,100+((200-100)/(380-80))*(X36-80),IF(X36&lt;=800,200+((300-200)/(800-380))*(X36-380),IF(X36&lt;=1600,300+((400-300)/(1600-800))*(X36-800),IF(X36&lt;=2100,400+((500-400)/(2100-1600))*(X36-1600),500)))))))</f>
        <v>12.75</v>
      </c>
      <c r="AK36" s="4" t="n">
        <f aca="false">IF(Y36="","",IF(Y36&lt;=50,(50/50)*Y36,IF(Y36&lt;=100,50+((100-50)/(100-50))*(Y36-50),IF(Y36&lt;=168,100+((200-100)/(168-100))*(Y36-100),IF(Y36&lt;=208,200+((300-200)/(208-168))*(Y36-168),IF(Y36&lt;=748,300+((400-300)/(748-208))*(Y36-208),IF(Y36&lt;=1000,400+((500-400)/(1000-748))*(Y36-748),500)))))))</f>
        <v>70</v>
      </c>
      <c r="AL36" s="4" t="n">
        <f aca="false">ROUND(MAX(AF36,AG36,AH36,AI36,AJ36,AK36),0)</f>
        <v>70</v>
      </c>
      <c r="AM36" s="4" t="str">
        <f aca="false">IF(AL36="","",IF(AL36&lt;=50,"Good",IF(AL36&lt;=100,"Satisfactory",IF(AL36&lt;=200,"Moderate",IF(AL36&lt;=300,"Poor",IF(AL36&lt;=400,"Very Poor","Severe"))))))</f>
        <v>Satisfactory</v>
      </c>
    </row>
    <row r="37" customFormat="false" ht="15.75" hidden="false" customHeight="false" outlineLevel="0" collapsed="false">
      <c r="A37" s="1" t="s">
        <v>39</v>
      </c>
      <c r="B37" s="1" t="s">
        <v>40</v>
      </c>
      <c r="C37" s="1" t="n">
        <v>28.4595</v>
      </c>
      <c r="D37" s="1" t="n">
        <v>77.0266</v>
      </c>
      <c r="E37" s="5" t="n">
        <v>45902</v>
      </c>
      <c r="F37" s="6" t="s">
        <v>62</v>
      </c>
      <c r="G37" s="1" t="n">
        <v>9</v>
      </c>
      <c r="H37" s="7" t="s">
        <v>78</v>
      </c>
      <c r="I37" s="6" t="s">
        <v>43</v>
      </c>
      <c r="J37" s="7" t="s">
        <v>44</v>
      </c>
      <c r="K37" s="7" t="s">
        <v>60</v>
      </c>
      <c r="L37" s="1" t="n">
        <v>86</v>
      </c>
      <c r="M37" s="1" t="n">
        <v>23.7</v>
      </c>
      <c r="N37" s="1" t="n">
        <v>37.8</v>
      </c>
      <c r="O37" s="1" t="n">
        <v>0.1</v>
      </c>
      <c r="P37" s="6" t="s">
        <v>46</v>
      </c>
      <c r="Q37" s="6" t="s">
        <v>43</v>
      </c>
      <c r="R37" s="1" t="n">
        <v>1002</v>
      </c>
      <c r="S37" s="1" t="n">
        <v>99</v>
      </c>
      <c r="T37" s="1" t="n">
        <v>10.3</v>
      </c>
      <c r="U37" s="1" t="n">
        <v>10.5</v>
      </c>
      <c r="V37" s="1" t="n">
        <v>378</v>
      </c>
      <c r="W37" s="1" t="n">
        <v>14.2</v>
      </c>
      <c r="X37" s="1" t="n">
        <v>9.9</v>
      </c>
      <c r="Y37" s="1" t="n">
        <v>79</v>
      </c>
      <c r="Z37" s="1" t="n">
        <v>0</v>
      </c>
      <c r="AA37" s="1" t="n">
        <v>57</v>
      </c>
      <c r="AB37" s="7" t="s">
        <v>47</v>
      </c>
      <c r="AC37" s="7" t="s">
        <v>50</v>
      </c>
      <c r="AD37" s="6" t="s">
        <v>43</v>
      </c>
      <c r="AE37" s="6" t="s">
        <v>43</v>
      </c>
      <c r="AF37" s="4" t="n">
        <f aca="false">IF(T37="","",IF(T37&lt;=30,(50/30)*T37,IF(T37&lt;=60,50+((100-50)/(60-30))*(T37-30),IF(T37&lt;=90,100+((200-100)/(90-60))*(T37-60),IF(T37&lt;=120,200+((300-200)/(120-90))*(T37-90),IF(T37&lt;=250,300+((400-300)/(250-120))*(T37-120),IF(T37&lt;=380,400+((500-400)/(380-250))*(T37-250),500)))))))</f>
        <v>17.1666666666667</v>
      </c>
      <c r="AG37" s="4" t="n">
        <f aca="false">IF(U37="","",IF(U37&lt;=50,(50/50)*U37,IF(U37&lt;=100,50+((100-50)/(100-50))*(U37-50),IF(U37&lt;=250,100+((200-100)/(250-100))*(U37-100),IF(U37&lt;=350,200+((300-200)/(350-250))*(U37-250),IF(U37&lt;=430,300+((400-300)/(430-350))*(U37-350),IF(U37&lt;=600,400+((500-400)/(600-430))*(U37-430),500)))))))</f>
        <v>10.5</v>
      </c>
      <c r="AH37" s="4" t="n">
        <f aca="false">IF(V37="","",IF((V37/1000)&lt;=1,(50/1)*(V37/1000),IF((V37/1000)&lt;=2,50+((100-50)/(2-1))*(V37/1000-1),IF((V37/1000)&lt;=10,100+((200-100)/(10-2))*(V37/1000-2),IF((V37/1000)&lt;=17,200+((300-200)/(17-10))*(V37/1000-10),IF((V37/1000)&lt;=34,300+((400-300)/(34-17))*(V37/1000-17),IF((V37/1000)&lt;=57,400+((500-400)/(57-34))*(V37/1000-34),500)))))))</f>
        <v>18.9</v>
      </c>
      <c r="AI37" s="4" t="n">
        <f aca="false">IF(W37="","",IF(W37&lt;=40,(50/40)*W37,IF(W37&lt;=80,50+((100-50)/(80-40))*(W37-40),IF(W37&lt;=180,100+((200-100)/(180-80))*(W37-80),IF(W37&lt;=280,200+((300-200)/(280-180))*(W37-180),IF(W37&lt;=400,300+((400-300)/(400-280))*(W37-280),IF(W37&lt;=800,400+((500-400)/(800-400))*(W37-400),500)))))))</f>
        <v>17.75</v>
      </c>
      <c r="AJ37" s="4" t="n">
        <f aca="false">IF(X37="","",IF(X37&lt;=40,(50/40)*X37,IF(X37&lt;=80,50+((100-50)/(80-40))*(X37-40),IF(X37&lt;=380,100+((200-100)/(380-80))*(X37-80),IF(X37&lt;=800,200+((300-200)/(800-380))*(X37-380),IF(X37&lt;=1600,300+((400-300)/(1600-800))*(X37-800),IF(X37&lt;=2100,400+((500-400)/(2100-1600))*(X37-1600),500)))))))</f>
        <v>12.375</v>
      </c>
      <c r="AK37" s="4" t="n">
        <f aca="false">IF(Y37="","",IF(Y37&lt;=50,(50/50)*Y37,IF(Y37&lt;=100,50+((100-50)/(100-50))*(Y37-50),IF(Y37&lt;=168,100+((200-100)/(168-100))*(Y37-100),IF(Y37&lt;=208,200+((300-200)/(208-168))*(Y37-168),IF(Y37&lt;=748,300+((400-300)/(748-208))*(Y37-208),IF(Y37&lt;=1000,400+((500-400)/(1000-748))*(Y37-748),500)))))))</f>
        <v>79</v>
      </c>
      <c r="AL37" s="4" t="n">
        <f aca="false">ROUND(MAX(AF37,AG37,AH37,AI37,AJ37,AK37),0)</f>
        <v>79</v>
      </c>
      <c r="AM37" s="4" t="str">
        <f aca="false">IF(AL37="","",IF(AL37&lt;=50,"Good",IF(AL37&lt;=100,"Satisfactory",IF(AL37&lt;=200,"Moderate",IF(AL37&lt;=300,"Poor",IF(AL37&lt;=400,"Very Poor","Severe"))))))</f>
        <v>Satisfactory</v>
      </c>
    </row>
    <row r="38" customFormat="false" ht="15.75" hidden="false" customHeight="false" outlineLevel="0" collapsed="false">
      <c r="A38" s="1" t="s">
        <v>39</v>
      </c>
      <c r="B38" s="1" t="s">
        <v>40</v>
      </c>
      <c r="C38" s="1" t="n">
        <v>28.4595</v>
      </c>
      <c r="D38" s="1" t="n">
        <v>77.0266</v>
      </c>
      <c r="E38" s="5" t="n">
        <v>45902</v>
      </c>
      <c r="F38" s="6" t="s">
        <v>63</v>
      </c>
      <c r="G38" s="1" t="n">
        <v>9</v>
      </c>
      <c r="H38" s="7" t="s">
        <v>78</v>
      </c>
      <c r="I38" s="6" t="s">
        <v>43</v>
      </c>
      <c r="J38" s="7" t="s">
        <v>44</v>
      </c>
      <c r="K38" s="7" t="s">
        <v>60</v>
      </c>
      <c r="L38" s="1" t="n">
        <v>83</v>
      </c>
      <c r="M38" s="1" t="n">
        <v>24.6</v>
      </c>
      <c r="N38" s="1" t="n">
        <v>39.2</v>
      </c>
      <c r="O38" s="1" t="n">
        <v>0.2</v>
      </c>
      <c r="P38" s="6" t="s">
        <v>46</v>
      </c>
      <c r="Q38" s="6" t="s">
        <v>43</v>
      </c>
      <c r="R38" s="1" t="n">
        <v>1001.4</v>
      </c>
      <c r="S38" s="1" t="n">
        <v>76</v>
      </c>
      <c r="T38" s="1" t="n">
        <v>12.4</v>
      </c>
      <c r="U38" s="1" t="n">
        <v>12.7</v>
      </c>
      <c r="V38" s="1" t="n">
        <v>354</v>
      </c>
      <c r="W38" s="1" t="n">
        <v>11.4</v>
      </c>
      <c r="X38" s="1" t="n">
        <v>9.9</v>
      </c>
      <c r="Y38" s="1" t="n">
        <v>92</v>
      </c>
      <c r="Z38" s="1" t="n">
        <v>0</v>
      </c>
      <c r="AA38" s="1" t="n">
        <v>57</v>
      </c>
      <c r="AB38" s="7" t="s">
        <v>47</v>
      </c>
      <c r="AC38" s="7" t="s">
        <v>50</v>
      </c>
      <c r="AD38" s="6" t="s">
        <v>43</v>
      </c>
      <c r="AE38" s="6" t="s">
        <v>43</v>
      </c>
      <c r="AF38" s="4" t="n">
        <f aca="false">IF(T38="","",IF(T38&lt;=30,(50/30)*T38,IF(T38&lt;=60,50+((100-50)/(60-30))*(T38-30),IF(T38&lt;=90,100+((200-100)/(90-60))*(T38-60),IF(T38&lt;=120,200+((300-200)/(120-90))*(T38-90),IF(T38&lt;=250,300+((400-300)/(250-120))*(T38-120),IF(T38&lt;=380,400+((500-400)/(380-250))*(T38-250),500)))))))</f>
        <v>20.6666666666667</v>
      </c>
      <c r="AG38" s="4" t="n">
        <f aca="false">IF(U38="","",IF(U38&lt;=50,(50/50)*U38,IF(U38&lt;=100,50+((100-50)/(100-50))*(U38-50),IF(U38&lt;=250,100+((200-100)/(250-100))*(U38-100),IF(U38&lt;=350,200+((300-200)/(350-250))*(U38-250),IF(U38&lt;=430,300+((400-300)/(430-350))*(U38-350),IF(U38&lt;=600,400+((500-400)/(600-430))*(U38-430),500)))))))</f>
        <v>12.7</v>
      </c>
      <c r="AH38" s="4" t="n">
        <f aca="false">IF(V38="","",IF((V38/1000)&lt;=1,(50/1)*(V38/1000),IF((V38/1000)&lt;=2,50+((100-50)/(2-1))*(V38/1000-1),IF((V38/1000)&lt;=10,100+((200-100)/(10-2))*(V38/1000-2),IF((V38/1000)&lt;=17,200+((300-200)/(17-10))*(V38/1000-10),IF((V38/1000)&lt;=34,300+((400-300)/(34-17))*(V38/1000-17),IF((V38/1000)&lt;=57,400+((500-400)/(57-34))*(V38/1000-34),500)))))))</f>
        <v>17.7</v>
      </c>
      <c r="AI38" s="4" t="n">
        <f aca="false">IF(W38="","",IF(W38&lt;=40,(50/40)*W38,IF(W38&lt;=80,50+((100-50)/(80-40))*(W38-40),IF(W38&lt;=180,100+((200-100)/(180-80))*(W38-80),IF(W38&lt;=280,200+((300-200)/(280-180))*(W38-180),IF(W38&lt;=400,300+((400-300)/(400-280))*(W38-280),IF(W38&lt;=800,400+((500-400)/(800-400))*(W38-400),500)))))))</f>
        <v>14.25</v>
      </c>
      <c r="AJ38" s="4" t="n">
        <f aca="false">IF(X38="","",IF(X38&lt;=40,(50/40)*X38,IF(X38&lt;=80,50+((100-50)/(80-40))*(X38-40),IF(X38&lt;=380,100+((200-100)/(380-80))*(X38-80),IF(X38&lt;=800,200+((300-200)/(800-380))*(X38-380),IF(X38&lt;=1600,300+((400-300)/(1600-800))*(X38-800),IF(X38&lt;=2100,400+((500-400)/(2100-1600))*(X38-1600),500)))))))</f>
        <v>12.375</v>
      </c>
      <c r="AK38" s="4" t="n">
        <f aca="false">IF(Y38="","",IF(Y38&lt;=50,(50/50)*Y38,IF(Y38&lt;=100,50+((100-50)/(100-50))*(Y38-50),IF(Y38&lt;=168,100+((200-100)/(168-100))*(Y38-100),IF(Y38&lt;=208,200+((300-200)/(208-168))*(Y38-168),IF(Y38&lt;=748,300+((400-300)/(748-208))*(Y38-208),IF(Y38&lt;=1000,400+((500-400)/(1000-748))*(Y38-748),500)))))))</f>
        <v>92</v>
      </c>
      <c r="AL38" s="4" t="n">
        <f aca="false">ROUND(MAX(AF38,AG38,AH38,AI38,AJ38,AK38),0)</f>
        <v>92</v>
      </c>
      <c r="AM38" s="4" t="str">
        <f aca="false">IF(AL38="","",IF(AL38&lt;=50,"Good",IF(AL38&lt;=100,"Satisfactory",IF(AL38&lt;=200,"Moderate",IF(AL38&lt;=300,"Poor",IF(AL38&lt;=400,"Very Poor","Severe"))))))</f>
        <v>Satisfactory</v>
      </c>
    </row>
    <row r="39" customFormat="false" ht="15.75" hidden="false" customHeight="false" outlineLevel="0" collapsed="false">
      <c r="A39" s="1" t="s">
        <v>39</v>
      </c>
      <c r="B39" s="1" t="s">
        <v>40</v>
      </c>
      <c r="C39" s="1" t="n">
        <v>28.4595</v>
      </c>
      <c r="D39" s="1" t="n">
        <v>77.0266</v>
      </c>
      <c r="E39" s="5" t="n">
        <v>45902</v>
      </c>
      <c r="F39" s="6" t="s">
        <v>64</v>
      </c>
      <c r="G39" s="1" t="n">
        <v>9</v>
      </c>
      <c r="H39" s="7" t="s">
        <v>78</v>
      </c>
      <c r="I39" s="6" t="s">
        <v>43</v>
      </c>
      <c r="J39" s="7" t="s">
        <v>44</v>
      </c>
      <c r="K39" s="7" t="s">
        <v>65</v>
      </c>
      <c r="L39" s="1" t="n">
        <v>74</v>
      </c>
      <c r="M39" s="1" t="n">
        <v>24.2</v>
      </c>
      <c r="N39" s="1" t="n">
        <v>40</v>
      </c>
      <c r="O39" s="1" t="n">
        <v>0</v>
      </c>
      <c r="P39" s="6" t="s">
        <v>43</v>
      </c>
      <c r="Q39" s="6" t="s">
        <v>43</v>
      </c>
      <c r="R39" s="1" t="n">
        <v>1000.2</v>
      </c>
      <c r="S39" s="1" t="n">
        <v>94</v>
      </c>
      <c r="T39" s="1" t="n">
        <v>12.4</v>
      </c>
      <c r="U39" s="1" t="n">
        <v>12.7</v>
      </c>
      <c r="V39" s="1" t="n">
        <v>347</v>
      </c>
      <c r="W39" s="1" t="n">
        <v>8.8</v>
      </c>
      <c r="X39" s="1" t="n">
        <v>10</v>
      </c>
      <c r="Y39" s="1" t="n">
        <v>105</v>
      </c>
      <c r="Z39" s="1" t="n">
        <v>1</v>
      </c>
      <c r="AA39" s="1" t="n">
        <v>57</v>
      </c>
      <c r="AB39" s="7" t="s">
        <v>47</v>
      </c>
      <c r="AC39" s="7" t="s">
        <v>50</v>
      </c>
      <c r="AD39" s="6" t="s">
        <v>43</v>
      </c>
      <c r="AE39" s="6" t="s">
        <v>43</v>
      </c>
      <c r="AF39" s="4" t="n">
        <f aca="false">IF(T39="","",IF(T39&lt;=30,(50/30)*T39,IF(T39&lt;=60,50+((100-50)/(60-30))*(T39-30),IF(T39&lt;=90,100+((200-100)/(90-60))*(T39-60),IF(T39&lt;=120,200+((300-200)/(120-90))*(T39-90),IF(T39&lt;=250,300+((400-300)/(250-120))*(T39-120),IF(T39&lt;=380,400+((500-400)/(380-250))*(T39-250),500)))))))</f>
        <v>20.6666666666667</v>
      </c>
      <c r="AG39" s="4" t="n">
        <f aca="false">IF(U39="","",IF(U39&lt;=50,(50/50)*U39,IF(U39&lt;=100,50+((100-50)/(100-50))*(U39-50),IF(U39&lt;=250,100+((200-100)/(250-100))*(U39-100),IF(U39&lt;=350,200+((300-200)/(350-250))*(U39-250),IF(U39&lt;=430,300+((400-300)/(430-350))*(U39-350),IF(U39&lt;=600,400+((500-400)/(600-430))*(U39-430),500)))))))</f>
        <v>12.7</v>
      </c>
      <c r="AH39" s="4" t="n">
        <f aca="false">IF(V39="","",IF((V39/1000)&lt;=1,(50/1)*(V39/1000),IF((V39/1000)&lt;=2,50+((100-50)/(2-1))*(V39/1000-1),IF((V39/1000)&lt;=10,100+((200-100)/(10-2))*(V39/1000-2),IF((V39/1000)&lt;=17,200+((300-200)/(17-10))*(V39/1000-10),IF((V39/1000)&lt;=34,300+((400-300)/(34-17))*(V39/1000-17),IF((V39/1000)&lt;=57,400+((500-400)/(57-34))*(V39/1000-34),500)))))))</f>
        <v>17.35</v>
      </c>
      <c r="AI39" s="4" t="n">
        <f aca="false">IF(W39="","",IF(W39&lt;=40,(50/40)*W39,IF(W39&lt;=80,50+((100-50)/(80-40))*(W39-40),IF(W39&lt;=180,100+((200-100)/(180-80))*(W39-80),IF(W39&lt;=280,200+((300-200)/(280-180))*(W39-180),IF(W39&lt;=400,300+((400-300)/(400-280))*(W39-280),IF(W39&lt;=800,400+((500-400)/(800-400))*(W39-400),500)))))))</f>
        <v>11</v>
      </c>
      <c r="AJ39" s="4" t="n">
        <f aca="false">IF(X39="","",IF(X39&lt;=40,(50/40)*X39,IF(X39&lt;=80,50+((100-50)/(80-40))*(X39-40),IF(X39&lt;=380,100+((200-100)/(380-80))*(X39-80),IF(X39&lt;=800,200+((300-200)/(800-380))*(X39-380),IF(X39&lt;=1600,300+((400-300)/(1600-800))*(X39-800),IF(X39&lt;=2100,400+((500-400)/(2100-1600))*(X39-1600),500)))))))</f>
        <v>12.5</v>
      </c>
      <c r="AK39" s="4" t="n">
        <f aca="false">IF(Y39="","",IF(Y39&lt;=50,(50/50)*Y39,IF(Y39&lt;=100,50+((100-50)/(100-50))*(Y39-50),IF(Y39&lt;=168,100+((200-100)/(168-100))*(Y39-100),IF(Y39&lt;=208,200+((300-200)/(208-168))*(Y39-168),IF(Y39&lt;=748,300+((400-300)/(748-208))*(Y39-208),IF(Y39&lt;=1000,400+((500-400)/(1000-748))*(Y39-748),500)))))))</f>
        <v>107.352941176471</v>
      </c>
      <c r="AL39" s="4" t="n">
        <f aca="false">ROUND(MAX(AF39,AG39,AH39,AI39,AJ39,AK39),0)</f>
        <v>107</v>
      </c>
      <c r="AM39" s="4" t="str">
        <f aca="false">IF(AL39="","",IF(AL39&lt;=50,"Good",IF(AL39&lt;=100,"Satisfactory",IF(AL39&lt;=200,"Moderate",IF(AL39&lt;=300,"Poor",IF(AL39&lt;=400,"Very Poor","Severe"))))))</f>
        <v>Moderate</v>
      </c>
    </row>
    <row r="40" customFormat="false" ht="15.75" hidden="false" customHeight="false" outlineLevel="0" collapsed="false">
      <c r="A40" s="1" t="s">
        <v>39</v>
      </c>
      <c r="B40" s="1" t="s">
        <v>40</v>
      </c>
      <c r="C40" s="1" t="n">
        <v>28.4595</v>
      </c>
      <c r="D40" s="1" t="n">
        <v>77.0266</v>
      </c>
      <c r="E40" s="5" t="n">
        <v>45902</v>
      </c>
      <c r="F40" s="6" t="s">
        <v>66</v>
      </c>
      <c r="G40" s="1" t="n">
        <v>9</v>
      </c>
      <c r="H40" s="7" t="s">
        <v>78</v>
      </c>
      <c r="I40" s="6" t="s">
        <v>43</v>
      </c>
      <c r="J40" s="7" t="s">
        <v>44</v>
      </c>
      <c r="K40" s="7" t="s">
        <v>65</v>
      </c>
      <c r="L40" s="1" t="n">
        <v>88</v>
      </c>
      <c r="M40" s="1" t="n">
        <v>24.4</v>
      </c>
      <c r="N40" s="1" t="n">
        <v>41.8</v>
      </c>
      <c r="O40" s="1" t="n">
        <v>5.8</v>
      </c>
      <c r="P40" s="6" t="s">
        <v>46</v>
      </c>
      <c r="Q40" s="6" t="s">
        <v>43</v>
      </c>
      <c r="R40" s="1" t="n">
        <v>999.9</v>
      </c>
      <c r="S40" s="1" t="n">
        <v>100</v>
      </c>
      <c r="T40" s="1" t="n">
        <v>13.9</v>
      </c>
      <c r="U40" s="1" t="n">
        <v>14.2</v>
      </c>
      <c r="V40" s="1" t="n">
        <v>366</v>
      </c>
      <c r="W40" s="1" t="n">
        <v>8.7</v>
      </c>
      <c r="X40" s="1" t="n">
        <v>10.1</v>
      </c>
      <c r="Y40" s="1" t="n">
        <v>111</v>
      </c>
      <c r="Z40" s="1" t="n">
        <v>1</v>
      </c>
      <c r="AA40" s="1" t="n">
        <v>56</v>
      </c>
      <c r="AB40" s="7" t="s">
        <v>47</v>
      </c>
      <c r="AC40" s="7" t="s">
        <v>50</v>
      </c>
      <c r="AD40" s="6" t="s">
        <v>43</v>
      </c>
      <c r="AE40" s="6" t="s">
        <v>43</v>
      </c>
      <c r="AF40" s="4" t="n">
        <f aca="false">IF(T40="","",IF(T40&lt;=30,(50/30)*T40,IF(T40&lt;=60,50+((100-50)/(60-30))*(T40-30),IF(T40&lt;=90,100+((200-100)/(90-60))*(T40-60),IF(T40&lt;=120,200+((300-200)/(120-90))*(T40-90),IF(T40&lt;=250,300+((400-300)/(250-120))*(T40-120),IF(T40&lt;=380,400+((500-400)/(380-250))*(T40-250),500)))))))</f>
        <v>23.1666666666667</v>
      </c>
      <c r="AG40" s="4" t="n">
        <f aca="false">IF(U40="","",IF(U40&lt;=50,(50/50)*U40,IF(U40&lt;=100,50+((100-50)/(100-50))*(U40-50),IF(U40&lt;=250,100+((200-100)/(250-100))*(U40-100),IF(U40&lt;=350,200+((300-200)/(350-250))*(U40-250),IF(U40&lt;=430,300+((400-300)/(430-350))*(U40-350),IF(U40&lt;=600,400+((500-400)/(600-430))*(U40-430),500)))))))</f>
        <v>14.2</v>
      </c>
      <c r="AH40" s="4" t="n">
        <f aca="false">IF(V40="","",IF((V40/1000)&lt;=1,(50/1)*(V40/1000),IF((V40/1000)&lt;=2,50+((100-50)/(2-1))*(V40/1000-1),IF((V40/1000)&lt;=10,100+((200-100)/(10-2))*(V40/1000-2),IF((V40/1000)&lt;=17,200+((300-200)/(17-10))*(V40/1000-10),IF((V40/1000)&lt;=34,300+((400-300)/(34-17))*(V40/1000-17),IF((V40/1000)&lt;=57,400+((500-400)/(57-34))*(V40/1000-34),500)))))))</f>
        <v>18.3</v>
      </c>
      <c r="AI40" s="4" t="n">
        <f aca="false">IF(W40="","",IF(W40&lt;=40,(50/40)*W40,IF(W40&lt;=80,50+((100-50)/(80-40))*(W40-40),IF(W40&lt;=180,100+((200-100)/(180-80))*(W40-80),IF(W40&lt;=280,200+((300-200)/(280-180))*(W40-180),IF(W40&lt;=400,300+((400-300)/(400-280))*(W40-280),IF(W40&lt;=800,400+((500-400)/(800-400))*(W40-400),500)))))))</f>
        <v>10.875</v>
      </c>
      <c r="AJ40" s="4" t="n">
        <f aca="false">IF(X40="","",IF(X40&lt;=40,(50/40)*X40,IF(X40&lt;=80,50+((100-50)/(80-40))*(X40-40),IF(X40&lt;=380,100+((200-100)/(380-80))*(X40-80),IF(X40&lt;=800,200+((300-200)/(800-380))*(X40-380),IF(X40&lt;=1600,300+((400-300)/(1600-800))*(X40-800),IF(X40&lt;=2100,400+((500-400)/(2100-1600))*(X40-1600),500)))))))</f>
        <v>12.625</v>
      </c>
      <c r="AK40" s="4" t="n">
        <f aca="false">IF(Y40="","",IF(Y40&lt;=50,(50/50)*Y40,IF(Y40&lt;=100,50+((100-50)/(100-50))*(Y40-50),IF(Y40&lt;=168,100+((200-100)/(168-100))*(Y40-100),IF(Y40&lt;=208,200+((300-200)/(208-168))*(Y40-168),IF(Y40&lt;=748,300+((400-300)/(748-208))*(Y40-208),IF(Y40&lt;=1000,400+((500-400)/(1000-748))*(Y40-748),500)))))))</f>
        <v>116.176470588235</v>
      </c>
      <c r="AL40" s="4" t="n">
        <f aca="false">ROUND(MAX(AF40,AG40,AH40,AI40,AJ40,AK40),0)</f>
        <v>116</v>
      </c>
      <c r="AM40" s="4" t="str">
        <f aca="false">IF(AL40="","",IF(AL40&lt;=50,"Good",IF(AL40&lt;=100,"Satisfactory",IF(AL40&lt;=200,"Moderate",IF(AL40&lt;=300,"Poor",IF(AL40&lt;=400,"Very Poor","Severe"))))))</f>
        <v>Moderate</v>
      </c>
    </row>
    <row r="41" customFormat="false" ht="15.75" hidden="false" customHeight="false" outlineLevel="0" collapsed="false">
      <c r="A41" s="1" t="s">
        <v>39</v>
      </c>
      <c r="B41" s="1" t="s">
        <v>40</v>
      </c>
      <c r="C41" s="1" t="n">
        <v>28.4595</v>
      </c>
      <c r="D41" s="1" t="n">
        <v>77.0266</v>
      </c>
      <c r="E41" s="5" t="n">
        <v>45902</v>
      </c>
      <c r="F41" s="6" t="s">
        <v>67</v>
      </c>
      <c r="G41" s="1" t="n">
        <v>9</v>
      </c>
      <c r="H41" s="7" t="s">
        <v>78</v>
      </c>
      <c r="I41" s="6" t="s">
        <v>43</v>
      </c>
      <c r="J41" s="7" t="s">
        <v>44</v>
      </c>
      <c r="K41" s="7" t="s">
        <v>65</v>
      </c>
      <c r="L41" s="1" t="n">
        <v>86</v>
      </c>
      <c r="M41" s="1" t="n">
        <v>23.6</v>
      </c>
      <c r="N41" s="1" t="n">
        <v>30.2</v>
      </c>
      <c r="O41" s="1" t="n">
        <v>1.9</v>
      </c>
      <c r="P41" s="6" t="s">
        <v>46</v>
      </c>
      <c r="Q41" s="6" t="s">
        <v>43</v>
      </c>
      <c r="R41" s="1" t="n">
        <v>999.6</v>
      </c>
      <c r="S41" s="1" t="n">
        <v>91</v>
      </c>
      <c r="T41" s="1" t="n">
        <v>15.9</v>
      </c>
      <c r="U41" s="1" t="n">
        <v>16.1</v>
      </c>
      <c r="V41" s="1" t="n">
        <v>432</v>
      </c>
      <c r="W41" s="1" t="n">
        <v>13</v>
      </c>
      <c r="X41" s="1" t="n">
        <v>9.9</v>
      </c>
      <c r="Y41" s="1" t="n">
        <v>103</v>
      </c>
      <c r="Z41" s="1" t="n">
        <v>1</v>
      </c>
      <c r="AA41" s="1" t="n">
        <v>56</v>
      </c>
      <c r="AB41" s="7" t="s">
        <v>47</v>
      </c>
      <c r="AC41" s="7" t="s">
        <v>50</v>
      </c>
      <c r="AD41" s="6" t="s">
        <v>43</v>
      </c>
      <c r="AE41" s="6" t="s">
        <v>43</v>
      </c>
      <c r="AF41" s="4" t="n">
        <f aca="false">IF(T41="","",IF(T41&lt;=30,(50/30)*T41,IF(T41&lt;=60,50+((100-50)/(60-30))*(T41-30),IF(T41&lt;=90,100+((200-100)/(90-60))*(T41-60),IF(T41&lt;=120,200+((300-200)/(120-90))*(T41-90),IF(T41&lt;=250,300+((400-300)/(250-120))*(T41-120),IF(T41&lt;=380,400+((500-400)/(380-250))*(T41-250),500)))))))</f>
        <v>26.5</v>
      </c>
      <c r="AG41" s="4" t="n">
        <f aca="false">IF(U41="","",IF(U41&lt;=50,(50/50)*U41,IF(U41&lt;=100,50+((100-50)/(100-50))*(U41-50),IF(U41&lt;=250,100+((200-100)/(250-100))*(U41-100),IF(U41&lt;=350,200+((300-200)/(350-250))*(U41-250),IF(U41&lt;=430,300+((400-300)/(430-350))*(U41-350),IF(U41&lt;=600,400+((500-400)/(600-430))*(U41-430),500)))))))</f>
        <v>16.1</v>
      </c>
      <c r="AH41" s="4" t="n">
        <f aca="false">IF(V41="","",IF((V41/1000)&lt;=1,(50/1)*(V41/1000),IF((V41/1000)&lt;=2,50+((100-50)/(2-1))*(V41/1000-1),IF((V41/1000)&lt;=10,100+((200-100)/(10-2))*(V41/1000-2),IF((V41/1000)&lt;=17,200+((300-200)/(17-10))*(V41/1000-10),IF((V41/1000)&lt;=34,300+((400-300)/(34-17))*(V41/1000-17),IF((V41/1000)&lt;=57,400+((500-400)/(57-34))*(V41/1000-34),500)))))))</f>
        <v>21.6</v>
      </c>
      <c r="AI41" s="4" t="n">
        <f aca="false">IF(W41="","",IF(W41&lt;=40,(50/40)*W41,IF(W41&lt;=80,50+((100-50)/(80-40))*(W41-40),IF(W41&lt;=180,100+((200-100)/(180-80))*(W41-80),IF(W41&lt;=280,200+((300-200)/(280-180))*(W41-180),IF(W41&lt;=400,300+((400-300)/(400-280))*(W41-280),IF(W41&lt;=800,400+((500-400)/(800-400))*(W41-400),500)))))))</f>
        <v>16.25</v>
      </c>
      <c r="AJ41" s="4" t="n">
        <f aca="false">IF(X41="","",IF(X41&lt;=40,(50/40)*X41,IF(X41&lt;=80,50+((100-50)/(80-40))*(X41-40),IF(X41&lt;=380,100+((200-100)/(380-80))*(X41-80),IF(X41&lt;=800,200+((300-200)/(800-380))*(X41-380),IF(X41&lt;=1600,300+((400-300)/(1600-800))*(X41-800),IF(X41&lt;=2100,400+((500-400)/(2100-1600))*(X41-1600),500)))))))</f>
        <v>12.375</v>
      </c>
      <c r="AK41" s="4" t="n">
        <f aca="false">IF(Y41="","",IF(Y41&lt;=50,(50/50)*Y41,IF(Y41&lt;=100,50+((100-50)/(100-50))*(Y41-50),IF(Y41&lt;=168,100+((200-100)/(168-100))*(Y41-100),IF(Y41&lt;=208,200+((300-200)/(208-168))*(Y41-168),IF(Y41&lt;=748,300+((400-300)/(748-208))*(Y41-208),IF(Y41&lt;=1000,400+((500-400)/(1000-748))*(Y41-748),500)))))))</f>
        <v>104.411764705882</v>
      </c>
      <c r="AL41" s="4" t="n">
        <f aca="false">ROUND(MAX(AF41,AG41,AH41,AI41,AJ41,AK41),0)</f>
        <v>104</v>
      </c>
      <c r="AM41" s="4" t="str">
        <f aca="false">IF(AL41="","",IF(AL41&lt;=50,"Good",IF(AL41&lt;=100,"Satisfactory",IF(AL41&lt;=200,"Moderate",IF(AL41&lt;=300,"Poor",IF(AL41&lt;=400,"Very Poor","Severe"))))))</f>
        <v>Moderate</v>
      </c>
    </row>
    <row r="42" customFormat="false" ht="15.75" hidden="false" customHeight="false" outlineLevel="0" collapsed="false">
      <c r="A42" s="1" t="s">
        <v>39</v>
      </c>
      <c r="B42" s="1" t="s">
        <v>40</v>
      </c>
      <c r="C42" s="1" t="n">
        <v>28.4595</v>
      </c>
      <c r="D42" s="1" t="n">
        <v>77.0266</v>
      </c>
      <c r="E42" s="5" t="n">
        <v>45902</v>
      </c>
      <c r="F42" s="6" t="s">
        <v>68</v>
      </c>
      <c r="G42" s="1" t="n">
        <v>9</v>
      </c>
      <c r="H42" s="7" t="s">
        <v>78</v>
      </c>
      <c r="I42" s="6" t="s">
        <v>43</v>
      </c>
      <c r="J42" s="7" t="s">
        <v>44</v>
      </c>
      <c r="K42" s="7" t="s">
        <v>65</v>
      </c>
      <c r="L42" s="1" t="n">
        <v>83</v>
      </c>
      <c r="M42" s="1" t="n">
        <v>23.6</v>
      </c>
      <c r="N42" s="1" t="n">
        <v>30.2</v>
      </c>
      <c r="O42" s="1" t="n">
        <v>0.4</v>
      </c>
      <c r="P42" s="6" t="s">
        <v>46</v>
      </c>
      <c r="Q42" s="6" t="s">
        <v>43</v>
      </c>
      <c r="R42" s="1" t="n">
        <v>999.3</v>
      </c>
      <c r="S42" s="1" t="n">
        <v>91</v>
      </c>
      <c r="T42" s="1" t="n">
        <v>15.3</v>
      </c>
      <c r="U42" s="1" t="n">
        <v>15.5</v>
      </c>
      <c r="V42" s="1" t="n">
        <v>524</v>
      </c>
      <c r="W42" s="1" t="n">
        <v>19.8</v>
      </c>
      <c r="X42" s="1" t="n">
        <v>9.6</v>
      </c>
      <c r="Y42" s="1" t="n">
        <v>87</v>
      </c>
      <c r="Z42" s="1" t="n">
        <v>0</v>
      </c>
      <c r="AA42" s="1" t="n">
        <v>56</v>
      </c>
      <c r="AB42" s="7" t="s">
        <v>47</v>
      </c>
      <c r="AC42" s="7" t="s">
        <v>50</v>
      </c>
      <c r="AD42" s="6" t="s">
        <v>43</v>
      </c>
      <c r="AE42" s="6" t="s">
        <v>43</v>
      </c>
      <c r="AF42" s="4" t="n">
        <f aca="false">IF(T42="","",IF(T42&lt;=30,(50/30)*T42,IF(T42&lt;=60,50+((100-50)/(60-30))*(T42-30),IF(T42&lt;=90,100+((200-100)/(90-60))*(T42-60),IF(T42&lt;=120,200+((300-200)/(120-90))*(T42-90),IF(T42&lt;=250,300+((400-300)/(250-120))*(T42-120),IF(T42&lt;=380,400+((500-400)/(380-250))*(T42-250),500)))))))</f>
        <v>25.5</v>
      </c>
      <c r="AG42" s="4" t="n">
        <f aca="false">IF(U42="","",IF(U42&lt;=50,(50/50)*U42,IF(U42&lt;=100,50+((100-50)/(100-50))*(U42-50),IF(U42&lt;=250,100+((200-100)/(250-100))*(U42-100),IF(U42&lt;=350,200+((300-200)/(350-250))*(U42-250),IF(U42&lt;=430,300+((400-300)/(430-350))*(U42-350),IF(U42&lt;=600,400+((500-400)/(600-430))*(U42-430),500)))))))</f>
        <v>15.5</v>
      </c>
      <c r="AH42" s="4" t="n">
        <f aca="false">IF(V42="","",IF((V42/1000)&lt;=1,(50/1)*(V42/1000),IF((V42/1000)&lt;=2,50+((100-50)/(2-1))*(V42/1000-1),IF((V42/1000)&lt;=10,100+((200-100)/(10-2))*(V42/1000-2),IF((V42/1000)&lt;=17,200+((300-200)/(17-10))*(V42/1000-10),IF((V42/1000)&lt;=34,300+((400-300)/(34-17))*(V42/1000-17),IF((V42/1000)&lt;=57,400+((500-400)/(57-34))*(V42/1000-34),500)))))))</f>
        <v>26.2</v>
      </c>
      <c r="AI42" s="4" t="n">
        <f aca="false">IF(W42="","",IF(W42&lt;=40,(50/40)*W42,IF(W42&lt;=80,50+((100-50)/(80-40))*(W42-40),IF(W42&lt;=180,100+((200-100)/(180-80))*(W42-80),IF(W42&lt;=280,200+((300-200)/(280-180))*(W42-180),IF(W42&lt;=400,300+((400-300)/(400-280))*(W42-280),IF(W42&lt;=800,400+((500-400)/(800-400))*(W42-400),500)))))))</f>
        <v>24.75</v>
      </c>
      <c r="AJ42" s="4" t="n">
        <f aca="false">IF(X42="","",IF(X42&lt;=40,(50/40)*X42,IF(X42&lt;=80,50+((100-50)/(80-40))*(X42-40),IF(X42&lt;=380,100+((200-100)/(380-80))*(X42-80),IF(X42&lt;=800,200+((300-200)/(800-380))*(X42-380),IF(X42&lt;=1600,300+((400-300)/(1600-800))*(X42-800),IF(X42&lt;=2100,400+((500-400)/(2100-1600))*(X42-1600),500)))))))</f>
        <v>12</v>
      </c>
      <c r="AK42" s="4" t="n">
        <f aca="false">IF(Y42="","",IF(Y42&lt;=50,(50/50)*Y42,IF(Y42&lt;=100,50+((100-50)/(100-50))*(Y42-50),IF(Y42&lt;=168,100+((200-100)/(168-100))*(Y42-100),IF(Y42&lt;=208,200+((300-200)/(208-168))*(Y42-168),IF(Y42&lt;=748,300+((400-300)/(748-208))*(Y42-208),IF(Y42&lt;=1000,400+((500-400)/(1000-748))*(Y42-748),500)))))))</f>
        <v>87</v>
      </c>
      <c r="AL42" s="4" t="n">
        <f aca="false">ROUND(MAX(AF42,AG42,AH42,AI42,AJ42,AK42),0)</f>
        <v>87</v>
      </c>
      <c r="AM42" s="4" t="str">
        <f aca="false">IF(AL42="","",IF(AL42&lt;=50,"Good",IF(AL42&lt;=100,"Satisfactory",IF(AL42&lt;=200,"Moderate",IF(AL42&lt;=300,"Poor",IF(AL42&lt;=400,"Very Poor","Severe"))))))</f>
        <v>Satisfactory</v>
      </c>
    </row>
    <row r="43" customFormat="false" ht="15.75" hidden="false" customHeight="false" outlineLevel="0" collapsed="false">
      <c r="A43" s="1" t="s">
        <v>39</v>
      </c>
      <c r="B43" s="1" t="s">
        <v>40</v>
      </c>
      <c r="C43" s="1" t="n">
        <v>28.4595</v>
      </c>
      <c r="D43" s="1" t="n">
        <v>77.0266</v>
      </c>
      <c r="E43" s="5" t="n">
        <v>45902</v>
      </c>
      <c r="F43" s="6" t="s">
        <v>69</v>
      </c>
      <c r="G43" s="1" t="n">
        <v>9</v>
      </c>
      <c r="H43" s="7" t="s">
        <v>78</v>
      </c>
      <c r="I43" s="6" t="s">
        <v>43</v>
      </c>
      <c r="J43" s="7" t="s">
        <v>44</v>
      </c>
      <c r="K43" s="7" t="s">
        <v>65</v>
      </c>
      <c r="L43" s="1" t="n">
        <v>92</v>
      </c>
      <c r="M43" s="1" t="n">
        <v>24</v>
      </c>
      <c r="N43" s="1" t="n">
        <v>30.2</v>
      </c>
      <c r="O43" s="1" t="n">
        <v>2.9</v>
      </c>
      <c r="P43" s="6" t="s">
        <v>46</v>
      </c>
      <c r="Q43" s="6" t="s">
        <v>43</v>
      </c>
      <c r="R43" s="1" t="n">
        <v>999.7</v>
      </c>
      <c r="S43" s="1" t="n">
        <v>91</v>
      </c>
      <c r="T43" s="1" t="n">
        <v>26.1</v>
      </c>
      <c r="U43" s="1" t="n">
        <v>27.1</v>
      </c>
      <c r="V43" s="1" t="n">
        <v>589</v>
      </c>
      <c r="W43" s="1" t="n">
        <v>27.7</v>
      </c>
      <c r="X43" s="1" t="n">
        <v>9.2</v>
      </c>
      <c r="Y43" s="1" t="n">
        <v>58</v>
      </c>
      <c r="Z43" s="1" t="n">
        <v>2</v>
      </c>
      <c r="AA43" s="1" t="n">
        <v>56</v>
      </c>
      <c r="AB43" s="7" t="s">
        <v>47</v>
      </c>
      <c r="AC43" s="7" t="s">
        <v>50</v>
      </c>
      <c r="AD43" s="6" t="s">
        <v>43</v>
      </c>
      <c r="AE43" s="6" t="s">
        <v>43</v>
      </c>
      <c r="AF43" s="4" t="n">
        <f aca="false">IF(T43="","",IF(T43&lt;=30,(50/30)*T43,IF(T43&lt;=60,50+((100-50)/(60-30))*(T43-30),IF(T43&lt;=90,100+((200-100)/(90-60))*(T43-60),IF(T43&lt;=120,200+((300-200)/(120-90))*(T43-90),IF(T43&lt;=250,300+((400-300)/(250-120))*(T43-120),IF(T43&lt;=380,400+((500-400)/(380-250))*(T43-250),500)))))))</f>
        <v>43.5</v>
      </c>
      <c r="AG43" s="4" t="n">
        <f aca="false">IF(U43="","",IF(U43&lt;=50,(50/50)*U43,IF(U43&lt;=100,50+((100-50)/(100-50))*(U43-50),IF(U43&lt;=250,100+((200-100)/(250-100))*(U43-100),IF(U43&lt;=350,200+((300-200)/(350-250))*(U43-250),IF(U43&lt;=430,300+((400-300)/(430-350))*(U43-350),IF(U43&lt;=600,400+((500-400)/(600-430))*(U43-430),500)))))))</f>
        <v>27.1</v>
      </c>
      <c r="AH43" s="4" t="n">
        <f aca="false">IF(V43="","",IF((V43/1000)&lt;=1,(50/1)*(V43/1000),IF((V43/1000)&lt;=2,50+((100-50)/(2-1))*(V43/1000-1),IF((V43/1000)&lt;=10,100+((200-100)/(10-2))*(V43/1000-2),IF((V43/1000)&lt;=17,200+((300-200)/(17-10))*(V43/1000-10),IF((V43/1000)&lt;=34,300+((400-300)/(34-17))*(V43/1000-17),IF((V43/1000)&lt;=57,400+((500-400)/(57-34))*(V43/1000-34),500)))))))</f>
        <v>29.45</v>
      </c>
      <c r="AI43" s="4" t="n">
        <f aca="false">IF(W43="","",IF(W43&lt;=40,(50/40)*W43,IF(W43&lt;=80,50+((100-50)/(80-40))*(W43-40),IF(W43&lt;=180,100+((200-100)/(180-80))*(W43-80),IF(W43&lt;=280,200+((300-200)/(280-180))*(W43-180),IF(W43&lt;=400,300+((400-300)/(400-280))*(W43-280),IF(W43&lt;=800,400+((500-400)/(800-400))*(W43-400),500)))))))</f>
        <v>34.625</v>
      </c>
      <c r="AJ43" s="4" t="n">
        <f aca="false">IF(X43="","",IF(X43&lt;=40,(50/40)*X43,IF(X43&lt;=80,50+((100-50)/(80-40))*(X43-40),IF(X43&lt;=380,100+((200-100)/(380-80))*(X43-80),IF(X43&lt;=800,200+((300-200)/(800-380))*(X43-380),IF(X43&lt;=1600,300+((400-300)/(1600-800))*(X43-800),IF(X43&lt;=2100,400+((500-400)/(2100-1600))*(X43-1600),500)))))))</f>
        <v>11.5</v>
      </c>
      <c r="AK43" s="4" t="n">
        <f aca="false">IF(Y43="","",IF(Y43&lt;=50,(50/50)*Y43,IF(Y43&lt;=100,50+((100-50)/(100-50))*(Y43-50),IF(Y43&lt;=168,100+((200-100)/(168-100))*(Y43-100),IF(Y43&lt;=208,200+((300-200)/(208-168))*(Y43-168),IF(Y43&lt;=748,300+((400-300)/(748-208))*(Y43-208),IF(Y43&lt;=1000,400+((500-400)/(1000-748))*(Y43-748),500)))))))</f>
        <v>58</v>
      </c>
      <c r="AL43" s="4" t="n">
        <f aca="false">ROUND(MAX(AF43,AG43,AH43,AI43,AJ43,AK43),0)</f>
        <v>58</v>
      </c>
      <c r="AM43" s="4" t="str">
        <f aca="false">IF(AL43="","",IF(AL43&lt;=50,"Good",IF(AL43&lt;=100,"Satisfactory",IF(AL43&lt;=200,"Moderate",IF(AL43&lt;=300,"Poor",IF(AL43&lt;=400,"Very Poor","Severe"))))))</f>
        <v>Satisfactory</v>
      </c>
    </row>
    <row r="44" customFormat="false" ht="15.75" hidden="false" customHeight="false" outlineLevel="0" collapsed="false">
      <c r="A44" s="1" t="s">
        <v>39</v>
      </c>
      <c r="B44" s="1" t="s">
        <v>40</v>
      </c>
      <c r="C44" s="1" t="n">
        <v>28.4595</v>
      </c>
      <c r="D44" s="1" t="n">
        <v>77.0266</v>
      </c>
      <c r="E44" s="5" t="n">
        <v>45902</v>
      </c>
      <c r="F44" s="6" t="s">
        <v>70</v>
      </c>
      <c r="G44" s="1" t="n">
        <v>9</v>
      </c>
      <c r="H44" s="7" t="s">
        <v>78</v>
      </c>
      <c r="I44" s="6" t="s">
        <v>43</v>
      </c>
      <c r="J44" s="7" t="s">
        <v>44</v>
      </c>
      <c r="K44" s="7" t="s">
        <v>71</v>
      </c>
      <c r="L44" s="1" t="n">
        <v>96</v>
      </c>
      <c r="M44" s="1" t="n">
        <v>24.4</v>
      </c>
      <c r="N44" s="1" t="n">
        <v>25.2</v>
      </c>
      <c r="O44" s="1" t="n">
        <v>0.3</v>
      </c>
      <c r="P44" s="6" t="s">
        <v>46</v>
      </c>
      <c r="Q44" s="6" t="s">
        <v>43</v>
      </c>
      <c r="R44" s="1" t="n">
        <v>1000.6</v>
      </c>
      <c r="S44" s="1" t="n">
        <v>100</v>
      </c>
      <c r="T44" s="1" t="n">
        <v>24.8</v>
      </c>
      <c r="U44" s="1" t="n">
        <v>25.6</v>
      </c>
      <c r="V44" s="1" t="n">
        <v>604</v>
      </c>
      <c r="W44" s="1" t="n">
        <v>27.7</v>
      </c>
      <c r="X44" s="1" t="n">
        <v>10</v>
      </c>
      <c r="Y44" s="1" t="n">
        <v>56</v>
      </c>
      <c r="Z44" s="1" t="n">
        <v>2</v>
      </c>
      <c r="AA44" s="1" t="n">
        <v>57</v>
      </c>
      <c r="AB44" s="7" t="s">
        <v>47</v>
      </c>
      <c r="AC44" s="7" t="s">
        <v>50</v>
      </c>
      <c r="AD44" s="6" t="s">
        <v>43</v>
      </c>
      <c r="AE44" s="6" t="s">
        <v>43</v>
      </c>
      <c r="AF44" s="4" t="n">
        <f aca="false">IF(T44="","",IF(T44&lt;=30,(50/30)*T44,IF(T44&lt;=60,50+((100-50)/(60-30))*(T44-30),IF(T44&lt;=90,100+((200-100)/(90-60))*(T44-60),IF(T44&lt;=120,200+((300-200)/(120-90))*(T44-90),IF(T44&lt;=250,300+((400-300)/(250-120))*(T44-120),IF(T44&lt;=380,400+((500-400)/(380-250))*(T44-250),500)))))))</f>
        <v>41.3333333333333</v>
      </c>
      <c r="AG44" s="4" t="n">
        <f aca="false">IF(U44="","",IF(U44&lt;=50,(50/50)*U44,IF(U44&lt;=100,50+((100-50)/(100-50))*(U44-50),IF(U44&lt;=250,100+((200-100)/(250-100))*(U44-100),IF(U44&lt;=350,200+((300-200)/(350-250))*(U44-250),IF(U44&lt;=430,300+((400-300)/(430-350))*(U44-350),IF(U44&lt;=600,400+((500-400)/(600-430))*(U44-430),500)))))))</f>
        <v>25.6</v>
      </c>
      <c r="AH44" s="4" t="n">
        <f aca="false">IF(V44="","",IF((V44/1000)&lt;=1,(50/1)*(V44/1000),IF((V44/1000)&lt;=2,50+((100-50)/(2-1))*(V44/1000-1),IF((V44/1000)&lt;=10,100+((200-100)/(10-2))*(V44/1000-2),IF((V44/1000)&lt;=17,200+((300-200)/(17-10))*(V44/1000-10),IF((V44/1000)&lt;=34,300+((400-300)/(34-17))*(V44/1000-17),IF((V44/1000)&lt;=57,400+((500-400)/(57-34))*(V44/1000-34),500)))))))</f>
        <v>30.2</v>
      </c>
      <c r="AI44" s="4" t="n">
        <f aca="false">IF(W44="","",IF(W44&lt;=40,(50/40)*W44,IF(W44&lt;=80,50+((100-50)/(80-40))*(W44-40),IF(W44&lt;=180,100+((200-100)/(180-80))*(W44-80),IF(W44&lt;=280,200+((300-200)/(280-180))*(W44-180),IF(W44&lt;=400,300+((400-300)/(400-280))*(W44-280),IF(W44&lt;=800,400+((500-400)/(800-400))*(W44-400),500)))))))</f>
        <v>34.625</v>
      </c>
      <c r="AJ44" s="4" t="n">
        <f aca="false">IF(X44="","",IF(X44&lt;=40,(50/40)*X44,IF(X44&lt;=80,50+((100-50)/(80-40))*(X44-40),IF(X44&lt;=380,100+((200-100)/(380-80))*(X44-80),IF(X44&lt;=800,200+((300-200)/(800-380))*(X44-380),IF(X44&lt;=1600,300+((400-300)/(1600-800))*(X44-800),IF(X44&lt;=2100,400+((500-400)/(2100-1600))*(X44-1600),500)))))))</f>
        <v>12.5</v>
      </c>
      <c r="AK44" s="4" t="n">
        <f aca="false">IF(Y44="","",IF(Y44&lt;=50,(50/50)*Y44,IF(Y44&lt;=100,50+((100-50)/(100-50))*(Y44-50),IF(Y44&lt;=168,100+((200-100)/(168-100))*(Y44-100),IF(Y44&lt;=208,200+((300-200)/(208-168))*(Y44-168),IF(Y44&lt;=748,300+((400-300)/(748-208))*(Y44-208),IF(Y44&lt;=1000,400+((500-400)/(1000-748))*(Y44-748),500)))))))</f>
        <v>56</v>
      </c>
      <c r="AL44" s="4" t="n">
        <f aca="false">ROUND(MAX(AF44,AG44,AH44,AI44,AJ44,AK44),0)</f>
        <v>56</v>
      </c>
      <c r="AM44" s="4" t="str">
        <f aca="false">IF(AL44="","",IF(AL44&lt;=50,"Good",IF(AL44&lt;=100,"Satisfactory",IF(AL44&lt;=200,"Moderate",IF(AL44&lt;=300,"Poor",IF(AL44&lt;=400,"Very Poor","Severe"))))))</f>
        <v>Satisfactory</v>
      </c>
    </row>
    <row r="45" customFormat="false" ht="15.75" hidden="false" customHeight="false" outlineLevel="0" collapsed="false">
      <c r="A45" s="1" t="s">
        <v>39</v>
      </c>
      <c r="B45" s="1" t="s">
        <v>40</v>
      </c>
      <c r="C45" s="1" t="n">
        <v>28.4595</v>
      </c>
      <c r="D45" s="1" t="n">
        <v>77.0266</v>
      </c>
      <c r="E45" s="5" t="n">
        <v>45902</v>
      </c>
      <c r="F45" s="6" t="s">
        <v>72</v>
      </c>
      <c r="G45" s="1" t="n">
        <v>9</v>
      </c>
      <c r="H45" s="7" t="s">
        <v>78</v>
      </c>
      <c r="I45" s="6" t="s">
        <v>43</v>
      </c>
      <c r="J45" s="7" t="s">
        <v>44</v>
      </c>
      <c r="K45" s="7" t="s">
        <v>71</v>
      </c>
      <c r="L45" s="1" t="n">
        <v>96</v>
      </c>
      <c r="M45" s="1" t="n">
        <v>24.2</v>
      </c>
      <c r="N45" s="1" t="n">
        <v>28.8</v>
      </c>
      <c r="O45" s="1" t="n">
        <v>0.1</v>
      </c>
      <c r="P45" s="6" t="s">
        <v>46</v>
      </c>
      <c r="Q45" s="6" t="s">
        <v>43</v>
      </c>
      <c r="R45" s="1" t="n">
        <v>1001.3</v>
      </c>
      <c r="S45" s="1" t="n">
        <v>100</v>
      </c>
      <c r="T45" s="1" t="n">
        <v>24.9</v>
      </c>
      <c r="U45" s="1" t="n">
        <v>25.8</v>
      </c>
      <c r="V45" s="1" t="n">
        <v>592</v>
      </c>
      <c r="W45" s="1" t="n">
        <v>27.5</v>
      </c>
      <c r="X45" s="1" t="n">
        <v>11.1</v>
      </c>
      <c r="Y45" s="1" t="n">
        <v>54</v>
      </c>
      <c r="Z45" s="1" t="n">
        <v>2</v>
      </c>
      <c r="AA45" s="1" t="n">
        <v>57</v>
      </c>
      <c r="AB45" s="7" t="s">
        <v>47</v>
      </c>
      <c r="AC45" s="7" t="s">
        <v>50</v>
      </c>
      <c r="AD45" s="6" t="s">
        <v>43</v>
      </c>
      <c r="AE45" s="6" t="s">
        <v>43</v>
      </c>
      <c r="AF45" s="4" t="n">
        <f aca="false">IF(T45="","",IF(T45&lt;=30,(50/30)*T45,IF(T45&lt;=60,50+((100-50)/(60-30))*(T45-30),IF(T45&lt;=90,100+((200-100)/(90-60))*(T45-60),IF(T45&lt;=120,200+((300-200)/(120-90))*(T45-90),IF(T45&lt;=250,300+((400-300)/(250-120))*(T45-120),IF(T45&lt;=380,400+((500-400)/(380-250))*(T45-250),500)))))))</f>
        <v>41.5</v>
      </c>
      <c r="AG45" s="4" t="n">
        <f aca="false">IF(U45="","",IF(U45&lt;=50,(50/50)*U45,IF(U45&lt;=100,50+((100-50)/(100-50))*(U45-50),IF(U45&lt;=250,100+((200-100)/(250-100))*(U45-100),IF(U45&lt;=350,200+((300-200)/(350-250))*(U45-250),IF(U45&lt;=430,300+((400-300)/(430-350))*(U45-350),IF(U45&lt;=600,400+((500-400)/(600-430))*(U45-430),500)))))))</f>
        <v>25.8</v>
      </c>
      <c r="AH45" s="4" t="n">
        <f aca="false">IF(V45="","",IF((V45/1000)&lt;=1,(50/1)*(V45/1000),IF((V45/1000)&lt;=2,50+((100-50)/(2-1))*(V45/1000-1),IF((V45/1000)&lt;=10,100+((200-100)/(10-2))*(V45/1000-2),IF((V45/1000)&lt;=17,200+((300-200)/(17-10))*(V45/1000-10),IF((V45/1000)&lt;=34,300+((400-300)/(34-17))*(V45/1000-17),IF((V45/1000)&lt;=57,400+((500-400)/(57-34))*(V45/1000-34),500)))))))</f>
        <v>29.6</v>
      </c>
      <c r="AI45" s="4" t="n">
        <f aca="false">IF(W45="","",IF(W45&lt;=40,(50/40)*W45,IF(W45&lt;=80,50+((100-50)/(80-40))*(W45-40),IF(W45&lt;=180,100+((200-100)/(180-80))*(W45-80),IF(W45&lt;=280,200+((300-200)/(280-180))*(W45-180),IF(W45&lt;=400,300+((400-300)/(400-280))*(W45-280),IF(W45&lt;=800,400+((500-400)/(800-400))*(W45-400),500)))))))</f>
        <v>34.375</v>
      </c>
      <c r="AJ45" s="4" t="n">
        <f aca="false">IF(X45="","",IF(X45&lt;=40,(50/40)*X45,IF(X45&lt;=80,50+((100-50)/(80-40))*(X45-40),IF(X45&lt;=380,100+((200-100)/(380-80))*(X45-80),IF(X45&lt;=800,200+((300-200)/(800-380))*(X45-380),IF(X45&lt;=1600,300+((400-300)/(1600-800))*(X45-800),IF(X45&lt;=2100,400+((500-400)/(2100-1600))*(X45-1600),500)))))))</f>
        <v>13.875</v>
      </c>
      <c r="AK45" s="4" t="n">
        <f aca="false">IF(Y45="","",IF(Y45&lt;=50,(50/50)*Y45,IF(Y45&lt;=100,50+((100-50)/(100-50))*(Y45-50),IF(Y45&lt;=168,100+((200-100)/(168-100))*(Y45-100),IF(Y45&lt;=208,200+((300-200)/(208-168))*(Y45-168),IF(Y45&lt;=748,300+((400-300)/(748-208))*(Y45-208),IF(Y45&lt;=1000,400+((500-400)/(1000-748))*(Y45-748),500)))))))</f>
        <v>54</v>
      </c>
      <c r="AL45" s="4" t="n">
        <f aca="false">ROUND(MAX(AF45,AG45,AH45,AI45,AJ45,AK45),0)</f>
        <v>54</v>
      </c>
      <c r="AM45" s="4" t="str">
        <f aca="false">IF(AL45="","",IF(AL45&lt;=50,"Good",IF(AL45&lt;=100,"Satisfactory",IF(AL45&lt;=200,"Moderate",IF(AL45&lt;=300,"Poor",IF(AL45&lt;=400,"Very Poor","Severe"))))))</f>
        <v>Satisfactory</v>
      </c>
    </row>
    <row r="46" customFormat="false" ht="15.75" hidden="false" customHeight="false" outlineLevel="0" collapsed="false">
      <c r="A46" s="1" t="s">
        <v>39</v>
      </c>
      <c r="B46" s="1" t="s">
        <v>40</v>
      </c>
      <c r="C46" s="1" t="n">
        <v>28.4595</v>
      </c>
      <c r="D46" s="1" t="n">
        <v>77.0266</v>
      </c>
      <c r="E46" s="5" t="n">
        <v>45902</v>
      </c>
      <c r="F46" s="6" t="s">
        <v>73</v>
      </c>
      <c r="G46" s="1" t="n">
        <v>9</v>
      </c>
      <c r="H46" s="7" t="s">
        <v>78</v>
      </c>
      <c r="I46" s="6" t="s">
        <v>43</v>
      </c>
      <c r="J46" s="7" t="s">
        <v>44</v>
      </c>
      <c r="K46" s="7" t="s">
        <v>71</v>
      </c>
      <c r="L46" s="1" t="n">
        <v>96</v>
      </c>
      <c r="M46" s="1" t="n">
        <v>24</v>
      </c>
      <c r="N46" s="1" t="n">
        <v>31</v>
      </c>
      <c r="O46" s="1" t="n">
        <v>0</v>
      </c>
      <c r="P46" s="6" t="s">
        <v>43</v>
      </c>
      <c r="Q46" s="6" t="s">
        <v>43</v>
      </c>
      <c r="R46" s="1" t="n">
        <v>1002.1</v>
      </c>
      <c r="S46" s="1" t="n">
        <v>100</v>
      </c>
      <c r="T46" s="1" t="n">
        <v>25.1</v>
      </c>
      <c r="U46" s="1" t="n">
        <v>26.2</v>
      </c>
      <c r="V46" s="1" t="n">
        <v>573</v>
      </c>
      <c r="W46" s="1" t="n">
        <v>26.8</v>
      </c>
      <c r="X46" s="1" t="n">
        <v>11.8</v>
      </c>
      <c r="Y46" s="1" t="n">
        <v>53</v>
      </c>
      <c r="Z46" s="1" t="n">
        <v>2</v>
      </c>
      <c r="AA46" s="1" t="n">
        <v>56</v>
      </c>
      <c r="AB46" s="7" t="s">
        <v>47</v>
      </c>
      <c r="AC46" s="7" t="s">
        <v>50</v>
      </c>
      <c r="AD46" s="6" t="s">
        <v>43</v>
      </c>
      <c r="AE46" s="6" t="s">
        <v>43</v>
      </c>
      <c r="AF46" s="4" t="n">
        <f aca="false">IF(T46="","",IF(T46&lt;=30,(50/30)*T46,IF(T46&lt;=60,50+((100-50)/(60-30))*(T46-30),IF(T46&lt;=90,100+((200-100)/(90-60))*(T46-60),IF(T46&lt;=120,200+((300-200)/(120-90))*(T46-90),IF(T46&lt;=250,300+((400-300)/(250-120))*(T46-120),IF(T46&lt;=380,400+((500-400)/(380-250))*(T46-250),500)))))))</f>
        <v>41.8333333333333</v>
      </c>
      <c r="AG46" s="4" t="n">
        <f aca="false">IF(U46="","",IF(U46&lt;=50,(50/50)*U46,IF(U46&lt;=100,50+((100-50)/(100-50))*(U46-50),IF(U46&lt;=250,100+((200-100)/(250-100))*(U46-100),IF(U46&lt;=350,200+((300-200)/(350-250))*(U46-250),IF(U46&lt;=430,300+((400-300)/(430-350))*(U46-350),IF(U46&lt;=600,400+((500-400)/(600-430))*(U46-430),500)))))))</f>
        <v>26.2</v>
      </c>
      <c r="AH46" s="4" t="n">
        <f aca="false">IF(V46="","",IF((V46/1000)&lt;=1,(50/1)*(V46/1000),IF((V46/1000)&lt;=2,50+((100-50)/(2-1))*(V46/1000-1),IF((V46/1000)&lt;=10,100+((200-100)/(10-2))*(V46/1000-2),IF((V46/1000)&lt;=17,200+((300-200)/(17-10))*(V46/1000-10),IF((V46/1000)&lt;=34,300+((400-300)/(34-17))*(V46/1000-17),IF((V46/1000)&lt;=57,400+((500-400)/(57-34))*(V46/1000-34),500)))))))</f>
        <v>28.65</v>
      </c>
      <c r="AI46" s="4" t="n">
        <f aca="false">IF(W46="","",IF(W46&lt;=40,(50/40)*W46,IF(W46&lt;=80,50+((100-50)/(80-40))*(W46-40),IF(W46&lt;=180,100+((200-100)/(180-80))*(W46-80),IF(W46&lt;=280,200+((300-200)/(280-180))*(W46-180),IF(W46&lt;=400,300+((400-300)/(400-280))*(W46-280),IF(W46&lt;=800,400+((500-400)/(800-400))*(W46-400),500)))))))</f>
        <v>33.5</v>
      </c>
      <c r="AJ46" s="4" t="n">
        <f aca="false">IF(X46="","",IF(X46&lt;=40,(50/40)*X46,IF(X46&lt;=80,50+((100-50)/(80-40))*(X46-40),IF(X46&lt;=380,100+((200-100)/(380-80))*(X46-80),IF(X46&lt;=800,200+((300-200)/(800-380))*(X46-380),IF(X46&lt;=1600,300+((400-300)/(1600-800))*(X46-800),IF(X46&lt;=2100,400+((500-400)/(2100-1600))*(X46-1600),500)))))))</f>
        <v>14.75</v>
      </c>
      <c r="AK46" s="4" t="n">
        <f aca="false">IF(Y46="","",IF(Y46&lt;=50,(50/50)*Y46,IF(Y46&lt;=100,50+((100-50)/(100-50))*(Y46-50),IF(Y46&lt;=168,100+((200-100)/(168-100))*(Y46-100),IF(Y46&lt;=208,200+((300-200)/(208-168))*(Y46-168),IF(Y46&lt;=748,300+((400-300)/(748-208))*(Y46-208),IF(Y46&lt;=1000,400+((500-400)/(1000-748))*(Y46-748),500)))))))</f>
        <v>53</v>
      </c>
      <c r="AL46" s="4" t="n">
        <f aca="false">ROUND(MAX(AF46,AG46,AH46,AI46,AJ46,AK46),0)</f>
        <v>53</v>
      </c>
      <c r="AM46" s="4" t="str">
        <f aca="false">IF(AL46="","",IF(AL46&lt;=50,"Good",IF(AL46&lt;=100,"Satisfactory",IF(AL46&lt;=200,"Moderate",IF(AL46&lt;=300,"Poor",IF(AL46&lt;=400,"Very Poor","Severe"))))))</f>
        <v>Satisfactory</v>
      </c>
    </row>
    <row r="47" customFormat="false" ht="15.75" hidden="false" customHeight="false" outlineLevel="0" collapsed="false">
      <c r="A47" s="1" t="s">
        <v>39</v>
      </c>
      <c r="B47" s="1" t="s">
        <v>40</v>
      </c>
      <c r="C47" s="1" t="n">
        <v>28.4595</v>
      </c>
      <c r="D47" s="1" t="n">
        <v>77.0266</v>
      </c>
      <c r="E47" s="5" t="n">
        <v>45902</v>
      </c>
      <c r="F47" s="6" t="s">
        <v>74</v>
      </c>
      <c r="G47" s="1" t="n">
        <v>9</v>
      </c>
      <c r="H47" s="7" t="s">
        <v>78</v>
      </c>
      <c r="I47" s="6" t="s">
        <v>43</v>
      </c>
      <c r="J47" s="7" t="s">
        <v>44</v>
      </c>
      <c r="K47" s="7" t="s">
        <v>75</v>
      </c>
      <c r="L47" s="1" t="n">
        <v>96</v>
      </c>
      <c r="M47" s="1" t="n">
        <v>23.9</v>
      </c>
      <c r="N47" s="1" t="n">
        <v>31</v>
      </c>
      <c r="O47" s="1" t="n">
        <v>0</v>
      </c>
      <c r="P47" s="6" t="s">
        <v>43</v>
      </c>
      <c r="Q47" s="6" t="s">
        <v>43</v>
      </c>
      <c r="R47" s="1" t="n">
        <v>1002.6</v>
      </c>
      <c r="S47" s="1" t="n">
        <v>100</v>
      </c>
      <c r="T47" s="1" t="n">
        <v>24.2</v>
      </c>
      <c r="U47" s="1" t="n">
        <v>25.3</v>
      </c>
      <c r="V47" s="1" t="n">
        <v>553</v>
      </c>
      <c r="W47" s="1" t="n">
        <v>25.1</v>
      </c>
      <c r="X47" s="1" t="n">
        <v>11.9</v>
      </c>
      <c r="Y47" s="1" t="n">
        <v>54</v>
      </c>
      <c r="Z47" s="1" t="n">
        <v>2</v>
      </c>
      <c r="AA47" s="1" t="n">
        <v>57</v>
      </c>
      <c r="AB47" s="7" t="s">
        <v>47</v>
      </c>
      <c r="AC47" s="7" t="s">
        <v>50</v>
      </c>
      <c r="AD47" s="6" t="s">
        <v>43</v>
      </c>
      <c r="AE47" s="6" t="s">
        <v>43</v>
      </c>
      <c r="AF47" s="4" t="n">
        <f aca="false">IF(T47="","",IF(T47&lt;=30,(50/30)*T47,IF(T47&lt;=60,50+((100-50)/(60-30))*(T47-30),IF(T47&lt;=90,100+((200-100)/(90-60))*(T47-60),IF(T47&lt;=120,200+((300-200)/(120-90))*(T47-90),IF(T47&lt;=250,300+((400-300)/(250-120))*(T47-120),IF(T47&lt;=380,400+((500-400)/(380-250))*(T47-250),500)))))))</f>
        <v>40.3333333333333</v>
      </c>
      <c r="AG47" s="4" t="n">
        <f aca="false">IF(U47="","",IF(U47&lt;=50,(50/50)*U47,IF(U47&lt;=100,50+((100-50)/(100-50))*(U47-50),IF(U47&lt;=250,100+((200-100)/(250-100))*(U47-100),IF(U47&lt;=350,200+((300-200)/(350-250))*(U47-250),IF(U47&lt;=430,300+((400-300)/(430-350))*(U47-350),IF(U47&lt;=600,400+((500-400)/(600-430))*(U47-430),500)))))))</f>
        <v>25.3</v>
      </c>
      <c r="AH47" s="4" t="n">
        <f aca="false">IF(V47="","",IF((V47/1000)&lt;=1,(50/1)*(V47/1000),IF((V47/1000)&lt;=2,50+((100-50)/(2-1))*(V47/1000-1),IF((V47/1000)&lt;=10,100+((200-100)/(10-2))*(V47/1000-2),IF((V47/1000)&lt;=17,200+((300-200)/(17-10))*(V47/1000-10),IF((V47/1000)&lt;=34,300+((400-300)/(34-17))*(V47/1000-17),IF((V47/1000)&lt;=57,400+((500-400)/(57-34))*(V47/1000-34),500)))))))</f>
        <v>27.65</v>
      </c>
      <c r="AI47" s="4" t="n">
        <f aca="false">IF(W47="","",IF(W47&lt;=40,(50/40)*W47,IF(W47&lt;=80,50+((100-50)/(80-40))*(W47-40),IF(W47&lt;=180,100+((200-100)/(180-80))*(W47-80),IF(W47&lt;=280,200+((300-200)/(280-180))*(W47-180),IF(W47&lt;=400,300+((400-300)/(400-280))*(W47-280),IF(W47&lt;=800,400+((500-400)/(800-400))*(W47-400),500)))))))</f>
        <v>31.375</v>
      </c>
      <c r="AJ47" s="4" t="n">
        <f aca="false">IF(X47="","",IF(X47&lt;=40,(50/40)*X47,IF(X47&lt;=80,50+((100-50)/(80-40))*(X47-40),IF(X47&lt;=380,100+((200-100)/(380-80))*(X47-80),IF(X47&lt;=800,200+((300-200)/(800-380))*(X47-380),IF(X47&lt;=1600,300+((400-300)/(1600-800))*(X47-800),IF(X47&lt;=2100,400+((500-400)/(2100-1600))*(X47-1600),500)))))))</f>
        <v>14.875</v>
      </c>
      <c r="AK47" s="4" t="n">
        <f aca="false">IF(Y47="","",IF(Y47&lt;=50,(50/50)*Y47,IF(Y47&lt;=100,50+((100-50)/(100-50))*(Y47-50),IF(Y47&lt;=168,100+((200-100)/(168-100))*(Y47-100),IF(Y47&lt;=208,200+((300-200)/(208-168))*(Y47-168),IF(Y47&lt;=748,300+((400-300)/(748-208))*(Y47-208),IF(Y47&lt;=1000,400+((500-400)/(1000-748))*(Y47-748),500)))))))</f>
        <v>54</v>
      </c>
      <c r="AL47" s="4" t="n">
        <f aca="false">ROUND(MAX(AF47,AG47,AH47,AI47,AJ47,AK47),0)</f>
        <v>54</v>
      </c>
      <c r="AM47" s="4" t="str">
        <f aca="false">IF(AL47="","",IF(AL47&lt;=50,"Good",IF(AL47&lt;=100,"Satisfactory",IF(AL47&lt;=200,"Moderate",IF(AL47&lt;=300,"Poor",IF(AL47&lt;=400,"Very Poor","Severe"))))))</f>
        <v>Satisfactory</v>
      </c>
    </row>
    <row r="48" customFormat="false" ht="15.75" hidden="false" customHeight="false" outlineLevel="0" collapsed="false">
      <c r="A48" s="1" t="s">
        <v>39</v>
      </c>
      <c r="B48" s="1" t="s">
        <v>40</v>
      </c>
      <c r="C48" s="1" t="n">
        <v>28.4595</v>
      </c>
      <c r="D48" s="1" t="n">
        <v>77.0266</v>
      </c>
      <c r="E48" s="5" t="n">
        <v>45902</v>
      </c>
      <c r="F48" s="6" t="s">
        <v>76</v>
      </c>
      <c r="G48" s="1" t="n">
        <v>9</v>
      </c>
      <c r="H48" s="7" t="s">
        <v>78</v>
      </c>
      <c r="I48" s="6" t="s">
        <v>43</v>
      </c>
      <c r="J48" s="7" t="s">
        <v>44</v>
      </c>
      <c r="K48" s="7" t="s">
        <v>75</v>
      </c>
      <c r="L48" s="1" t="n">
        <v>96</v>
      </c>
      <c r="M48" s="1" t="n">
        <v>24</v>
      </c>
      <c r="N48" s="1" t="n">
        <v>27.4</v>
      </c>
      <c r="O48" s="1" t="n">
        <v>0</v>
      </c>
      <c r="P48" s="6" t="s">
        <v>43</v>
      </c>
      <c r="Q48" s="6" t="s">
        <v>43</v>
      </c>
      <c r="R48" s="1" t="n">
        <v>1003.2</v>
      </c>
      <c r="S48" s="1" t="n">
        <v>98</v>
      </c>
      <c r="T48" s="1" t="n">
        <v>23.9</v>
      </c>
      <c r="U48" s="1" t="n">
        <v>25.1</v>
      </c>
      <c r="V48" s="1" t="n">
        <v>526</v>
      </c>
      <c r="W48" s="1" t="n">
        <v>22.8</v>
      </c>
      <c r="X48" s="1" t="n">
        <v>11.6</v>
      </c>
      <c r="Y48" s="1" t="n">
        <v>57</v>
      </c>
      <c r="Z48" s="1" t="n">
        <v>2</v>
      </c>
      <c r="AA48" s="1" t="n">
        <v>56</v>
      </c>
      <c r="AB48" s="7" t="s">
        <v>47</v>
      </c>
      <c r="AC48" s="7" t="s">
        <v>50</v>
      </c>
      <c r="AD48" s="6" t="s">
        <v>43</v>
      </c>
      <c r="AE48" s="6" t="s">
        <v>43</v>
      </c>
      <c r="AF48" s="4" t="n">
        <f aca="false">IF(T48="","",IF(T48&lt;=30,(50/30)*T48,IF(T48&lt;=60,50+((100-50)/(60-30))*(T48-30),IF(T48&lt;=90,100+((200-100)/(90-60))*(T48-60),IF(T48&lt;=120,200+((300-200)/(120-90))*(T48-90),IF(T48&lt;=250,300+((400-300)/(250-120))*(T48-120),IF(T48&lt;=380,400+((500-400)/(380-250))*(T48-250),500)))))))</f>
        <v>39.8333333333333</v>
      </c>
      <c r="AG48" s="4" t="n">
        <f aca="false">IF(U48="","",IF(U48&lt;=50,(50/50)*U48,IF(U48&lt;=100,50+((100-50)/(100-50))*(U48-50),IF(U48&lt;=250,100+((200-100)/(250-100))*(U48-100),IF(U48&lt;=350,200+((300-200)/(350-250))*(U48-250),IF(U48&lt;=430,300+((400-300)/(430-350))*(U48-350),IF(U48&lt;=600,400+((500-400)/(600-430))*(U48-430),500)))))))</f>
        <v>25.1</v>
      </c>
      <c r="AH48" s="4" t="n">
        <f aca="false">IF(V48="","",IF((V48/1000)&lt;=1,(50/1)*(V48/1000),IF((V48/1000)&lt;=2,50+((100-50)/(2-1))*(V48/1000-1),IF((V48/1000)&lt;=10,100+((200-100)/(10-2))*(V48/1000-2),IF((V48/1000)&lt;=17,200+((300-200)/(17-10))*(V48/1000-10),IF((V48/1000)&lt;=34,300+((400-300)/(34-17))*(V48/1000-17),IF((V48/1000)&lt;=57,400+((500-400)/(57-34))*(V48/1000-34),500)))))))</f>
        <v>26.3</v>
      </c>
      <c r="AI48" s="4" t="n">
        <f aca="false">IF(W48="","",IF(W48&lt;=40,(50/40)*W48,IF(W48&lt;=80,50+((100-50)/(80-40))*(W48-40),IF(W48&lt;=180,100+((200-100)/(180-80))*(W48-80),IF(W48&lt;=280,200+((300-200)/(280-180))*(W48-180),IF(W48&lt;=400,300+((400-300)/(400-280))*(W48-280),IF(W48&lt;=800,400+((500-400)/(800-400))*(W48-400),500)))))))</f>
        <v>28.5</v>
      </c>
      <c r="AJ48" s="4" t="n">
        <f aca="false">IF(X48="","",IF(X48&lt;=40,(50/40)*X48,IF(X48&lt;=80,50+((100-50)/(80-40))*(X48-40),IF(X48&lt;=380,100+((200-100)/(380-80))*(X48-80),IF(X48&lt;=800,200+((300-200)/(800-380))*(X48-380),IF(X48&lt;=1600,300+((400-300)/(1600-800))*(X48-800),IF(X48&lt;=2100,400+((500-400)/(2100-1600))*(X48-1600),500)))))))</f>
        <v>14.5</v>
      </c>
      <c r="AK48" s="4" t="n">
        <f aca="false">IF(Y48="","",IF(Y48&lt;=50,(50/50)*Y48,IF(Y48&lt;=100,50+((100-50)/(100-50))*(Y48-50),IF(Y48&lt;=168,100+((200-100)/(168-100))*(Y48-100),IF(Y48&lt;=208,200+((300-200)/(208-168))*(Y48-168),IF(Y48&lt;=748,300+((400-300)/(748-208))*(Y48-208),IF(Y48&lt;=1000,400+((500-400)/(1000-748))*(Y48-748),500)))))))</f>
        <v>57</v>
      </c>
      <c r="AL48" s="4" t="n">
        <f aca="false">ROUND(MAX(AF48,AG48,AH48,AI48,AJ48,AK48),0)</f>
        <v>57</v>
      </c>
      <c r="AM48" s="4" t="str">
        <f aca="false">IF(AL48="","",IF(AL48&lt;=50,"Good",IF(AL48&lt;=100,"Satisfactory",IF(AL48&lt;=200,"Moderate",IF(AL48&lt;=300,"Poor",IF(AL48&lt;=400,"Very Poor","Severe"))))))</f>
        <v>Satisfactory</v>
      </c>
    </row>
    <row r="49" customFormat="false" ht="15.75" hidden="false" customHeight="false" outlineLevel="0" collapsed="false">
      <c r="A49" s="1" t="s">
        <v>39</v>
      </c>
      <c r="B49" s="1" t="s">
        <v>40</v>
      </c>
      <c r="C49" s="1" t="n">
        <v>28.4595</v>
      </c>
      <c r="D49" s="1" t="n">
        <v>77.0266</v>
      </c>
      <c r="E49" s="5" t="n">
        <v>45902</v>
      </c>
      <c r="F49" s="6" t="s">
        <v>77</v>
      </c>
      <c r="G49" s="1" t="n">
        <v>9</v>
      </c>
      <c r="H49" s="7" t="s">
        <v>78</v>
      </c>
      <c r="I49" s="6" t="s">
        <v>43</v>
      </c>
      <c r="J49" s="7" t="s">
        <v>44</v>
      </c>
      <c r="K49" s="7" t="s">
        <v>75</v>
      </c>
      <c r="L49" s="1" t="n">
        <v>97</v>
      </c>
      <c r="M49" s="1" t="n">
        <v>24.2</v>
      </c>
      <c r="N49" s="1" t="n">
        <v>25.2</v>
      </c>
      <c r="O49" s="1" t="n">
        <v>0</v>
      </c>
      <c r="P49" s="6" t="s">
        <v>43</v>
      </c>
      <c r="Q49" s="6" t="s">
        <v>43</v>
      </c>
      <c r="R49" s="1" t="n">
        <v>1003.8</v>
      </c>
      <c r="S49" s="1" t="n">
        <v>60</v>
      </c>
      <c r="T49" s="1" t="n">
        <v>24.7</v>
      </c>
      <c r="U49" s="1" t="n">
        <v>25.8</v>
      </c>
      <c r="V49" s="1" t="n">
        <v>492</v>
      </c>
      <c r="W49" s="1" t="n">
        <v>20.7</v>
      </c>
      <c r="X49" s="1" t="n">
        <v>11.3</v>
      </c>
      <c r="Y49" s="1" t="n">
        <v>59</v>
      </c>
      <c r="Z49" s="1" t="n">
        <v>2</v>
      </c>
      <c r="AA49" s="1" t="n">
        <v>57</v>
      </c>
      <c r="AB49" s="7" t="s">
        <v>47</v>
      </c>
      <c r="AC49" s="7" t="s">
        <v>50</v>
      </c>
      <c r="AD49" s="6" t="s">
        <v>43</v>
      </c>
      <c r="AE49" s="6" t="s">
        <v>43</v>
      </c>
      <c r="AF49" s="4" t="n">
        <f aca="false">IF(T49="","",IF(T49&lt;=30,(50/30)*T49,IF(T49&lt;=60,50+((100-50)/(60-30))*(T49-30),IF(T49&lt;=90,100+((200-100)/(90-60))*(T49-60),IF(T49&lt;=120,200+((300-200)/(120-90))*(T49-90),IF(T49&lt;=250,300+((400-300)/(250-120))*(T49-120),IF(T49&lt;=380,400+((500-400)/(380-250))*(T49-250),500)))))))</f>
        <v>41.1666666666667</v>
      </c>
      <c r="AG49" s="4" t="n">
        <f aca="false">IF(U49="","",IF(U49&lt;=50,(50/50)*U49,IF(U49&lt;=100,50+((100-50)/(100-50))*(U49-50),IF(U49&lt;=250,100+((200-100)/(250-100))*(U49-100),IF(U49&lt;=350,200+((300-200)/(350-250))*(U49-250),IF(U49&lt;=430,300+((400-300)/(430-350))*(U49-350),IF(U49&lt;=600,400+((500-400)/(600-430))*(U49-430),500)))))))</f>
        <v>25.8</v>
      </c>
      <c r="AH49" s="4" t="n">
        <f aca="false">IF(V49="","",IF((V49/1000)&lt;=1,(50/1)*(V49/1000),IF((V49/1000)&lt;=2,50+((100-50)/(2-1))*(V49/1000-1),IF((V49/1000)&lt;=10,100+((200-100)/(10-2))*(V49/1000-2),IF((V49/1000)&lt;=17,200+((300-200)/(17-10))*(V49/1000-10),IF((V49/1000)&lt;=34,300+((400-300)/(34-17))*(V49/1000-17),IF((V49/1000)&lt;=57,400+((500-400)/(57-34))*(V49/1000-34),500)))))))</f>
        <v>24.6</v>
      </c>
      <c r="AI49" s="4" t="n">
        <f aca="false">IF(W49="","",IF(W49&lt;=40,(50/40)*W49,IF(W49&lt;=80,50+((100-50)/(80-40))*(W49-40),IF(W49&lt;=180,100+((200-100)/(180-80))*(W49-80),IF(W49&lt;=280,200+((300-200)/(280-180))*(W49-180),IF(W49&lt;=400,300+((400-300)/(400-280))*(W49-280),IF(W49&lt;=800,400+((500-400)/(800-400))*(W49-400),500)))))))</f>
        <v>25.875</v>
      </c>
      <c r="AJ49" s="4" t="n">
        <f aca="false">IF(X49="","",IF(X49&lt;=40,(50/40)*X49,IF(X49&lt;=80,50+((100-50)/(80-40))*(X49-40),IF(X49&lt;=380,100+((200-100)/(380-80))*(X49-80),IF(X49&lt;=800,200+((300-200)/(800-380))*(X49-380),IF(X49&lt;=1600,300+((400-300)/(1600-800))*(X49-800),IF(X49&lt;=2100,400+((500-400)/(2100-1600))*(X49-1600),500)))))))</f>
        <v>14.125</v>
      </c>
      <c r="AK49" s="4" t="n">
        <f aca="false">IF(Y49="","",IF(Y49&lt;=50,(50/50)*Y49,IF(Y49&lt;=100,50+((100-50)/(100-50))*(Y49-50),IF(Y49&lt;=168,100+((200-100)/(168-100))*(Y49-100),IF(Y49&lt;=208,200+((300-200)/(208-168))*(Y49-168),IF(Y49&lt;=748,300+((400-300)/(748-208))*(Y49-208),IF(Y49&lt;=1000,400+((500-400)/(1000-748))*(Y49-748),500)))))))</f>
        <v>59</v>
      </c>
      <c r="AL49" s="4" t="n">
        <f aca="false">ROUND(MAX(AF49,AG49,AH49,AI49,AJ49,AK49),0)</f>
        <v>59</v>
      </c>
      <c r="AM49" s="4" t="str">
        <f aca="false">IF(AL49="","",IF(AL49&lt;=50,"Good",IF(AL49&lt;=100,"Satisfactory",IF(AL49&lt;=200,"Moderate",IF(AL49&lt;=300,"Poor",IF(AL49&lt;=400,"Very Poor","Severe"))))))</f>
        <v>Satisfactory</v>
      </c>
    </row>
    <row r="50" customFormat="false" ht="15.75" hidden="false" customHeight="false" outlineLevel="0" collapsed="false">
      <c r="A50" s="1" t="s">
        <v>39</v>
      </c>
      <c r="B50" s="1" t="s">
        <v>40</v>
      </c>
      <c r="C50" s="1" t="n">
        <v>28.4595</v>
      </c>
      <c r="D50" s="1" t="n">
        <v>77.0266</v>
      </c>
      <c r="E50" s="5" t="n">
        <v>45903</v>
      </c>
      <c r="F50" s="6" t="s">
        <v>41</v>
      </c>
      <c r="G50" s="1" t="n">
        <v>9</v>
      </c>
      <c r="H50" s="7" t="s">
        <v>79</v>
      </c>
      <c r="I50" s="6" t="s">
        <v>43</v>
      </c>
      <c r="J50" s="7" t="s">
        <v>44</v>
      </c>
      <c r="K50" s="7" t="s">
        <v>45</v>
      </c>
      <c r="L50" s="1" t="n">
        <v>97</v>
      </c>
      <c r="M50" s="1" t="n">
        <v>24.1</v>
      </c>
      <c r="N50" s="1" t="n">
        <v>25.9</v>
      </c>
      <c r="O50" s="1" t="n">
        <v>0</v>
      </c>
      <c r="P50" s="6" t="s">
        <v>43</v>
      </c>
      <c r="Q50" s="6" t="s">
        <v>43</v>
      </c>
      <c r="R50" s="1" t="n">
        <v>1003.6</v>
      </c>
      <c r="S50" s="1" t="n">
        <v>100</v>
      </c>
      <c r="T50" s="1" t="n">
        <v>24.3</v>
      </c>
      <c r="U50" s="1" t="n">
        <v>25.4</v>
      </c>
      <c r="V50" s="1" t="n">
        <v>445</v>
      </c>
      <c r="W50" s="1" t="n">
        <v>19.1</v>
      </c>
      <c r="X50" s="1" t="n">
        <v>11.1</v>
      </c>
      <c r="Y50" s="1" t="n">
        <v>60</v>
      </c>
      <c r="Z50" s="1" t="n">
        <v>2</v>
      </c>
      <c r="AA50" s="1" t="n">
        <v>57</v>
      </c>
      <c r="AB50" s="7" t="s">
        <v>47</v>
      </c>
      <c r="AC50" s="7" t="s">
        <v>50</v>
      </c>
      <c r="AD50" s="6" t="s">
        <v>43</v>
      </c>
      <c r="AE50" s="6" t="s">
        <v>43</v>
      </c>
      <c r="AF50" s="4" t="n">
        <f aca="false">IF(T50="","",IF(T50&lt;=30,(50/30)*T50,IF(T50&lt;=60,50+((100-50)/(60-30))*(T50-30),IF(T50&lt;=90,100+((200-100)/(90-60))*(T50-60),IF(T50&lt;=120,200+((300-200)/(120-90))*(T50-90),IF(T50&lt;=250,300+((400-300)/(250-120))*(T50-120),IF(T50&lt;=380,400+((500-400)/(380-250))*(T50-250),500)))))))</f>
        <v>40.5</v>
      </c>
      <c r="AG50" s="4" t="n">
        <f aca="false">IF(U50="","",IF(U50&lt;=50,(50/50)*U50,IF(U50&lt;=100,50+((100-50)/(100-50))*(U50-50),IF(U50&lt;=250,100+((200-100)/(250-100))*(U50-100),IF(U50&lt;=350,200+((300-200)/(350-250))*(U50-250),IF(U50&lt;=430,300+((400-300)/(430-350))*(U50-350),IF(U50&lt;=600,400+((500-400)/(600-430))*(U50-430),500)))))))</f>
        <v>25.4</v>
      </c>
      <c r="AH50" s="4" t="n">
        <f aca="false">IF(V50="","",IF((V50/1000)&lt;=1,(50/1)*(V50/1000),IF((V50/1000)&lt;=2,50+((100-50)/(2-1))*(V50/1000-1),IF((V50/1000)&lt;=10,100+((200-100)/(10-2))*(V50/1000-2),IF((V50/1000)&lt;=17,200+((300-200)/(17-10))*(V50/1000-10),IF((V50/1000)&lt;=34,300+((400-300)/(34-17))*(V50/1000-17),IF((V50/1000)&lt;=57,400+((500-400)/(57-34))*(V50/1000-34),500)))))))</f>
        <v>22.25</v>
      </c>
      <c r="AI50" s="4" t="n">
        <f aca="false">IF(W50="","",IF(W50&lt;=40,(50/40)*W50,IF(W50&lt;=80,50+((100-50)/(80-40))*(W50-40),IF(W50&lt;=180,100+((200-100)/(180-80))*(W50-80),IF(W50&lt;=280,200+((300-200)/(280-180))*(W50-180),IF(W50&lt;=400,300+((400-300)/(400-280))*(W50-280),IF(W50&lt;=800,400+((500-400)/(800-400))*(W50-400),500)))))))</f>
        <v>23.875</v>
      </c>
      <c r="AJ50" s="4" t="n">
        <f aca="false">IF(X50="","",IF(X50&lt;=40,(50/40)*X50,IF(X50&lt;=80,50+((100-50)/(80-40))*(X50-40),IF(X50&lt;=380,100+((200-100)/(380-80))*(X50-80),IF(X50&lt;=800,200+((300-200)/(800-380))*(X50-380),IF(X50&lt;=1600,300+((400-300)/(1600-800))*(X50-800),IF(X50&lt;=2100,400+((500-400)/(2100-1600))*(X50-1600),500)))))))</f>
        <v>13.875</v>
      </c>
      <c r="AK50" s="4" t="n">
        <f aca="false">IF(Y50="","",IF(Y50&lt;=50,(50/50)*Y50,IF(Y50&lt;=100,50+((100-50)/(100-50))*(Y50-50),IF(Y50&lt;=168,100+((200-100)/(168-100))*(Y50-100),IF(Y50&lt;=208,200+((300-200)/(208-168))*(Y50-168),IF(Y50&lt;=748,300+((400-300)/(748-208))*(Y50-208),IF(Y50&lt;=1000,400+((500-400)/(1000-748))*(Y50-748),500)))))))</f>
        <v>60</v>
      </c>
      <c r="AL50" s="4" t="n">
        <f aca="false">ROUND(MAX(AF50,AG50,AH50,AI50,AJ50,AK50),0)</f>
        <v>60</v>
      </c>
      <c r="AM50" s="4" t="str">
        <f aca="false">IF(AL50="","",IF(AL50&lt;=50,"Good",IF(AL50&lt;=100,"Satisfactory",IF(AL50&lt;=200,"Moderate",IF(AL50&lt;=300,"Poor",IF(AL50&lt;=400,"Very Poor","Severe"))))))</f>
        <v>Satisfactory</v>
      </c>
    </row>
    <row r="51" customFormat="false" ht="15.75" hidden="false" customHeight="false" outlineLevel="0" collapsed="false">
      <c r="A51" s="1" t="s">
        <v>39</v>
      </c>
      <c r="B51" s="1" t="s">
        <v>40</v>
      </c>
      <c r="C51" s="1" t="n">
        <v>28.4595</v>
      </c>
      <c r="D51" s="1" t="n">
        <v>77.0266</v>
      </c>
      <c r="E51" s="5" t="n">
        <v>45903</v>
      </c>
      <c r="F51" s="6" t="s">
        <v>49</v>
      </c>
      <c r="G51" s="1" t="n">
        <v>9</v>
      </c>
      <c r="H51" s="7" t="s">
        <v>79</v>
      </c>
      <c r="I51" s="6" t="s">
        <v>43</v>
      </c>
      <c r="J51" s="7" t="s">
        <v>44</v>
      </c>
      <c r="K51" s="7" t="s">
        <v>45</v>
      </c>
      <c r="L51" s="1" t="n">
        <v>97</v>
      </c>
      <c r="M51" s="1" t="n">
        <v>24</v>
      </c>
      <c r="N51" s="1" t="n">
        <v>25.2</v>
      </c>
      <c r="O51" s="1" t="n">
        <v>0</v>
      </c>
      <c r="P51" s="6" t="s">
        <v>43</v>
      </c>
      <c r="Q51" s="6" t="s">
        <v>43</v>
      </c>
      <c r="R51" s="1" t="n">
        <v>1003.1</v>
      </c>
      <c r="S51" s="1" t="n">
        <v>80</v>
      </c>
      <c r="T51" s="1" t="n">
        <v>24</v>
      </c>
      <c r="U51" s="1" t="n">
        <v>25.1</v>
      </c>
      <c r="V51" s="1" t="n">
        <v>392</v>
      </c>
      <c r="W51" s="1" t="n">
        <v>17.7</v>
      </c>
      <c r="X51" s="1" t="n">
        <v>11</v>
      </c>
      <c r="Y51" s="1" t="n">
        <v>60</v>
      </c>
      <c r="Z51" s="1" t="n">
        <v>2</v>
      </c>
      <c r="AA51" s="1" t="n">
        <v>58</v>
      </c>
      <c r="AB51" s="7" t="s">
        <v>47</v>
      </c>
      <c r="AC51" s="7" t="s">
        <v>50</v>
      </c>
      <c r="AD51" s="6" t="s">
        <v>43</v>
      </c>
      <c r="AE51" s="6" t="s">
        <v>43</v>
      </c>
      <c r="AF51" s="4" t="n">
        <f aca="false">IF(T51="","",IF(T51&lt;=30,(50/30)*T51,IF(T51&lt;=60,50+((100-50)/(60-30))*(T51-30),IF(T51&lt;=90,100+((200-100)/(90-60))*(T51-60),IF(T51&lt;=120,200+((300-200)/(120-90))*(T51-90),IF(T51&lt;=250,300+((400-300)/(250-120))*(T51-120),IF(T51&lt;=380,400+((500-400)/(380-250))*(T51-250),500)))))))</f>
        <v>40</v>
      </c>
      <c r="AG51" s="4" t="n">
        <f aca="false">IF(U51="","",IF(U51&lt;=50,(50/50)*U51,IF(U51&lt;=100,50+((100-50)/(100-50))*(U51-50),IF(U51&lt;=250,100+((200-100)/(250-100))*(U51-100),IF(U51&lt;=350,200+((300-200)/(350-250))*(U51-250),IF(U51&lt;=430,300+((400-300)/(430-350))*(U51-350),IF(U51&lt;=600,400+((500-400)/(600-430))*(U51-430),500)))))))</f>
        <v>25.1</v>
      </c>
      <c r="AH51" s="4" t="n">
        <f aca="false">IF(V51="","",IF((V51/1000)&lt;=1,(50/1)*(V51/1000),IF((V51/1000)&lt;=2,50+((100-50)/(2-1))*(V51/1000-1),IF((V51/1000)&lt;=10,100+((200-100)/(10-2))*(V51/1000-2),IF((V51/1000)&lt;=17,200+((300-200)/(17-10))*(V51/1000-10),IF((V51/1000)&lt;=34,300+((400-300)/(34-17))*(V51/1000-17),IF((V51/1000)&lt;=57,400+((500-400)/(57-34))*(V51/1000-34),500)))))))</f>
        <v>19.6</v>
      </c>
      <c r="AI51" s="4" t="n">
        <f aca="false">IF(W51="","",IF(W51&lt;=40,(50/40)*W51,IF(W51&lt;=80,50+((100-50)/(80-40))*(W51-40),IF(W51&lt;=180,100+((200-100)/(180-80))*(W51-80),IF(W51&lt;=280,200+((300-200)/(280-180))*(W51-180),IF(W51&lt;=400,300+((400-300)/(400-280))*(W51-280),IF(W51&lt;=800,400+((500-400)/(800-400))*(W51-400),500)))))))</f>
        <v>22.125</v>
      </c>
      <c r="AJ51" s="4" t="n">
        <f aca="false">IF(X51="","",IF(X51&lt;=40,(50/40)*X51,IF(X51&lt;=80,50+((100-50)/(80-40))*(X51-40),IF(X51&lt;=380,100+((200-100)/(380-80))*(X51-80),IF(X51&lt;=800,200+((300-200)/(800-380))*(X51-380),IF(X51&lt;=1600,300+((400-300)/(1600-800))*(X51-800),IF(X51&lt;=2100,400+((500-400)/(2100-1600))*(X51-1600),500)))))))</f>
        <v>13.75</v>
      </c>
      <c r="AK51" s="4" t="n">
        <f aca="false">IF(Y51="","",IF(Y51&lt;=50,(50/50)*Y51,IF(Y51&lt;=100,50+((100-50)/(100-50))*(Y51-50),IF(Y51&lt;=168,100+((200-100)/(168-100))*(Y51-100),IF(Y51&lt;=208,200+((300-200)/(208-168))*(Y51-168),IF(Y51&lt;=748,300+((400-300)/(748-208))*(Y51-208),IF(Y51&lt;=1000,400+((500-400)/(1000-748))*(Y51-748),500)))))))</f>
        <v>60</v>
      </c>
      <c r="AL51" s="4" t="n">
        <f aca="false">ROUND(MAX(AF51,AG51,AH51,AI51,AJ51,AK51),0)</f>
        <v>60</v>
      </c>
      <c r="AM51" s="4" t="str">
        <f aca="false">IF(AL51="","",IF(AL51&lt;=50,"Good",IF(AL51&lt;=100,"Satisfactory",IF(AL51&lt;=200,"Moderate",IF(AL51&lt;=300,"Poor",IF(AL51&lt;=400,"Very Poor","Severe"))))))</f>
        <v>Satisfactory</v>
      </c>
    </row>
    <row r="52" customFormat="false" ht="15.75" hidden="false" customHeight="false" outlineLevel="0" collapsed="false">
      <c r="A52" s="1" t="s">
        <v>39</v>
      </c>
      <c r="B52" s="1" t="s">
        <v>40</v>
      </c>
      <c r="C52" s="1" t="n">
        <v>28.4595</v>
      </c>
      <c r="D52" s="1" t="n">
        <v>77.0266</v>
      </c>
      <c r="E52" s="5" t="n">
        <v>45903</v>
      </c>
      <c r="F52" s="6" t="s">
        <v>51</v>
      </c>
      <c r="G52" s="1" t="n">
        <v>9</v>
      </c>
      <c r="H52" s="7" t="s">
        <v>79</v>
      </c>
      <c r="I52" s="6" t="s">
        <v>43</v>
      </c>
      <c r="J52" s="7" t="s">
        <v>44</v>
      </c>
      <c r="K52" s="7" t="s">
        <v>45</v>
      </c>
      <c r="L52" s="1" t="n">
        <v>97</v>
      </c>
      <c r="M52" s="1" t="n">
        <v>23.9</v>
      </c>
      <c r="N52" s="1" t="n">
        <v>24.1</v>
      </c>
      <c r="O52" s="1" t="n">
        <v>0</v>
      </c>
      <c r="P52" s="6" t="s">
        <v>43</v>
      </c>
      <c r="Q52" s="6" t="s">
        <v>43</v>
      </c>
      <c r="R52" s="1" t="n">
        <v>1002.9</v>
      </c>
      <c r="S52" s="1" t="n">
        <v>68</v>
      </c>
      <c r="T52" s="1" t="n">
        <v>24.3</v>
      </c>
      <c r="U52" s="1" t="n">
        <v>25.5</v>
      </c>
      <c r="V52" s="1" t="n">
        <v>352</v>
      </c>
      <c r="W52" s="1" t="n">
        <v>16.4</v>
      </c>
      <c r="X52" s="1" t="n">
        <v>10.7</v>
      </c>
      <c r="Y52" s="1" t="n">
        <v>61</v>
      </c>
      <c r="Z52" s="1" t="n">
        <v>2</v>
      </c>
      <c r="AA52" s="1" t="n">
        <v>59</v>
      </c>
      <c r="AB52" s="7" t="s">
        <v>47</v>
      </c>
      <c r="AC52" s="7" t="s">
        <v>50</v>
      </c>
      <c r="AD52" s="6" t="s">
        <v>43</v>
      </c>
      <c r="AE52" s="6" t="s">
        <v>43</v>
      </c>
      <c r="AF52" s="4" t="n">
        <f aca="false">IF(T52="","",IF(T52&lt;=30,(50/30)*T52,IF(T52&lt;=60,50+((100-50)/(60-30))*(T52-30),IF(T52&lt;=90,100+((200-100)/(90-60))*(T52-60),IF(T52&lt;=120,200+((300-200)/(120-90))*(T52-90),IF(T52&lt;=250,300+((400-300)/(250-120))*(T52-120),IF(T52&lt;=380,400+((500-400)/(380-250))*(T52-250),500)))))))</f>
        <v>40.5</v>
      </c>
      <c r="AG52" s="4" t="n">
        <f aca="false">IF(U52="","",IF(U52&lt;=50,(50/50)*U52,IF(U52&lt;=100,50+((100-50)/(100-50))*(U52-50),IF(U52&lt;=250,100+((200-100)/(250-100))*(U52-100),IF(U52&lt;=350,200+((300-200)/(350-250))*(U52-250),IF(U52&lt;=430,300+((400-300)/(430-350))*(U52-350),IF(U52&lt;=600,400+((500-400)/(600-430))*(U52-430),500)))))))</f>
        <v>25.5</v>
      </c>
      <c r="AH52" s="4" t="n">
        <f aca="false">IF(V52="","",IF((V52/1000)&lt;=1,(50/1)*(V52/1000),IF((V52/1000)&lt;=2,50+((100-50)/(2-1))*(V52/1000-1),IF((V52/1000)&lt;=10,100+((200-100)/(10-2))*(V52/1000-2),IF((V52/1000)&lt;=17,200+((300-200)/(17-10))*(V52/1000-10),IF((V52/1000)&lt;=34,300+((400-300)/(34-17))*(V52/1000-17),IF((V52/1000)&lt;=57,400+((500-400)/(57-34))*(V52/1000-34),500)))))))</f>
        <v>17.6</v>
      </c>
      <c r="AI52" s="4" t="n">
        <f aca="false">IF(W52="","",IF(W52&lt;=40,(50/40)*W52,IF(W52&lt;=80,50+((100-50)/(80-40))*(W52-40),IF(W52&lt;=180,100+((200-100)/(180-80))*(W52-80),IF(W52&lt;=280,200+((300-200)/(280-180))*(W52-180),IF(W52&lt;=400,300+((400-300)/(400-280))*(W52-280),IF(W52&lt;=800,400+((500-400)/(800-400))*(W52-400),500)))))))</f>
        <v>20.5</v>
      </c>
      <c r="AJ52" s="4" t="n">
        <f aca="false">IF(X52="","",IF(X52&lt;=40,(50/40)*X52,IF(X52&lt;=80,50+((100-50)/(80-40))*(X52-40),IF(X52&lt;=380,100+((200-100)/(380-80))*(X52-80),IF(X52&lt;=800,200+((300-200)/(800-380))*(X52-380),IF(X52&lt;=1600,300+((400-300)/(1600-800))*(X52-800),IF(X52&lt;=2100,400+((500-400)/(2100-1600))*(X52-1600),500)))))))</f>
        <v>13.375</v>
      </c>
      <c r="AK52" s="4" t="n">
        <f aca="false">IF(Y52="","",IF(Y52&lt;=50,(50/50)*Y52,IF(Y52&lt;=100,50+((100-50)/(100-50))*(Y52-50),IF(Y52&lt;=168,100+((200-100)/(168-100))*(Y52-100),IF(Y52&lt;=208,200+((300-200)/(208-168))*(Y52-168),IF(Y52&lt;=748,300+((400-300)/(748-208))*(Y52-208),IF(Y52&lt;=1000,400+((500-400)/(1000-748))*(Y52-748),500)))))))</f>
        <v>61</v>
      </c>
      <c r="AL52" s="4" t="n">
        <f aca="false">ROUND(MAX(AF52,AG52,AH52,AI52,AJ52,AK52),0)</f>
        <v>61</v>
      </c>
      <c r="AM52" s="4" t="str">
        <f aca="false">IF(AL52="","",IF(AL52&lt;=50,"Good",IF(AL52&lt;=100,"Satisfactory",IF(AL52&lt;=200,"Moderate",IF(AL52&lt;=300,"Poor",IF(AL52&lt;=400,"Very Poor","Severe"))))))</f>
        <v>Satisfactory</v>
      </c>
    </row>
    <row r="53" customFormat="false" ht="15.75" hidden="false" customHeight="false" outlineLevel="0" collapsed="false">
      <c r="A53" s="1" t="s">
        <v>39</v>
      </c>
      <c r="B53" s="1" t="s">
        <v>40</v>
      </c>
      <c r="C53" s="1" t="n">
        <v>28.4595</v>
      </c>
      <c r="D53" s="1" t="n">
        <v>77.0266</v>
      </c>
      <c r="E53" s="5" t="n">
        <v>45903</v>
      </c>
      <c r="F53" s="6" t="s">
        <v>52</v>
      </c>
      <c r="G53" s="1" t="n">
        <v>9</v>
      </c>
      <c r="H53" s="7" t="s">
        <v>79</v>
      </c>
      <c r="I53" s="6" t="s">
        <v>43</v>
      </c>
      <c r="J53" s="7" t="s">
        <v>44</v>
      </c>
      <c r="K53" s="7" t="s">
        <v>45</v>
      </c>
      <c r="L53" s="1" t="n">
        <v>97</v>
      </c>
      <c r="M53" s="1" t="n">
        <v>23.9</v>
      </c>
      <c r="N53" s="1" t="n">
        <v>23.4</v>
      </c>
      <c r="O53" s="1" t="n">
        <v>0</v>
      </c>
      <c r="P53" s="6" t="s">
        <v>43</v>
      </c>
      <c r="Q53" s="6" t="s">
        <v>43</v>
      </c>
      <c r="R53" s="1" t="n">
        <v>1002.7</v>
      </c>
      <c r="S53" s="1" t="n">
        <v>33</v>
      </c>
      <c r="T53" s="1" t="n">
        <v>25.4</v>
      </c>
      <c r="U53" s="1" t="n">
        <v>26.5</v>
      </c>
      <c r="V53" s="1" t="n">
        <v>325</v>
      </c>
      <c r="W53" s="1" t="n">
        <v>14.7</v>
      </c>
      <c r="X53" s="1" t="n">
        <v>10.2</v>
      </c>
      <c r="Y53" s="1" t="n">
        <v>64</v>
      </c>
      <c r="Z53" s="1" t="n">
        <v>2</v>
      </c>
      <c r="AA53" s="1" t="n">
        <v>60</v>
      </c>
      <c r="AB53" s="7" t="s">
        <v>47</v>
      </c>
      <c r="AC53" s="7" t="s">
        <v>50</v>
      </c>
      <c r="AD53" s="6" t="s">
        <v>43</v>
      </c>
      <c r="AE53" s="6" t="s">
        <v>43</v>
      </c>
      <c r="AF53" s="4" t="n">
        <f aca="false">IF(T53="","",IF(T53&lt;=30,(50/30)*T53,IF(T53&lt;=60,50+((100-50)/(60-30))*(T53-30),IF(T53&lt;=90,100+((200-100)/(90-60))*(T53-60),IF(T53&lt;=120,200+((300-200)/(120-90))*(T53-90),IF(T53&lt;=250,300+((400-300)/(250-120))*(T53-120),IF(T53&lt;=380,400+((500-400)/(380-250))*(T53-250),500)))))))</f>
        <v>42.3333333333333</v>
      </c>
      <c r="AG53" s="4" t="n">
        <f aca="false">IF(U53="","",IF(U53&lt;=50,(50/50)*U53,IF(U53&lt;=100,50+((100-50)/(100-50))*(U53-50),IF(U53&lt;=250,100+((200-100)/(250-100))*(U53-100),IF(U53&lt;=350,200+((300-200)/(350-250))*(U53-250),IF(U53&lt;=430,300+((400-300)/(430-350))*(U53-350),IF(U53&lt;=600,400+((500-400)/(600-430))*(U53-430),500)))))))</f>
        <v>26.5</v>
      </c>
      <c r="AH53" s="4" t="n">
        <f aca="false">IF(V53="","",IF((V53/1000)&lt;=1,(50/1)*(V53/1000),IF((V53/1000)&lt;=2,50+((100-50)/(2-1))*(V53/1000-1),IF((V53/1000)&lt;=10,100+((200-100)/(10-2))*(V53/1000-2),IF((V53/1000)&lt;=17,200+((300-200)/(17-10))*(V53/1000-10),IF((V53/1000)&lt;=34,300+((400-300)/(34-17))*(V53/1000-17),IF((V53/1000)&lt;=57,400+((500-400)/(57-34))*(V53/1000-34),500)))))))</f>
        <v>16.25</v>
      </c>
      <c r="AI53" s="4" t="n">
        <f aca="false">IF(W53="","",IF(W53&lt;=40,(50/40)*W53,IF(W53&lt;=80,50+((100-50)/(80-40))*(W53-40),IF(W53&lt;=180,100+((200-100)/(180-80))*(W53-80),IF(W53&lt;=280,200+((300-200)/(280-180))*(W53-180),IF(W53&lt;=400,300+((400-300)/(400-280))*(W53-280),IF(W53&lt;=800,400+((500-400)/(800-400))*(W53-400),500)))))))</f>
        <v>18.375</v>
      </c>
      <c r="AJ53" s="4" t="n">
        <f aca="false">IF(X53="","",IF(X53&lt;=40,(50/40)*X53,IF(X53&lt;=80,50+((100-50)/(80-40))*(X53-40),IF(X53&lt;=380,100+((200-100)/(380-80))*(X53-80),IF(X53&lt;=800,200+((300-200)/(800-380))*(X53-380),IF(X53&lt;=1600,300+((400-300)/(1600-800))*(X53-800),IF(X53&lt;=2100,400+((500-400)/(2100-1600))*(X53-1600),500)))))))</f>
        <v>12.75</v>
      </c>
      <c r="AK53" s="4" t="n">
        <f aca="false">IF(Y53="","",IF(Y53&lt;=50,(50/50)*Y53,IF(Y53&lt;=100,50+((100-50)/(100-50))*(Y53-50),IF(Y53&lt;=168,100+((200-100)/(168-100))*(Y53-100),IF(Y53&lt;=208,200+((300-200)/(208-168))*(Y53-168),IF(Y53&lt;=748,300+((400-300)/(748-208))*(Y53-208),IF(Y53&lt;=1000,400+((500-400)/(1000-748))*(Y53-748),500)))))))</f>
        <v>64</v>
      </c>
      <c r="AL53" s="4" t="n">
        <f aca="false">ROUND(MAX(AF53,AG53,AH53,AI53,AJ53,AK53),0)</f>
        <v>64</v>
      </c>
      <c r="AM53" s="4" t="str">
        <f aca="false">IF(AL53="","",IF(AL53&lt;=50,"Good",IF(AL53&lt;=100,"Satisfactory",IF(AL53&lt;=200,"Moderate",IF(AL53&lt;=300,"Poor",IF(AL53&lt;=400,"Very Poor","Severe"))))))</f>
        <v>Satisfactory</v>
      </c>
    </row>
    <row r="54" customFormat="false" ht="15.75" hidden="false" customHeight="false" outlineLevel="0" collapsed="false">
      <c r="A54" s="1" t="s">
        <v>39</v>
      </c>
      <c r="B54" s="1" t="s">
        <v>40</v>
      </c>
      <c r="C54" s="1" t="n">
        <v>28.4595</v>
      </c>
      <c r="D54" s="1" t="n">
        <v>77.0266</v>
      </c>
      <c r="E54" s="5" t="n">
        <v>45903</v>
      </c>
      <c r="F54" s="6" t="s">
        <v>53</v>
      </c>
      <c r="G54" s="1" t="n">
        <v>9</v>
      </c>
      <c r="H54" s="7" t="s">
        <v>79</v>
      </c>
      <c r="I54" s="6" t="s">
        <v>43</v>
      </c>
      <c r="J54" s="7" t="s">
        <v>44</v>
      </c>
      <c r="K54" s="7" t="s">
        <v>45</v>
      </c>
      <c r="L54" s="1" t="n">
        <v>98</v>
      </c>
      <c r="M54" s="1" t="n">
        <v>23.8</v>
      </c>
      <c r="N54" s="1" t="n">
        <v>22.7</v>
      </c>
      <c r="O54" s="1" t="n">
        <v>0</v>
      </c>
      <c r="P54" s="6" t="s">
        <v>43</v>
      </c>
      <c r="Q54" s="6" t="s">
        <v>43</v>
      </c>
      <c r="R54" s="1" t="n">
        <v>1003</v>
      </c>
      <c r="S54" s="1" t="n">
        <v>99</v>
      </c>
      <c r="T54" s="1" t="n">
        <v>23.2</v>
      </c>
      <c r="U54" s="1" t="n">
        <v>24</v>
      </c>
      <c r="V54" s="1" t="n">
        <v>312</v>
      </c>
      <c r="W54" s="1" t="n">
        <v>13.2</v>
      </c>
      <c r="X54" s="1" t="n">
        <v>9.6</v>
      </c>
      <c r="Y54" s="1" t="n">
        <v>67</v>
      </c>
      <c r="Z54" s="1" t="n">
        <v>2</v>
      </c>
      <c r="AA54" s="1" t="n">
        <v>61</v>
      </c>
      <c r="AB54" s="7" t="s">
        <v>47</v>
      </c>
      <c r="AC54" s="7" t="s">
        <v>50</v>
      </c>
      <c r="AD54" s="6" t="s">
        <v>43</v>
      </c>
      <c r="AE54" s="6" t="s">
        <v>43</v>
      </c>
      <c r="AF54" s="4" t="n">
        <f aca="false">IF(T54="","",IF(T54&lt;=30,(50/30)*T54,IF(T54&lt;=60,50+((100-50)/(60-30))*(T54-30),IF(T54&lt;=90,100+((200-100)/(90-60))*(T54-60),IF(T54&lt;=120,200+((300-200)/(120-90))*(T54-90),IF(T54&lt;=250,300+((400-300)/(250-120))*(T54-120),IF(T54&lt;=380,400+((500-400)/(380-250))*(T54-250),500)))))))</f>
        <v>38.6666666666667</v>
      </c>
      <c r="AG54" s="4" t="n">
        <f aca="false">IF(U54="","",IF(U54&lt;=50,(50/50)*U54,IF(U54&lt;=100,50+((100-50)/(100-50))*(U54-50),IF(U54&lt;=250,100+((200-100)/(250-100))*(U54-100),IF(U54&lt;=350,200+((300-200)/(350-250))*(U54-250),IF(U54&lt;=430,300+((400-300)/(430-350))*(U54-350),IF(U54&lt;=600,400+((500-400)/(600-430))*(U54-430),500)))))))</f>
        <v>24</v>
      </c>
      <c r="AH54" s="4" t="n">
        <f aca="false">IF(V54="","",IF((V54/1000)&lt;=1,(50/1)*(V54/1000),IF((V54/1000)&lt;=2,50+((100-50)/(2-1))*(V54/1000-1),IF((V54/1000)&lt;=10,100+((200-100)/(10-2))*(V54/1000-2),IF((V54/1000)&lt;=17,200+((300-200)/(17-10))*(V54/1000-10),IF((V54/1000)&lt;=34,300+((400-300)/(34-17))*(V54/1000-17),IF((V54/1000)&lt;=57,400+((500-400)/(57-34))*(V54/1000-34),500)))))))</f>
        <v>15.6</v>
      </c>
      <c r="AI54" s="4" t="n">
        <f aca="false">IF(W54="","",IF(W54&lt;=40,(50/40)*W54,IF(W54&lt;=80,50+((100-50)/(80-40))*(W54-40),IF(W54&lt;=180,100+((200-100)/(180-80))*(W54-80),IF(W54&lt;=280,200+((300-200)/(280-180))*(W54-180),IF(W54&lt;=400,300+((400-300)/(400-280))*(W54-280),IF(W54&lt;=800,400+((500-400)/(800-400))*(W54-400),500)))))))</f>
        <v>16.5</v>
      </c>
      <c r="AJ54" s="4" t="n">
        <f aca="false">IF(X54="","",IF(X54&lt;=40,(50/40)*X54,IF(X54&lt;=80,50+((100-50)/(80-40))*(X54-40),IF(X54&lt;=380,100+((200-100)/(380-80))*(X54-80),IF(X54&lt;=800,200+((300-200)/(800-380))*(X54-380),IF(X54&lt;=1600,300+((400-300)/(1600-800))*(X54-800),IF(X54&lt;=2100,400+((500-400)/(2100-1600))*(X54-1600),500)))))))</f>
        <v>12</v>
      </c>
      <c r="AK54" s="4" t="n">
        <f aca="false">IF(Y54="","",IF(Y54&lt;=50,(50/50)*Y54,IF(Y54&lt;=100,50+((100-50)/(100-50))*(Y54-50),IF(Y54&lt;=168,100+((200-100)/(168-100))*(Y54-100),IF(Y54&lt;=208,200+((300-200)/(208-168))*(Y54-168),IF(Y54&lt;=748,300+((400-300)/(748-208))*(Y54-208),IF(Y54&lt;=1000,400+((500-400)/(1000-748))*(Y54-748),500)))))))</f>
        <v>67</v>
      </c>
      <c r="AL54" s="4" t="n">
        <f aca="false">ROUND(MAX(AF54,AG54,AH54,AI54,AJ54,AK54),0)</f>
        <v>67</v>
      </c>
      <c r="AM54" s="4" t="str">
        <f aca="false">IF(AL54="","",IF(AL54&lt;=50,"Good",IF(AL54&lt;=100,"Satisfactory",IF(AL54&lt;=200,"Moderate",IF(AL54&lt;=300,"Poor",IF(AL54&lt;=400,"Very Poor","Severe"))))))</f>
        <v>Satisfactory</v>
      </c>
    </row>
    <row r="55" customFormat="false" ht="15.75" hidden="false" customHeight="false" outlineLevel="0" collapsed="false">
      <c r="A55" s="1" t="s">
        <v>39</v>
      </c>
      <c r="B55" s="1" t="s">
        <v>40</v>
      </c>
      <c r="C55" s="1" t="n">
        <v>28.4595</v>
      </c>
      <c r="D55" s="1" t="n">
        <v>77.0266</v>
      </c>
      <c r="E55" s="5" t="n">
        <v>45903</v>
      </c>
      <c r="F55" s="6" t="s">
        <v>54</v>
      </c>
      <c r="G55" s="1" t="n">
        <v>9</v>
      </c>
      <c r="H55" s="7" t="s">
        <v>79</v>
      </c>
      <c r="I55" s="6" t="s">
        <v>43</v>
      </c>
      <c r="J55" s="7" t="s">
        <v>44</v>
      </c>
      <c r="K55" s="7" t="s">
        <v>45</v>
      </c>
      <c r="L55" s="1" t="n">
        <v>98</v>
      </c>
      <c r="M55" s="1" t="n">
        <v>23.8</v>
      </c>
      <c r="N55" s="1" t="n">
        <v>21.6</v>
      </c>
      <c r="O55" s="1" t="n">
        <v>0</v>
      </c>
      <c r="P55" s="6" t="s">
        <v>43</v>
      </c>
      <c r="Q55" s="6" t="s">
        <v>43</v>
      </c>
      <c r="R55" s="1" t="n">
        <v>1003.3</v>
      </c>
      <c r="S55" s="1" t="n">
        <v>98</v>
      </c>
      <c r="T55" s="1" t="n">
        <v>10.1</v>
      </c>
      <c r="U55" s="1" t="n">
        <v>10.3</v>
      </c>
      <c r="V55" s="1" t="n">
        <v>328</v>
      </c>
      <c r="W55" s="1" t="n">
        <v>15.1</v>
      </c>
      <c r="X55" s="1" t="n">
        <v>10.1</v>
      </c>
      <c r="Y55" s="1" t="n">
        <v>60</v>
      </c>
      <c r="Z55" s="1" t="n">
        <v>0</v>
      </c>
      <c r="AA55" s="1" t="n">
        <v>63</v>
      </c>
      <c r="AB55" s="7" t="s">
        <v>47</v>
      </c>
      <c r="AC55" s="7" t="s">
        <v>50</v>
      </c>
      <c r="AD55" s="6" t="s">
        <v>43</v>
      </c>
      <c r="AE55" s="6" t="s">
        <v>43</v>
      </c>
      <c r="AF55" s="4" t="n">
        <f aca="false">IF(T55="","",IF(T55&lt;=30,(50/30)*T55,IF(T55&lt;=60,50+((100-50)/(60-30))*(T55-30),IF(T55&lt;=90,100+((200-100)/(90-60))*(T55-60),IF(T55&lt;=120,200+((300-200)/(120-90))*(T55-90),IF(T55&lt;=250,300+((400-300)/(250-120))*(T55-120),IF(T55&lt;=380,400+((500-400)/(380-250))*(T55-250),500)))))))</f>
        <v>16.8333333333333</v>
      </c>
      <c r="AG55" s="4" t="n">
        <f aca="false">IF(U55="","",IF(U55&lt;=50,(50/50)*U55,IF(U55&lt;=100,50+((100-50)/(100-50))*(U55-50),IF(U55&lt;=250,100+((200-100)/(250-100))*(U55-100),IF(U55&lt;=350,200+((300-200)/(350-250))*(U55-250),IF(U55&lt;=430,300+((400-300)/(430-350))*(U55-350),IF(U55&lt;=600,400+((500-400)/(600-430))*(U55-430),500)))))))</f>
        <v>10.3</v>
      </c>
      <c r="AH55" s="4" t="n">
        <f aca="false">IF(V55="","",IF((V55/1000)&lt;=1,(50/1)*(V55/1000),IF((V55/1000)&lt;=2,50+((100-50)/(2-1))*(V55/1000-1),IF((V55/1000)&lt;=10,100+((200-100)/(10-2))*(V55/1000-2),IF((V55/1000)&lt;=17,200+((300-200)/(17-10))*(V55/1000-10),IF((V55/1000)&lt;=34,300+((400-300)/(34-17))*(V55/1000-17),IF((V55/1000)&lt;=57,400+((500-400)/(57-34))*(V55/1000-34),500)))))))</f>
        <v>16.4</v>
      </c>
      <c r="AI55" s="4" t="n">
        <f aca="false">IF(W55="","",IF(W55&lt;=40,(50/40)*W55,IF(W55&lt;=80,50+((100-50)/(80-40))*(W55-40),IF(W55&lt;=180,100+((200-100)/(180-80))*(W55-80),IF(W55&lt;=280,200+((300-200)/(280-180))*(W55-180),IF(W55&lt;=400,300+((400-300)/(400-280))*(W55-280),IF(W55&lt;=800,400+((500-400)/(800-400))*(W55-400),500)))))))</f>
        <v>18.875</v>
      </c>
      <c r="AJ55" s="4" t="n">
        <f aca="false">IF(X55="","",IF(X55&lt;=40,(50/40)*X55,IF(X55&lt;=80,50+((100-50)/(80-40))*(X55-40),IF(X55&lt;=380,100+((200-100)/(380-80))*(X55-80),IF(X55&lt;=800,200+((300-200)/(800-380))*(X55-380),IF(X55&lt;=1600,300+((400-300)/(1600-800))*(X55-800),IF(X55&lt;=2100,400+((500-400)/(2100-1600))*(X55-1600),500)))))))</f>
        <v>12.625</v>
      </c>
      <c r="AK55" s="4" t="n">
        <f aca="false">IF(Y55="","",IF(Y55&lt;=50,(50/50)*Y55,IF(Y55&lt;=100,50+((100-50)/(100-50))*(Y55-50),IF(Y55&lt;=168,100+((200-100)/(168-100))*(Y55-100),IF(Y55&lt;=208,200+((300-200)/(208-168))*(Y55-168),IF(Y55&lt;=748,300+((400-300)/(748-208))*(Y55-208),IF(Y55&lt;=1000,400+((500-400)/(1000-748))*(Y55-748),500)))))))</f>
        <v>60</v>
      </c>
      <c r="AL55" s="4" t="n">
        <f aca="false">ROUND(MAX(AF55,AG55,AH55,AI55,AJ55,AK55),0)</f>
        <v>60</v>
      </c>
      <c r="AM55" s="4" t="str">
        <f aca="false">IF(AL55="","",IF(AL55&lt;=50,"Good",IF(AL55&lt;=100,"Satisfactory",IF(AL55&lt;=200,"Moderate",IF(AL55&lt;=300,"Poor",IF(AL55&lt;=400,"Very Poor","Severe"))))))</f>
        <v>Satisfactory</v>
      </c>
    </row>
    <row r="56" customFormat="false" ht="15.75" hidden="false" customHeight="false" outlineLevel="0" collapsed="false">
      <c r="A56" s="1" t="s">
        <v>39</v>
      </c>
      <c r="B56" s="1" t="s">
        <v>40</v>
      </c>
      <c r="C56" s="1" t="n">
        <v>28.4595</v>
      </c>
      <c r="D56" s="1" t="n">
        <v>77.0266</v>
      </c>
      <c r="E56" s="5" t="n">
        <v>45903</v>
      </c>
      <c r="F56" s="6" t="s">
        <v>55</v>
      </c>
      <c r="G56" s="1" t="n">
        <v>9</v>
      </c>
      <c r="H56" s="7" t="s">
        <v>79</v>
      </c>
      <c r="I56" s="6" t="s">
        <v>43</v>
      </c>
      <c r="J56" s="7" t="s">
        <v>44</v>
      </c>
      <c r="K56" s="7" t="s">
        <v>56</v>
      </c>
      <c r="L56" s="1" t="n">
        <v>97</v>
      </c>
      <c r="M56" s="1" t="n">
        <v>23.5</v>
      </c>
      <c r="N56" s="1" t="n">
        <v>22.3</v>
      </c>
      <c r="O56" s="1" t="n">
        <v>4.2</v>
      </c>
      <c r="P56" s="6" t="s">
        <v>46</v>
      </c>
      <c r="Q56" s="6" t="s">
        <v>43</v>
      </c>
      <c r="R56" s="1" t="n">
        <v>1004.1</v>
      </c>
      <c r="S56" s="1" t="n">
        <v>100</v>
      </c>
      <c r="T56" s="1" t="n">
        <v>8.7</v>
      </c>
      <c r="U56" s="1" t="n">
        <v>8.9</v>
      </c>
      <c r="V56" s="1" t="n">
        <v>405</v>
      </c>
      <c r="W56" s="1" t="n">
        <v>17</v>
      </c>
      <c r="X56" s="1" t="n">
        <v>9.7</v>
      </c>
      <c r="Y56" s="1" t="n">
        <v>60</v>
      </c>
      <c r="Z56" s="1" t="n">
        <v>0</v>
      </c>
      <c r="AA56" s="1" t="n">
        <v>63</v>
      </c>
      <c r="AB56" s="7" t="s">
        <v>47</v>
      </c>
      <c r="AC56" s="7" t="s">
        <v>50</v>
      </c>
      <c r="AD56" s="6" t="s">
        <v>43</v>
      </c>
      <c r="AE56" s="6" t="s">
        <v>43</v>
      </c>
      <c r="AF56" s="4" t="n">
        <f aca="false">IF(T56="","",IF(T56&lt;=30,(50/30)*T56,IF(T56&lt;=60,50+((100-50)/(60-30))*(T56-30),IF(T56&lt;=90,100+((200-100)/(90-60))*(T56-60),IF(T56&lt;=120,200+((300-200)/(120-90))*(T56-90),IF(T56&lt;=250,300+((400-300)/(250-120))*(T56-120),IF(T56&lt;=380,400+((500-400)/(380-250))*(T56-250),500)))))))</f>
        <v>14.5</v>
      </c>
      <c r="AG56" s="4" t="n">
        <f aca="false">IF(U56="","",IF(U56&lt;=50,(50/50)*U56,IF(U56&lt;=100,50+((100-50)/(100-50))*(U56-50),IF(U56&lt;=250,100+((200-100)/(250-100))*(U56-100),IF(U56&lt;=350,200+((300-200)/(350-250))*(U56-250),IF(U56&lt;=430,300+((400-300)/(430-350))*(U56-350),IF(U56&lt;=600,400+((500-400)/(600-430))*(U56-430),500)))))))</f>
        <v>8.9</v>
      </c>
      <c r="AH56" s="4" t="n">
        <f aca="false">IF(V56="","",IF((V56/1000)&lt;=1,(50/1)*(V56/1000),IF((V56/1000)&lt;=2,50+((100-50)/(2-1))*(V56/1000-1),IF((V56/1000)&lt;=10,100+((200-100)/(10-2))*(V56/1000-2),IF((V56/1000)&lt;=17,200+((300-200)/(17-10))*(V56/1000-10),IF((V56/1000)&lt;=34,300+((400-300)/(34-17))*(V56/1000-17),IF((V56/1000)&lt;=57,400+((500-400)/(57-34))*(V56/1000-34),500)))))))</f>
        <v>20.25</v>
      </c>
      <c r="AI56" s="4" t="n">
        <f aca="false">IF(W56="","",IF(W56&lt;=40,(50/40)*W56,IF(W56&lt;=80,50+((100-50)/(80-40))*(W56-40),IF(W56&lt;=180,100+((200-100)/(180-80))*(W56-80),IF(W56&lt;=280,200+((300-200)/(280-180))*(W56-180),IF(W56&lt;=400,300+((400-300)/(400-280))*(W56-280),IF(W56&lt;=800,400+((500-400)/(800-400))*(W56-400),500)))))))</f>
        <v>21.25</v>
      </c>
      <c r="AJ56" s="4" t="n">
        <f aca="false">IF(X56="","",IF(X56&lt;=40,(50/40)*X56,IF(X56&lt;=80,50+((100-50)/(80-40))*(X56-40),IF(X56&lt;=380,100+((200-100)/(380-80))*(X56-80),IF(X56&lt;=800,200+((300-200)/(800-380))*(X56-380),IF(X56&lt;=1600,300+((400-300)/(1600-800))*(X56-800),IF(X56&lt;=2100,400+((500-400)/(2100-1600))*(X56-1600),500)))))))</f>
        <v>12.125</v>
      </c>
      <c r="AK56" s="4" t="n">
        <f aca="false">IF(Y56="","",IF(Y56&lt;=50,(50/50)*Y56,IF(Y56&lt;=100,50+((100-50)/(100-50))*(Y56-50),IF(Y56&lt;=168,100+((200-100)/(168-100))*(Y56-100),IF(Y56&lt;=208,200+((300-200)/(208-168))*(Y56-168),IF(Y56&lt;=748,300+((400-300)/(748-208))*(Y56-208),IF(Y56&lt;=1000,400+((500-400)/(1000-748))*(Y56-748),500)))))))</f>
        <v>60</v>
      </c>
      <c r="AL56" s="4" t="n">
        <f aca="false">ROUND(MAX(AF56,AG56,AH56,AI56,AJ56,AK56),0)</f>
        <v>60</v>
      </c>
      <c r="AM56" s="4" t="str">
        <f aca="false">IF(AL56="","",IF(AL56&lt;=50,"Good",IF(AL56&lt;=100,"Satisfactory",IF(AL56&lt;=200,"Moderate",IF(AL56&lt;=300,"Poor",IF(AL56&lt;=400,"Very Poor","Severe"))))))</f>
        <v>Satisfactory</v>
      </c>
    </row>
    <row r="57" customFormat="false" ht="15.75" hidden="false" customHeight="false" outlineLevel="0" collapsed="false">
      <c r="A57" s="1" t="s">
        <v>39</v>
      </c>
      <c r="B57" s="1" t="s">
        <v>40</v>
      </c>
      <c r="C57" s="1" t="n">
        <v>28.4595</v>
      </c>
      <c r="D57" s="1" t="n">
        <v>77.0266</v>
      </c>
      <c r="E57" s="5" t="n">
        <v>45903</v>
      </c>
      <c r="F57" s="6" t="s">
        <v>57</v>
      </c>
      <c r="G57" s="1" t="n">
        <v>9</v>
      </c>
      <c r="H57" s="7" t="s">
        <v>79</v>
      </c>
      <c r="I57" s="6" t="s">
        <v>43</v>
      </c>
      <c r="J57" s="7" t="s">
        <v>44</v>
      </c>
      <c r="K57" s="7" t="s">
        <v>56</v>
      </c>
      <c r="L57" s="1" t="n">
        <v>99</v>
      </c>
      <c r="M57" s="1" t="n">
        <v>23.9</v>
      </c>
      <c r="N57" s="1" t="n">
        <v>22.3</v>
      </c>
      <c r="O57" s="1" t="n">
        <v>0.5</v>
      </c>
      <c r="P57" s="6" t="s">
        <v>46</v>
      </c>
      <c r="Q57" s="6" t="s">
        <v>43</v>
      </c>
      <c r="R57" s="1" t="n">
        <v>1005.3</v>
      </c>
      <c r="S57" s="1" t="n">
        <v>100</v>
      </c>
      <c r="T57" s="1" t="n">
        <v>7.8</v>
      </c>
      <c r="U57" s="1" t="n">
        <v>7.9</v>
      </c>
      <c r="V57" s="1" t="n">
        <v>511</v>
      </c>
      <c r="W57" s="1" t="n">
        <v>19.5</v>
      </c>
      <c r="X57" s="1" t="n">
        <v>9.3</v>
      </c>
      <c r="Y57" s="1" t="n">
        <v>61</v>
      </c>
      <c r="Z57" s="1" t="n">
        <v>0</v>
      </c>
      <c r="AA57" s="1" t="n">
        <v>63</v>
      </c>
      <c r="AB57" s="7" t="s">
        <v>47</v>
      </c>
      <c r="AC57" s="7" t="s">
        <v>50</v>
      </c>
      <c r="AD57" s="6" t="s">
        <v>43</v>
      </c>
      <c r="AE57" s="6" t="s">
        <v>43</v>
      </c>
      <c r="AF57" s="4" t="n">
        <f aca="false">IF(T57="","",IF(T57&lt;=30,(50/30)*T57,IF(T57&lt;=60,50+((100-50)/(60-30))*(T57-30),IF(T57&lt;=90,100+((200-100)/(90-60))*(T57-60),IF(T57&lt;=120,200+((300-200)/(120-90))*(T57-90),IF(T57&lt;=250,300+((400-300)/(250-120))*(T57-120),IF(T57&lt;=380,400+((500-400)/(380-250))*(T57-250),500)))))))</f>
        <v>13</v>
      </c>
      <c r="AG57" s="4" t="n">
        <f aca="false">IF(U57="","",IF(U57&lt;=50,(50/50)*U57,IF(U57&lt;=100,50+((100-50)/(100-50))*(U57-50),IF(U57&lt;=250,100+((200-100)/(250-100))*(U57-100),IF(U57&lt;=350,200+((300-200)/(350-250))*(U57-250),IF(U57&lt;=430,300+((400-300)/(430-350))*(U57-350),IF(U57&lt;=600,400+((500-400)/(600-430))*(U57-430),500)))))))</f>
        <v>7.9</v>
      </c>
      <c r="AH57" s="4" t="n">
        <f aca="false">IF(V57="","",IF((V57/1000)&lt;=1,(50/1)*(V57/1000),IF((V57/1000)&lt;=2,50+((100-50)/(2-1))*(V57/1000-1),IF((V57/1000)&lt;=10,100+((200-100)/(10-2))*(V57/1000-2),IF((V57/1000)&lt;=17,200+((300-200)/(17-10))*(V57/1000-10),IF((V57/1000)&lt;=34,300+((400-300)/(34-17))*(V57/1000-17),IF((V57/1000)&lt;=57,400+((500-400)/(57-34))*(V57/1000-34),500)))))))</f>
        <v>25.55</v>
      </c>
      <c r="AI57" s="4" t="n">
        <f aca="false">IF(W57="","",IF(W57&lt;=40,(50/40)*W57,IF(W57&lt;=80,50+((100-50)/(80-40))*(W57-40),IF(W57&lt;=180,100+((200-100)/(180-80))*(W57-80),IF(W57&lt;=280,200+((300-200)/(280-180))*(W57-180),IF(W57&lt;=400,300+((400-300)/(400-280))*(W57-280),IF(W57&lt;=800,400+((500-400)/(800-400))*(W57-400),500)))))))</f>
        <v>24.375</v>
      </c>
      <c r="AJ57" s="4" t="n">
        <f aca="false">IF(X57="","",IF(X57&lt;=40,(50/40)*X57,IF(X57&lt;=80,50+((100-50)/(80-40))*(X57-40),IF(X57&lt;=380,100+((200-100)/(380-80))*(X57-80),IF(X57&lt;=800,200+((300-200)/(800-380))*(X57-380),IF(X57&lt;=1600,300+((400-300)/(1600-800))*(X57-800),IF(X57&lt;=2100,400+((500-400)/(2100-1600))*(X57-1600),500)))))))</f>
        <v>11.625</v>
      </c>
      <c r="AK57" s="4" t="n">
        <f aca="false">IF(Y57="","",IF(Y57&lt;=50,(50/50)*Y57,IF(Y57&lt;=100,50+((100-50)/(100-50))*(Y57-50),IF(Y57&lt;=168,100+((200-100)/(168-100))*(Y57-100),IF(Y57&lt;=208,200+((300-200)/(208-168))*(Y57-168),IF(Y57&lt;=748,300+((400-300)/(748-208))*(Y57-208),IF(Y57&lt;=1000,400+((500-400)/(1000-748))*(Y57-748),500)))))))</f>
        <v>61</v>
      </c>
      <c r="AL57" s="4" t="n">
        <f aca="false">ROUND(MAX(AF57,AG57,AH57,AI57,AJ57,AK57),0)</f>
        <v>61</v>
      </c>
      <c r="AM57" s="4" t="str">
        <f aca="false">IF(AL57="","",IF(AL57&lt;=50,"Good",IF(AL57&lt;=100,"Satisfactory",IF(AL57&lt;=200,"Moderate",IF(AL57&lt;=300,"Poor",IF(AL57&lt;=400,"Very Poor","Severe"))))))</f>
        <v>Satisfactory</v>
      </c>
    </row>
    <row r="58" customFormat="false" ht="15.75" hidden="false" customHeight="false" outlineLevel="0" collapsed="false">
      <c r="A58" s="1" t="s">
        <v>39</v>
      </c>
      <c r="B58" s="1" t="s">
        <v>40</v>
      </c>
      <c r="C58" s="1" t="n">
        <v>28.4595</v>
      </c>
      <c r="D58" s="1" t="n">
        <v>77.0266</v>
      </c>
      <c r="E58" s="5" t="n">
        <v>45903</v>
      </c>
      <c r="F58" s="6" t="s">
        <v>58</v>
      </c>
      <c r="G58" s="1" t="n">
        <v>9</v>
      </c>
      <c r="H58" s="7" t="s">
        <v>79</v>
      </c>
      <c r="I58" s="6" t="s">
        <v>43</v>
      </c>
      <c r="J58" s="7" t="s">
        <v>44</v>
      </c>
      <c r="K58" s="7" t="s">
        <v>56</v>
      </c>
      <c r="L58" s="1" t="n">
        <v>95</v>
      </c>
      <c r="M58" s="1" t="n">
        <v>24</v>
      </c>
      <c r="N58" s="1" t="n">
        <v>16.2</v>
      </c>
      <c r="O58" s="1" t="n">
        <v>0.7</v>
      </c>
      <c r="P58" s="6" t="s">
        <v>46</v>
      </c>
      <c r="Q58" s="6" t="s">
        <v>43</v>
      </c>
      <c r="R58" s="1" t="n">
        <v>1004.8</v>
      </c>
      <c r="S58" s="1" t="n">
        <v>100</v>
      </c>
      <c r="T58" s="1" t="n">
        <v>6.5</v>
      </c>
      <c r="U58" s="1" t="n">
        <v>6.6</v>
      </c>
      <c r="V58" s="1" t="n">
        <v>574</v>
      </c>
      <c r="W58" s="1" t="n">
        <v>20.8</v>
      </c>
      <c r="X58" s="1" t="n">
        <v>9.4</v>
      </c>
      <c r="Y58" s="1" t="n">
        <v>64</v>
      </c>
      <c r="Z58" s="1" t="n">
        <v>0</v>
      </c>
      <c r="AA58" s="1" t="n">
        <v>62</v>
      </c>
      <c r="AB58" s="7" t="s">
        <v>47</v>
      </c>
      <c r="AC58" s="7" t="s">
        <v>50</v>
      </c>
      <c r="AD58" s="6" t="s">
        <v>43</v>
      </c>
      <c r="AE58" s="6" t="s">
        <v>43</v>
      </c>
      <c r="AF58" s="4" t="n">
        <f aca="false">IF(T58="","",IF(T58&lt;=30,(50/30)*T58,IF(T58&lt;=60,50+((100-50)/(60-30))*(T58-30),IF(T58&lt;=90,100+((200-100)/(90-60))*(T58-60),IF(T58&lt;=120,200+((300-200)/(120-90))*(T58-90),IF(T58&lt;=250,300+((400-300)/(250-120))*(T58-120),IF(T58&lt;=380,400+((500-400)/(380-250))*(T58-250),500)))))))</f>
        <v>10.8333333333333</v>
      </c>
      <c r="AG58" s="4" t="n">
        <f aca="false">IF(U58="","",IF(U58&lt;=50,(50/50)*U58,IF(U58&lt;=100,50+((100-50)/(100-50))*(U58-50),IF(U58&lt;=250,100+((200-100)/(250-100))*(U58-100),IF(U58&lt;=350,200+((300-200)/(350-250))*(U58-250),IF(U58&lt;=430,300+((400-300)/(430-350))*(U58-350),IF(U58&lt;=600,400+((500-400)/(600-430))*(U58-430),500)))))))</f>
        <v>6.6</v>
      </c>
      <c r="AH58" s="4" t="n">
        <f aca="false">IF(V58="","",IF((V58/1000)&lt;=1,(50/1)*(V58/1000),IF((V58/1000)&lt;=2,50+((100-50)/(2-1))*(V58/1000-1),IF((V58/1000)&lt;=10,100+((200-100)/(10-2))*(V58/1000-2),IF((V58/1000)&lt;=17,200+((300-200)/(17-10))*(V58/1000-10),IF((V58/1000)&lt;=34,300+((400-300)/(34-17))*(V58/1000-17),IF((V58/1000)&lt;=57,400+((500-400)/(57-34))*(V58/1000-34),500)))))))</f>
        <v>28.7</v>
      </c>
      <c r="AI58" s="4" t="n">
        <f aca="false">IF(W58="","",IF(W58&lt;=40,(50/40)*W58,IF(W58&lt;=80,50+((100-50)/(80-40))*(W58-40),IF(W58&lt;=180,100+((200-100)/(180-80))*(W58-80),IF(W58&lt;=280,200+((300-200)/(280-180))*(W58-180),IF(W58&lt;=400,300+((400-300)/(400-280))*(W58-280),IF(W58&lt;=800,400+((500-400)/(800-400))*(W58-400),500)))))))</f>
        <v>26</v>
      </c>
      <c r="AJ58" s="4" t="n">
        <f aca="false">IF(X58="","",IF(X58&lt;=40,(50/40)*X58,IF(X58&lt;=80,50+((100-50)/(80-40))*(X58-40),IF(X58&lt;=380,100+((200-100)/(380-80))*(X58-80),IF(X58&lt;=800,200+((300-200)/(800-380))*(X58-380),IF(X58&lt;=1600,300+((400-300)/(1600-800))*(X58-800),IF(X58&lt;=2100,400+((500-400)/(2100-1600))*(X58-1600),500)))))))</f>
        <v>11.75</v>
      </c>
      <c r="AK58" s="4" t="n">
        <f aca="false">IF(Y58="","",IF(Y58&lt;=50,(50/50)*Y58,IF(Y58&lt;=100,50+((100-50)/(100-50))*(Y58-50),IF(Y58&lt;=168,100+((200-100)/(168-100))*(Y58-100),IF(Y58&lt;=208,200+((300-200)/(208-168))*(Y58-168),IF(Y58&lt;=748,300+((400-300)/(748-208))*(Y58-208),IF(Y58&lt;=1000,400+((500-400)/(1000-748))*(Y58-748),500)))))))</f>
        <v>64</v>
      </c>
      <c r="AL58" s="4" t="n">
        <f aca="false">ROUND(MAX(AF58,AG58,AH58,AI58,AJ58,AK58),0)</f>
        <v>64</v>
      </c>
      <c r="AM58" s="4" t="str">
        <f aca="false">IF(AL58="","",IF(AL58&lt;=50,"Good",IF(AL58&lt;=100,"Satisfactory",IF(AL58&lt;=200,"Moderate",IF(AL58&lt;=300,"Poor",IF(AL58&lt;=400,"Very Poor","Severe"))))))</f>
        <v>Satisfactory</v>
      </c>
    </row>
    <row r="59" customFormat="false" ht="15.75" hidden="false" customHeight="false" outlineLevel="0" collapsed="false">
      <c r="A59" s="1" t="s">
        <v>39</v>
      </c>
      <c r="B59" s="1" t="s">
        <v>40</v>
      </c>
      <c r="C59" s="1" t="n">
        <v>28.4595</v>
      </c>
      <c r="D59" s="1" t="n">
        <v>77.0266</v>
      </c>
      <c r="E59" s="5" t="n">
        <v>45903</v>
      </c>
      <c r="F59" s="6" t="s">
        <v>59</v>
      </c>
      <c r="G59" s="1" t="n">
        <v>9</v>
      </c>
      <c r="H59" s="7" t="s">
        <v>79</v>
      </c>
      <c r="I59" s="6" t="s">
        <v>43</v>
      </c>
      <c r="J59" s="7" t="s">
        <v>44</v>
      </c>
      <c r="K59" s="7" t="s">
        <v>60</v>
      </c>
      <c r="L59" s="1" t="n">
        <v>88</v>
      </c>
      <c r="M59" s="1" t="n">
        <v>24.3</v>
      </c>
      <c r="N59" s="1" t="n">
        <v>15.8</v>
      </c>
      <c r="O59" s="1" t="n">
        <v>0</v>
      </c>
      <c r="P59" s="6" t="s">
        <v>43</v>
      </c>
      <c r="Q59" s="6" t="s">
        <v>43</v>
      </c>
      <c r="R59" s="1" t="n">
        <v>1005.3</v>
      </c>
      <c r="S59" s="1" t="n">
        <v>96</v>
      </c>
      <c r="T59" s="1" t="n">
        <v>8</v>
      </c>
      <c r="U59" s="1" t="n">
        <v>8.1</v>
      </c>
      <c r="V59" s="1" t="n">
        <v>542</v>
      </c>
      <c r="W59" s="1" t="n">
        <v>19.5</v>
      </c>
      <c r="X59" s="1" t="n">
        <v>10.7</v>
      </c>
      <c r="Y59" s="1" t="n">
        <v>69</v>
      </c>
      <c r="Z59" s="1" t="n">
        <v>0</v>
      </c>
      <c r="AA59" s="1" t="n">
        <v>62</v>
      </c>
      <c r="AB59" s="7" t="s">
        <v>47</v>
      </c>
      <c r="AC59" s="7" t="s">
        <v>50</v>
      </c>
      <c r="AD59" s="6" t="s">
        <v>43</v>
      </c>
      <c r="AE59" s="6" t="s">
        <v>43</v>
      </c>
      <c r="AF59" s="4" t="n">
        <f aca="false">IF(T59="","",IF(T59&lt;=30,(50/30)*T59,IF(T59&lt;=60,50+((100-50)/(60-30))*(T59-30),IF(T59&lt;=90,100+((200-100)/(90-60))*(T59-60),IF(T59&lt;=120,200+((300-200)/(120-90))*(T59-90),IF(T59&lt;=250,300+((400-300)/(250-120))*(T59-120),IF(T59&lt;=380,400+((500-400)/(380-250))*(T59-250),500)))))))</f>
        <v>13.3333333333333</v>
      </c>
      <c r="AG59" s="4" t="n">
        <f aca="false">IF(U59="","",IF(U59&lt;=50,(50/50)*U59,IF(U59&lt;=100,50+((100-50)/(100-50))*(U59-50),IF(U59&lt;=250,100+((200-100)/(250-100))*(U59-100),IF(U59&lt;=350,200+((300-200)/(350-250))*(U59-250),IF(U59&lt;=430,300+((400-300)/(430-350))*(U59-350),IF(U59&lt;=600,400+((500-400)/(600-430))*(U59-430),500)))))))</f>
        <v>8.1</v>
      </c>
      <c r="AH59" s="4" t="n">
        <f aca="false">IF(V59="","",IF((V59/1000)&lt;=1,(50/1)*(V59/1000),IF((V59/1000)&lt;=2,50+((100-50)/(2-1))*(V59/1000-1),IF((V59/1000)&lt;=10,100+((200-100)/(10-2))*(V59/1000-2),IF((V59/1000)&lt;=17,200+((300-200)/(17-10))*(V59/1000-10),IF((V59/1000)&lt;=34,300+((400-300)/(34-17))*(V59/1000-17),IF((V59/1000)&lt;=57,400+((500-400)/(57-34))*(V59/1000-34),500)))))))</f>
        <v>27.1</v>
      </c>
      <c r="AI59" s="4" t="n">
        <f aca="false">IF(W59="","",IF(W59&lt;=40,(50/40)*W59,IF(W59&lt;=80,50+((100-50)/(80-40))*(W59-40),IF(W59&lt;=180,100+((200-100)/(180-80))*(W59-80),IF(W59&lt;=280,200+((300-200)/(280-180))*(W59-180),IF(W59&lt;=400,300+((400-300)/(400-280))*(W59-280),IF(W59&lt;=800,400+((500-400)/(800-400))*(W59-400),500)))))))</f>
        <v>24.375</v>
      </c>
      <c r="AJ59" s="4" t="n">
        <f aca="false">IF(X59="","",IF(X59&lt;=40,(50/40)*X59,IF(X59&lt;=80,50+((100-50)/(80-40))*(X59-40),IF(X59&lt;=380,100+((200-100)/(380-80))*(X59-80),IF(X59&lt;=800,200+((300-200)/(800-380))*(X59-380),IF(X59&lt;=1600,300+((400-300)/(1600-800))*(X59-800),IF(X59&lt;=2100,400+((500-400)/(2100-1600))*(X59-1600),500)))))))</f>
        <v>13.375</v>
      </c>
      <c r="AK59" s="4" t="n">
        <f aca="false">IF(Y59="","",IF(Y59&lt;=50,(50/50)*Y59,IF(Y59&lt;=100,50+((100-50)/(100-50))*(Y59-50),IF(Y59&lt;=168,100+((200-100)/(168-100))*(Y59-100),IF(Y59&lt;=208,200+((300-200)/(208-168))*(Y59-168),IF(Y59&lt;=748,300+((400-300)/(748-208))*(Y59-208),IF(Y59&lt;=1000,400+((500-400)/(1000-748))*(Y59-748),500)))))))</f>
        <v>69</v>
      </c>
      <c r="AL59" s="4" t="n">
        <f aca="false">ROUND(MAX(AF59,AG59,AH59,AI59,AJ59,AK59),0)</f>
        <v>69</v>
      </c>
      <c r="AM59" s="4" t="str">
        <f aca="false">IF(AL59="","",IF(AL59&lt;=50,"Good",IF(AL59&lt;=100,"Satisfactory",IF(AL59&lt;=200,"Moderate",IF(AL59&lt;=300,"Poor",IF(AL59&lt;=400,"Very Poor","Severe"))))))</f>
        <v>Satisfactory</v>
      </c>
    </row>
    <row r="60" customFormat="false" ht="15.75" hidden="false" customHeight="false" outlineLevel="0" collapsed="false">
      <c r="A60" s="1" t="s">
        <v>39</v>
      </c>
      <c r="B60" s="1" t="s">
        <v>40</v>
      </c>
      <c r="C60" s="1" t="n">
        <v>28.4595</v>
      </c>
      <c r="D60" s="1" t="n">
        <v>77.0266</v>
      </c>
      <c r="E60" s="5" t="n">
        <v>45903</v>
      </c>
      <c r="F60" s="6" t="s">
        <v>61</v>
      </c>
      <c r="G60" s="1" t="n">
        <v>9</v>
      </c>
      <c r="H60" s="7" t="s">
        <v>79</v>
      </c>
      <c r="I60" s="6" t="s">
        <v>43</v>
      </c>
      <c r="J60" s="7" t="s">
        <v>44</v>
      </c>
      <c r="K60" s="7" t="s">
        <v>60</v>
      </c>
      <c r="L60" s="1" t="n">
        <v>80</v>
      </c>
      <c r="M60" s="1" t="n">
        <v>24.5</v>
      </c>
      <c r="N60" s="1" t="n">
        <v>15.5</v>
      </c>
      <c r="O60" s="1" t="n">
        <v>0</v>
      </c>
      <c r="P60" s="6" t="s">
        <v>43</v>
      </c>
      <c r="Q60" s="6" t="s">
        <v>43</v>
      </c>
      <c r="R60" s="1" t="n">
        <v>1005.2</v>
      </c>
      <c r="S60" s="1" t="n">
        <v>78</v>
      </c>
      <c r="T60" s="1" t="n">
        <v>7.1</v>
      </c>
      <c r="U60" s="1" t="n">
        <v>7.2</v>
      </c>
      <c r="V60" s="1" t="n">
        <v>466</v>
      </c>
      <c r="W60" s="1" t="n">
        <v>17</v>
      </c>
      <c r="X60" s="1" t="n">
        <v>12.6</v>
      </c>
      <c r="Y60" s="1" t="n">
        <v>75</v>
      </c>
      <c r="Z60" s="1" t="n">
        <v>0</v>
      </c>
      <c r="AA60" s="1" t="n">
        <v>62</v>
      </c>
      <c r="AB60" s="7" t="s">
        <v>47</v>
      </c>
      <c r="AC60" s="7" t="s">
        <v>50</v>
      </c>
      <c r="AD60" s="6" t="s">
        <v>43</v>
      </c>
      <c r="AE60" s="6" t="s">
        <v>43</v>
      </c>
      <c r="AF60" s="4" t="n">
        <f aca="false">IF(T60="","",IF(T60&lt;=30,(50/30)*T60,IF(T60&lt;=60,50+((100-50)/(60-30))*(T60-30),IF(T60&lt;=90,100+((200-100)/(90-60))*(T60-60),IF(T60&lt;=120,200+((300-200)/(120-90))*(T60-90),IF(T60&lt;=250,300+((400-300)/(250-120))*(T60-120),IF(T60&lt;=380,400+((500-400)/(380-250))*(T60-250),500)))))))</f>
        <v>11.8333333333333</v>
      </c>
      <c r="AG60" s="4" t="n">
        <f aca="false">IF(U60="","",IF(U60&lt;=50,(50/50)*U60,IF(U60&lt;=100,50+((100-50)/(100-50))*(U60-50),IF(U60&lt;=250,100+((200-100)/(250-100))*(U60-100),IF(U60&lt;=350,200+((300-200)/(350-250))*(U60-250),IF(U60&lt;=430,300+((400-300)/(430-350))*(U60-350),IF(U60&lt;=600,400+((500-400)/(600-430))*(U60-430),500)))))))</f>
        <v>7.2</v>
      </c>
      <c r="AH60" s="4" t="n">
        <f aca="false">IF(V60="","",IF((V60/1000)&lt;=1,(50/1)*(V60/1000),IF((V60/1000)&lt;=2,50+((100-50)/(2-1))*(V60/1000-1),IF((V60/1000)&lt;=10,100+((200-100)/(10-2))*(V60/1000-2),IF((V60/1000)&lt;=17,200+((300-200)/(17-10))*(V60/1000-10),IF((V60/1000)&lt;=34,300+((400-300)/(34-17))*(V60/1000-17),IF((V60/1000)&lt;=57,400+((500-400)/(57-34))*(V60/1000-34),500)))))))</f>
        <v>23.3</v>
      </c>
      <c r="AI60" s="4" t="n">
        <f aca="false">IF(W60="","",IF(W60&lt;=40,(50/40)*W60,IF(W60&lt;=80,50+((100-50)/(80-40))*(W60-40),IF(W60&lt;=180,100+((200-100)/(180-80))*(W60-80),IF(W60&lt;=280,200+((300-200)/(280-180))*(W60-180),IF(W60&lt;=400,300+((400-300)/(400-280))*(W60-280),IF(W60&lt;=800,400+((500-400)/(800-400))*(W60-400),500)))))))</f>
        <v>21.25</v>
      </c>
      <c r="AJ60" s="4" t="n">
        <f aca="false">IF(X60="","",IF(X60&lt;=40,(50/40)*X60,IF(X60&lt;=80,50+((100-50)/(80-40))*(X60-40),IF(X60&lt;=380,100+((200-100)/(380-80))*(X60-80),IF(X60&lt;=800,200+((300-200)/(800-380))*(X60-380),IF(X60&lt;=1600,300+((400-300)/(1600-800))*(X60-800),IF(X60&lt;=2100,400+((500-400)/(2100-1600))*(X60-1600),500)))))))</f>
        <v>15.75</v>
      </c>
      <c r="AK60" s="4" t="n">
        <f aca="false">IF(Y60="","",IF(Y60&lt;=50,(50/50)*Y60,IF(Y60&lt;=100,50+((100-50)/(100-50))*(Y60-50),IF(Y60&lt;=168,100+((200-100)/(168-100))*(Y60-100),IF(Y60&lt;=208,200+((300-200)/(208-168))*(Y60-168),IF(Y60&lt;=748,300+((400-300)/(748-208))*(Y60-208),IF(Y60&lt;=1000,400+((500-400)/(1000-748))*(Y60-748),500)))))))</f>
        <v>75</v>
      </c>
      <c r="AL60" s="4" t="n">
        <f aca="false">ROUND(MAX(AF60,AG60,AH60,AI60,AJ60,AK60),0)</f>
        <v>75</v>
      </c>
      <c r="AM60" s="4" t="str">
        <f aca="false">IF(AL60="","",IF(AL60&lt;=50,"Good",IF(AL60&lt;=100,"Satisfactory",IF(AL60&lt;=200,"Moderate",IF(AL60&lt;=300,"Poor",IF(AL60&lt;=400,"Very Poor","Severe"))))))</f>
        <v>Satisfactory</v>
      </c>
    </row>
    <row r="61" customFormat="false" ht="15.75" hidden="false" customHeight="false" outlineLevel="0" collapsed="false">
      <c r="A61" s="1" t="s">
        <v>39</v>
      </c>
      <c r="B61" s="1" t="s">
        <v>40</v>
      </c>
      <c r="C61" s="1" t="n">
        <v>28.4595</v>
      </c>
      <c r="D61" s="1" t="n">
        <v>77.0266</v>
      </c>
      <c r="E61" s="5" t="n">
        <v>45903</v>
      </c>
      <c r="F61" s="6" t="s">
        <v>62</v>
      </c>
      <c r="G61" s="1" t="n">
        <v>9</v>
      </c>
      <c r="H61" s="7" t="s">
        <v>79</v>
      </c>
      <c r="I61" s="6" t="s">
        <v>43</v>
      </c>
      <c r="J61" s="7" t="s">
        <v>44</v>
      </c>
      <c r="K61" s="7" t="s">
        <v>60</v>
      </c>
      <c r="L61" s="1" t="n">
        <v>78</v>
      </c>
      <c r="M61" s="1" t="n">
        <v>25.2</v>
      </c>
      <c r="N61" s="1" t="n">
        <v>17.3</v>
      </c>
      <c r="O61" s="1" t="n">
        <v>0</v>
      </c>
      <c r="P61" s="6" t="s">
        <v>43</v>
      </c>
      <c r="Q61" s="6" t="s">
        <v>43</v>
      </c>
      <c r="R61" s="1" t="n">
        <v>1004.7</v>
      </c>
      <c r="S61" s="1" t="n">
        <v>41</v>
      </c>
      <c r="T61" s="1" t="n">
        <v>6.9</v>
      </c>
      <c r="U61" s="1" t="n">
        <v>6.9</v>
      </c>
      <c r="V61" s="1" t="n">
        <v>426</v>
      </c>
      <c r="W61" s="1" t="n">
        <v>15.1</v>
      </c>
      <c r="X61" s="1" t="n">
        <v>14.2</v>
      </c>
      <c r="Y61" s="1" t="n">
        <v>83</v>
      </c>
      <c r="Z61" s="1" t="n">
        <v>0</v>
      </c>
      <c r="AA61" s="1" t="n">
        <v>62</v>
      </c>
      <c r="AB61" s="7" t="s">
        <v>47</v>
      </c>
      <c r="AC61" s="7" t="s">
        <v>50</v>
      </c>
      <c r="AD61" s="6" t="s">
        <v>43</v>
      </c>
      <c r="AE61" s="6" t="s">
        <v>43</v>
      </c>
      <c r="AF61" s="4" t="n">
        <f aca="false">IF(T61="","",IF(T61&lt;=30,(50/30)*T61,IF(T61&lt;=60,50+((100-50)/(60-30))*(T61-30),IF(T61&lt;=90,100+((200-100)/(90-60))*(T61-60),IF(T61&lt;=120,200+((300-200)/(120-90))*(T61-90),IF(T61&lt;=250,300+((400-300)/(250-120))*(T61-120),IF(T61&lt;=380,400+((500-400)/(380-250))*(T61-250),500)))))))</f>
        <v>11.5</v>
      </c>
      <c r="AG61" s="4" t="n">
        <f aca="false">IF(U61="","",IF(U61&lt;=50,(50/50)*U61,IF(U61&lt;=100,50+((100-50)/(100-50))*(U61-50),IF(U61&lt;=250,100+((200-100)/(250-100))*(U61-100),IF(U61&lt;=350,200+((300-200)/(350-250))*(U61-250),IF(U61&lt;=430,300+((400-300)/(430-350))*(U61-350),IF(U61&lt;=600,400+((500-400)/(600-430))*(U61-430),500)))))))</f>
        <v>6.9</v>
      </c>
      <c r="AH61" s="4" t="n">
        <f aca="false">IF(V61="","",IF((V61/1000)&lt;=1,(50/1)*(V61/1000),IF((V61/1000)&lt;=2,50+((100-50)/(2-1))*(V61/1000-1),IF((V61/1000)&lt;=10,100+((200-100)/(10-2))*(V61/1000-2),IF((V61/1000)&lt;=17,200+((300-200)/(17-10))*(V61/1000-10),IF((V61/1000)&lt;=34,300+((400-300)/(34-17))*(V61/1000-17),IF((V61/1000)&lt;=57,400+((500-400)/(57-34))*(V61/1000-34),500)))))))</f>
        <v>21.3</v>
      </c>
      <c r="AI61" s="4" t="n">
        <f aca="false">IF(W61="","",IF(W61&lt;=40,(50/40)*W61,IF(W61&lt;=80,50+((100-50)/(80-40))*(W61-40),IF(W61&lt;=180,100+((200-100)/(180-80))*(W61-80),IF(W61&lt;=280,200+((300-200)/(280-180))*(W61-180),IF(W61&lt;=400,300+((400-300)/(400-280))*(W61-280),IF(W61&lt;=800,400+((500-400)/(800-400))*(W61-400),500)))))))</f>
        <v>18.875</v>
      </c>
      <c r="AJ61" s="4" t="n">
        <f aca="false">IF(X61="","",IF(X61&lt;=40,(50/40)*X61,IF(X61&lt;=80,50+((100-50)/(80-40))*(X61-40),IF(X61&lt;=380,100+((200-100)/(380-80))*(X61-80),IF(X61&lt;=800,200+((300-200)/(800-380))*(X61-380),IF(X61&lt;=1600,300+((400-300)/(1600-800))*(X61-800),IF(X61&lt;=2100,400+((500-400)/(2100-1600))*(X61-1600),500)))))))</f>
        <v>17.75</v>
      </c>
      <c r="AK61" s="4" t="n">
        <f aca="false">IF(Y61="","",IF(Y61&lt;=50,(50/50)*Y61,IF(Y61&lt;=100,50+((100-50)/(100-50))*(Y61-50),IF(Y61&lt;=168,100+((200-100)/(168-100))*(Y61-100),IF(Y61&lt;=208,200+((300-200)/(208-168))*(Y61-168),IF(Y61&lt;=748,300+((400-300)/(748-208))*(Y61-208),IF(Y61&lt;=1000,400+((500-400)/(1000-748))*(Y61-748),500)))))))</f>
        <v>83</v>
      </c>
      <c r="AL61" s="4" t="n">
        <f aca="false">ROUND(MAX(AF61,AG61,AH61,AI61,AJ61,AK61),0)</f>
        <v>83</v>
      </c>
      <c r="AM61" s="4" t="str">
        <f aca="false">IF(AL61="","",IF(AL61&lt;=50,"Good",IF(AL61&lt;=100,"Satisfactory",IF(AL61&lt;=200,"Moderate",IF(AL61&lt;=300,"Poor",IF(AL61&lt;=400,"Very Poor","Severe"))))))</f>
        <v>Satisfactory</v>
      </c>
    </row>
    <row r="62" customFormat="false" ht="15.75" hidden="false" customHeight="false" outlineLevel="0" collapsed="false">
      <c r="A62" s="1" t="s">
        <v>39</v>
      </c>
      <c r="B62" s="1" t="s">
        <v>40</v>
      </c>
      <c r="C62" s="1" t="n">
        <v>28.4595</v>
      </c>
      <c r="D62" s="1" t="n">
        <v>77.0266</v>
      </c>
      <c r="E62" s="5" t="n">
        <v>45903</v>
      </c>
      <c r="F62" s="6" t="s">
        <v>63</v>
      </c>
      <c r="G62" s="1" t="n">
        <v>9</v>
      </c>
      <c r="H62" s="7" t="s">
        <v>79</v>
      </c>
      <c r="I62" s="6" t="s">
        <v>43</v>
      </c>
      <c r="J62" s="7" t="s">
        <v>44</v>
      </c>
      <c r="K62" s="7" t="s">
        <v>60</v>
      </c>
      <c r="L62" s="1" t="n">
        <v>72</v>
      </c>
      <c r="M62" s="1" t="n">
        <v>25.1</v>
      </c>
      <c r="N62" s="1" t="n">
        <v>19.4</v>
      </c>
      <c r="O62" s="1" t="n">
        <v>0.1</v>
      </c>
      <c r="P62" s="6" t="s">
        <v>46</v>
      </c>
      <c r="Q62" s="6" t="s">
        <v>43</v>
      </c>
      <c r="R62" s="1" t="n">
        <v>1004.1</v>
      </c>
      <c r="S62" s="1" t="n">
        <v>100</v>
      </c>
      <c r="T62" s="1" t="n">
        <v>8.5</v>
      </c>
      <c r="U62" s="1" t="n">
        <v>8.5</v>
      </c>
      <c r="V62" s="1" t="n">
        <v>467</v>
      </c>
      <c r="W62" s="1" t="n">
        <v>14.3</v>
      </c>
      <c r="X62" s="1" t="n">
        <v>14.9</v>
      </c>
      <c r="Y62" s="1" t="n">
        <v>96</v>
      </c>
      <c r="Z62" s="1" t="n">
        <v>0</v>
      </c>
      <c r="AA62" s="1" t="n">
        <v>62</v>
      </c>
      <c r="AB62" s="7" t="s">
        <v>47</v>
      </c>
      <c r="AC62" s="7" t="s">
        <v>50</v>
      </c>
      <c r="AD62" s="6" t="s">
        <v>43</v>
      </c>
      <c r="AE62" s="6" t="s">
        <v>43</v>
      </c>
      <c r="AF62" s="4" t="n">
        <f aca="false">IF(T62="","",IF(T62&lt;=30,(50/30)*T62,IF(T62&lt;=60,50+((100-50)/(60-30))*(T62-30),IF(T62&lt;=90,100+((200-100)/(90-60))*(T62-60),IF(T62&lt;=120,200+((300-200)/(120-90))*(T62-90),IF(T62&lt;=250,300+((400-300)/(250-120))*(T62-120),IF(T62&lt;=380,400+((500-400)/(380-250))*(T62-250),500)))))))</f>
        <v>14.1666666666667</v>
      </c>
      <c r="AG62" s="4" t="n">
        <f aca="false">IF(U62="","",IF(U62&lt;=50,(50/50)*U62,IF(U62&lt;=100,50+((100-50)/(100-50))*(U62-50),IF(U62&lt;=250,100+((200-100)/(250-100))*(U62-100),IF(U62&lt;=350,200+((300-200)/(350-250))*(U62-250),IF(U62&lt;=430,300+((400-300)/(430-350))*(U62-350),IF(U62&lt;=600,400+((500-400)/(600-430))*(U62-430),500)))))))</f>
        <v>8.5</v>
      </c>
      <c r="AH62" s="4" t="n">
        <f aca="false">IF(V62="","",IF((V62/1000)&lt;=1,(50/1)*(V62/1000),IF((V62/1000)&lt;=2,50+((100-50)/(2-1))*(V62/1000-1),IF((V62/1000)&lt;=10,100+((200-100)/(10-2))*(V62/1000-2),IF((V62/1000)&lt;=17,200+((300-200)/(17-10))*(V62/1000-10),IF((V62/1000)&lt;=34,300+((400-300)/(34-17))*(V62/1000-17),IF((V62/1000)&lt;=57,400+((500-400)/(57-34))*(V62/1000-34),500)))))))</f>
        <v>23.35</v>
      </c>
      <c r="AI62" s="4" t="n">
        <f aca="false">IF(W62="","",IF(W62&lt;=40,(50/40)*W62,IF(W62&lt;=80,50+((100-50)/(80-40))*(W62-40),IF(W62&lt;=180,100+((200-100)/(180-80))*(W62-80),IF(W62&lt;=280,200+((300-200)/(280-180))*(W62-180),IF(W62&lt;=400,300+((400-300)/(400-280))*(W62-280),IF(W62&lt;=800,400+((500-400)/(800-400))*(W62-400),500)))))))</f>
        <v>17.875</v>
      </c>
      <c r="AJ62" s="4" t="n">
        <f aca="false">IF(X62="","",IF(X62&lt;=40,(50/40)*X62,IF(X62&lt;=80,50+((100-50)/(80-40))*(X62-40),IF(X62&lt;=380,100+((200-100)/(380-80))*(X62-80),IF(X62&lt;=800,200+((300-200)/(800-380))*(X62-380),IF(X62&lt;=1600,300+((400-300)/(1600-800))*(X62-800),IF(X62&lt;=2100,400+((500-400)/(2100-1600))*(X62-1600),500)))))))</f>
        <v>18.625</v>
      </c>
      <c r="AK62" s="4" t="n">
        <f aca="false">IF(Y62="","",IF(Y62&lt;=50,(50/50)*Y62,IF(Y62&lt;=100,50+((100-50)/(100-50))*(Y62-50),IF(Y62&lt;=168,100+((200-100)/(168-100))*(Y62-100),IF(Y62&lt;=208,200+((300-200)/(208-168))*(Y62-168),IF(Y62&lt;=748,300+((400-300)/(748-208))*(Y62-208),IF(Y62&lt;=1000,400+((500-400)/(1000-748))*(Y62-748),500)))))))</f>
        <v>96</v>
      </c>
      <c r="AL62" s="4" t="n">
        <f aca="false">ROUND(MAX(AF62,AG62,AH62,AI62,AJ62,AK62),0)</f>
        <v>96</v>
      </c>
      <c r="AM62" s="4" t="str">
        <f aca="false">IF(AL62="","",IF(AL62&lt;=50,"Good",IF(AL62&lt;=100,"Satisfactory",IF(AL62&lt;=200,"Moderate",IF(AL62&lt;=300,"Poor",IF(AL62&lt;=400,"Very Poor","Severe"))))))</f>
        <v>Satisfactory</v>
      </c>
    </row>
    <row r="63" customFormat="false" ht="15.75" hidden="false" customHeight="false" outlineLevel="0" collapsed="false">
      <c r="A63" s="1" t="s">
        <v>39</v>
      </c>
      <c r="B63" s="1" t="s">
        <v>40</v>
      </c>
      <c r="C63" s="1" t="n">
        <v>28.4595</v>
      </c>
      <c r="D63" s="1" t="n">
        <v>77.0266</v>
      </c>
      <c r="E63" s="5" t="n">
        <v>45903</v>
      </c>
      <c r="F63" s="6" t="s">
        <v>64</v>
      </c>
      <c r="G63" s="1" t="n">
        <v>9</v>
      </c>
      <c r="H63" s="7" t="s">
        <v>79</v>
      </c>
      <c r="I63" s="6" t="s">
        <v>43</v>
      </c>
      <c r="J63" s="7" t="s">
        <v>44</v>
      </c>
      <c r="K63" s="7" t="s">
        <v>65</v>
      </c>
      <c r="L63" s="1" t="n">
        <v>75</v>
      </c>
      <c r="M63" s="1" t="n">
        <v>24.3</v>
      </c>
      <c r="N63" s="1" t="n">
        <v>30.6</v>
      </c>
      <c r="O63" s="1" t="n">
        <v>0.9</v>
      </c>
      <c r="P63" s="6" t="s">
        <v>46</v>
      </c>
      <c r="Q63" s="6" t="s">
        <v>43</v>
      </c>
      <c r="R63" s="1" t="n">
        <v>1003.6</v>
      </c>
      <c r="S63" s="1" t="n">
        <v>78</v>
      </c>
      <c r="T63" s="1" t="n">
        <v>9.6</v>
      </c>
      <c r="U63" s="1" t="n">
        <v>9.6</v>
      </c>
      <c r="V63" s="1" t="n">
        <v>544</v>
      </c>
      <c r="W63" s="1" t="n">
        <v>14.1</v>
      </c>
      <c r="X63" s="1" t="n">
        <v>15.3</v>
      </c>
      <c r="Y63" s="1" t="n">
        <v>112</v>
      </c>
      <c r="Z63" s="1" t="n">
        <v>0</v>
      </c>
      <c r="AA63" s="1" t="n">
        <v>61</v>
      </c>
      <c r="AB63" s="7" t="s">
        <v>47</v>
      </c>
      <c r="AC63" s="7" t="s">
        <v>50</v>
      </c>
      <c r="AD63" s="6" t="s">
        <v>43</v>
      </c>
      <c r="AE63" s="6" t="s">
        <v>43</v>
      </c>
      <c r="AF63" s="4" t="n">
        <f aca="false">IF(T63="","",IF(T63&lt;=30,(50/30)*T63,IF(T63&lt;=60,50+((100-50)/(60-30))*(T63-30),IF(T63&lt;=90,100+((200-100)/(90-60))*(T63-60),IF(T63&lt;=120,200+((300-200)/(120-90))*(T63-90),IF(T63&lt;=250,300+((400-300)/(250-120))*(T63-120),IF(T63&lt;=380,400+((500-400)/(380-250))*(T63-250),500)))))))</f>
        <v>16</v>
      </c>
      <c r="AG63" s="4" t="n">
        <f aca="false">IF(U63="","",IF(U63&lt;=50,(50/50)*U63,IF(U63&lt;=100,50+((100-50)/(100-50))*(U63-50),IF(U63&lt;=250,100+((200-100)/(250-100))*(U63-100),IF(U63&lt;=350,200+((300-200)/(350-250))*(U63-250),IF(U63&lt;=430,300+((400-300)/(430-350))*(U63-350),IF(U63&lt;=600,400+((500-400)/(600-430))*(U63-430),500)))))))</f>
        <v>9.6</v>
      </c>
      <c r="AH63" s="4" t="n">
        <f aca="false">IF(V63="","",IF((V63/1000)&lt;=1,(50/1)*(V63/1000),IF((V63/1000)&lt;=2,50+((100-50)/(2-1))*(V63/1000-1),IF((V63/1000)&lt;=10,100+((200-100)/(10-2))*(V63/1000-2),IF((V63/1000)&lt;=17,200+((300-200)/(17-10))*(V63/1000-10),IF((V63/1000)&lt;=34,300+((400-300)/(34-17))*(V63/1000-17),IF((V63/1000)&lt;=57,400+((500-400)/(57-34))*(V63/1000-34),500)))))))</f>
        <v>27.2</v>
      </c>
      <c r="AI63" s="4" t="n">
        <f aca="false">IF(W63="","",IF(W63&lt;=40,(50/40)*W63,IF(W63&lt;=80,50+((100-50)/(80-40))*(W63-40),IF(W63&lt;=180,100+((200-100)/(180-80))*(W63-80),IF(W63&lt;=280,200+((300-200)/(280-180))*(W63-180),IF(W63&lt;=400,300+((400-300)/(400-280))*(W63-280),IF(W63&lt;=800,400+((500-400)/(800-400))*(W63-400),500)))))))</f>
        <v>17.625</v>
      </c>
      <c r="AJ63" s="4" t="n">
        <f aca="false">IF(X63="","",IF(X63&lt;=40,(50/40)*X63,IF(X63&lt;=80,50+((100-50)/(80-40))*(X63-40),IF(X63&lt;=380,100+((200-100)/(380-80))*(X63-80),IF(X63&lt;=800,200+((300-200)/(800-380))*(X63-380),IF(X63&lt;=1600,300+((400-300)/(1600-800))*(X63-800),IF(X63&lt;=2100,400+((500-400)/(2100-1600))*(X63-1600),500)))))))</f>
        <v>19.125</v>
      </c>
      <c r="AK63" s="4" t="n">
        <f aca="false">IF(Y63="","",IF(Y63&lt;=50,(50/50)*Y63,IF(Y63&lt;=100,50+((100-50)/(100-50))*(Y63-50),IF(Y63&lt;=168,100+((200-100)/(168-100))*(Y63-100),IF(Y63&lt;=208,200+((300-200)/(208-168))*(Y63-168),IF(Y63&lt;=748,300+((400-300)/(748-208))*(Y63-208),IF(Y63&lt;=1000,400+((500-400)/(1000-748))*(Y63-748),500)))))))</f>
        <v>117.647058823529</v>
      </c>
      <c r="AL63" s="4" t="n">
        <f aca="false">ROUND(MAX(AF63,AG63,AH63,AI63,AJ63,AK63),0)</f>
        <v>118</v>
      </c>
      <c r="AM63" s="4" t="str">
        <f aca="false">IF(AL63="","",IF(AL63&lt;=50,"Good",IF(AL63&lt;=100,"Satisfactory",IF(AL63&lt;=200,"Moderate",IF(AL63&lt;=300,"Poor",IF(AL63&lt;=400,"Very Poor","Severe"))))))</f>
        <v>Moderate</v>
      </c>
    </row>
    <row r="64" customFormat="false" ht="15.75" hidden="false" customHeight="false" outlineLevel="0" collapsed="false">
      <c r="A64" s="1" t="s">
        <v>39</v>
      </c>
      <c r="B64" s="1" t="s">
        <v>40</v>
      </c>
      <c r="C64" s="1" t="n">
        <v>28.4595</v>
      </c>
      <c r="D64" s="1" t="n">
        <v>77.0266</v>
      </c>
      <c r="E64" s="5" t="n">
        <v>45903</v>
      </c>
      <c r="F64" s="6" t="s">
        <v>66</v>
      </c>
      <c r="G64" s="1" t="n">
        <v>9</v>
      </c>
      <c r="H64" s="7" t="s">
        <v>79</v>
      </c>
      <c r="I64" s="6" t="s">
        <v>43</v>
      </c>
      <c r="J64" s="7" t="s">
        <v>44</v>
      </c>
      <c r="K64" s="7" t="s">
        <v>65</v>
      </c>
      <c r="L64" s="1" t="n">
        <v>82</v>
      </c>
      <c r="M64" s="1" t="n">
        <v>24.6</v>
      </c>
      <c r="N64" s="1" t="n">
        <v>32.8</v>
      </c>
      <c r="O64" s="1" t="n">
        <v>0.2</v>
      </c>
      <c r="P64" s="6" t="s">
        <v>46</v>
      </c>
      <c r="Q64" s="6" t="s">
        <v>43</v>
      </c>
      <c r="R64" s="1" t="n">
        <v>1002.8</v>
      </c>
      <c r="S64" s="1" t="n">
        <v>78</v>
      </c>
      <c r="T64" s="1" t="n">
        <v>11.6</v>
      </c>
      <c r="U64" s="1" t="n">
        <v>11.6</v>
      </c>
      <c r="V64" s="1" t="n">
        <v>605</v>
      </c>
      <c r="W64" s="1" t="n">
        <v>15.2</v>
      </c>
      <c r="X64" s="1" t="n">
        <v>16</v>
      </c>
      <c r="Y64" s="1" t="n">
        <v>120</v>
      </c>
      <c r="Z64" s="1" t="n">
        <v>0</v>
      </c>
      <c r="AA64" s="1" t="n">
        <v>61</v>
      </c>
      <c r="AB64" s="7" t="s">
        <v>47</v>
      </c>
      <c r="AC64" s="7" t="s">
        <v>50</v>
      </c>
      <c r="AD64" s="6" t="s">
        <v>43</v>
      </c>
      <c r="AE64" s="6" t="s">
        <v>43</v>
      </c>
      <c r="AF64" s="4" t="n">
        <f aca="false">IF(T64="","",IF(T64&lt;=30,(50/30)*T64,IF(T64&lt;=60,50+((100-50)/(60-30))*(T64-30),IF(T64&lt;=90,100+((200-100)/(90-60))*(T64-60),IF(T64&lt;=120,200+((300-200)/(120-90))*(T64-90),IF(T64&lt;=250,300+((400-300)/(250-120))*(T64-120),IF(T64&lt;=380,400+((500-400)/(380-250))*(T64-250),500)))))))</f>
        <v>19.3333333333333</v>
      </c>
      <c r="AG64" s="4" t="n">
        <f aca="false">IF(U64="","",IF(U64&lt;=50,(50/50)*U64,IF(U64&lt;=100,50+((100-50)/(100-50))*(U64-50),IF(U64&lt;=250,100+((200-100)/(250-100))*(U64-100),IF(U64&lt;=350,200+((300-200)/(350-250))*(U64-250),IF(U64&lt;=430,300+((400-300)/(430-350))*(U64-350),IF(U64&lt;=600,400+((500-400)/(600-430))*(U64-430),500)))))))</f>
        <v>11.6</v>
      </c>
      <c r="AH64" s="4" t="n">
        <f aca="false">IF(V64="","",IF((V64/1000)&lt;=1,(50/1)*(V64/1000),IF((V64/1000)&lt;=2,50+((100-50)/(2-1))*(V64/1000-1),IF((V64/1000)&lt;=10,100+((200-100)/(10-2))*(V64/1000-2),IF((V64/1000)&lt;=17,200+((300-200)/(17-10))*(V64/1000-10),IF((V64/1000)&lt;=34,300+((400-300)/(34-17))*(V64/1000-17),IF((V64/1000)&lt;=57,400+((500-400)/(57-34))*(V64/1000-34),500)))))))</f>
        <v>30.25</v>
      </c>
      <c r="AI64" s="4" t="n">
        <f aca="false">IF(W64="","",IF(W64&lt;=40,(50/40)*W64,IF(W64&lt;=80,50+((100-50)/(80-40))*(W64-40),IF(W64&lt;=180,100+((200-100)/(180-80))*(W64-80),IF(W64&lt;=280,200+((300-200)/(280-180))*(W64-180),IF(W64&lt;=400,300+((400-300)/(400-280))*(W64-280),IF(W64&lt;=800,400+((500-400)/(800-400))*(W64-400),500)))))))</f>
        <v>19</v>
      </c>
      <c r="AJ64" s="4" t="n">
        <f aca="false">IF(X64="","",IF(X64&lt;=40,(50/40)*X64,IF(X64&lt;=80,50+((100-50)/(80-40))*(X64-40),IF(X64&lt;=380,100+((200-100)/(380-80))*(X64-80),IF(X64&lt;=800,200+((300-200)/(800-380))*(X64-380),IF(X64&lt;=1600,300+((400-300)/(1600-800))*(X64-800),IF(X64&lt;=2100,400+((500-400)/(2100-1600))*(X64-1600),500)))))))</f>
        <v>20</v>
      </c>
      <c r="AK64" s="4" t="n">
        <f aca="false">IF(Y64="","",IF(Y64&lt;=50,(50/50)*Y64,IF(Y64&lt;=100,50+((100-50)/(100-50))*(Y64-50),IF(Y64&lt;=168,100+((200-100)/(168-100))*(Y64-100),IF(Y64&lt;=208,200+((300-200)/(208-168))*(Y64-168),IF(Y64&lt;=748,300+((400-300)/(748-208))*(Y64-208),IF(Y64&lt;=1000,400+((500-400)/(1000-748))*(Y64-748),500)))))))</f>
        <v>129.411764705882</v>
      </c>
      <c r="AL64" s="4" t="n">
        <f aca="false">ROUND(MAX(AF64,AG64,AH64,AI64,AJ64,AK64),0)</f>
        <v>129</v>
      </c>
      <c r="AM64" s="4" t="str">
        <f aca="false">IF(AL64="","",IF(AL64&lt;=50,"Good",IF(AL64&lt;=100,"Satisfactory",IF(AL64&lt;=200,"Moderate",IF(AL64&lt;=300,"Poor",IF(AL64&lt;=400,"Very Poor","Severe"))))))</f>
        <v>Moderate</v>
      </c>
    </row>
    <row r="65" customFormat="false" ht="15.75" hidden="false" customHeight="false" outlineLevel="0" collapsed="false">
      <c r="A65" s="1" t="s">
        <v>39</v>
      </c>
      <c r="B65" s="1" t="s">
        <v>40</v>
      </c>
      <c r="C65" s="1" t="n">
        <v>28.4595</v>
      </c>
      <c r="D65" s="1" t="n">
        <v>77.0266</v>
      </c>
      <c r="E65" s="5" t="n">
        <v>45903</v>
      </c>
      <c r="F65" s="6" t="s">
        <v>67</v>
      </c>
      <c r="G65" s="1" t="n">
        <v>9</v>
      </c>
      <c r="H65" s="7" t="s">
        <v>79</v>
      </c>
      <c r="I65" s="6" t="s">
        <v>43</v>
      </c>
      <c r="J65" s="7" t="s">
        <v>44</v>
      </c>
      <c r="K65" s="7" t="s">
        <v>65</v>
      </c>
      <c r="L65" s="1" t="n">
        <v>77</v>
      </c>
      <c r="M65" s="1" t="n">
        <v>24.7</v>
      </c>
      <c r="N65" s="1" t="n">
        <v>28.4</v>
      </c>
      <c r="O65" s="1" t="n">
        <v>0.2</v>
      </c>
      <c r="P65" s="6" t="s">
        <v>46</v>
      </c>
      <c r="Q65" s="6" t="s">
        <v>43</v>
      </c>
      <c r="R65" s="1" t="n">
        <v>1001.6</v>
      </c>
      <c r="S65" s="1" t="n">
        <v>99</v>
      </c>
      <c r="T65" s="1" t="n">
        <v>13</v>
      </c>
      <c r="U65" s="1" t="n">
        <v>13</v>
      </c>
      <c r="V65" s="1" t="n">
        <v>600</v>
      </c>
      <c r="W65" s="1" t="n">
        <v>16.8</v>
      </c>
      <c r="X65" s="1" t="n">
        <v>17.3</v>
      </c>
      <c r="Y65" s="1" t="n">
        <v>118</v>
      </c>
      <c r="Z65" s="1" t="n">
        <v>0</v>
      </c>
      <c r="AA65" s="1" t="n">
        <v>61</v>
      </c>
      <c r="AB65" s="7" t="s">
        <v>47</v>
      </c>
      <c r="AC65" s="7" t="s">
        <v>50</v>
      </c>
      <c r="AD65" s="6" t="s">
        <v>43</v>
      </c>
      <c r="AE65" s="6" t="s">
        <v>43</v>
      </c>
      <c r="AF65" s="4" t="n">
        <f aca="false">IF(T65="","",IF(T65&lt;=30,(50/30)*T65,IF(T65&lt;=60,50+((100-50)/(60-30))*(T65-30),IF(T65&lt;=90,100+((200-100)/(90-60))*(T65-60),IF(T65&lt;=120,200+((300-200)/(120-90))*(T65-90),IF(T65&lt;=250,300+((400-300)/(250-120))*(T65-120),IF(T65&lt;=380,400+((500-400)/(380-250))*(T65-250),500)))))))</f>
        <v>21.6666666666667</v>
      </c>
      <c r="AG65" s="4" t="n">
        <f aca="false">IF(U65="","",IF(U65&lt;=50,(50/50)*U65,IF(U65&lt;=100,50+((100-50)/(100-50))*(U65-50),IF(U65&lt;=250,100+((200-100)/(250-100))*(U65-100),IF(U65&lt;=350,200+((300-200)/(350-250))*(U65-250),IF(U65&lt;=430,300+((400-300)/(430-350))*(U65-350),IF(U65&lt;=600,400+((500-400)/(600-430))*(U65-430),500)))))))</f>
        <v>13</v>
      </c>
      <c r="AH65" s="4" t="n">
        <f aca="false">IF(V65="","",IF((V65/1000)&lt;=1,(50/1)*(V65/1000),IF((V65/1000)&lt;=2,50+((100-50)/(2-1))*(V65/1000-1),IF((V65/1000)&lt;=10,100+((200-100)/(10-2))*(V65/1000-2),IF((V65/1000)&lt;=17,200+((300-200)/(17-10))*(V65/1000-10),IF((V65/1000)&lt;=34,300+((400-300)/(34-17))*(V65/1000-17),IF((V65/1000)&lt;=57,400+((500-400)/(57-34))*(V65/1000-34),500)))))))</f>
        <v>30</v>
      </c>
      <c r="AI65" s="4" t="n">
        <f aca="false">IF(W65="","",IF(W65&lt;=40,(50/40)*W65,IF(W65&lt;=80,50+((100-50)/(80-40))*(W65-40),IF(W65&lt;=180,100+((200-100)/(180-80))*(W65-80),IF(W65&lt;=280,200+((300-200)/(280-180))*(W65-180),IF(W65&lt;=400,300+((400-300)/(400-280))*(W65-280),IF(W65&lt;=800,400+((500-400)/(800-400))*(W65-400),500)))))))</f>
        <v>21</v>
      </c>
      <c r="AJ65" s="4" t="n">
        <f aca="false">IF(X65="","",IF(X65&lt;=40,(50/40)*X65,IF(X65&lt;=80,50+((100-50)/(80-40))*(X65-40),IF(X65&lt;=380,100+((200-100)/(380-80))*(X65-80),IF(X65&lt;=800,200+((300-200)/(800-380))*(X65-380),IF(X65&lt;=1600,300+((400-300)/(1600-800))*(X65-800),IF(X65&lt;=2100,400+((500-400)/(2100-1600))*(X65-1600),500)))))))</f>
        <v>21.625</v>
      </c>
      <c r="AK65" s="4" t="n">
        <f aca="false">IF(Y65="","",IF(Y65&lt;=50,(50/50)*Y65,IF(Y65&lt;=100,50+((100-50)/(100-50))*(Y65-50),IF(Y65&lt;=168,100+((200-100)/(168-100))*(Y65-100),IF(Y65&lt;=208,200+((300-200)/(208-168))*(Y65-168),IF(Y65&lt;=748,300+((400-300)/(748-208))*(Y65-208),IF(Y65&lt;=1000,400+((500-400)/(1000-748))*(Y65-748),500)))))))</f>
        <v>126.470588235294</v>
      </c>
      <c r="AL65" s="4" t="n">
        <f aca="false">ROUND(MAX(AF65,AG65,AH65,AI65,AJ65,AK65),0)</f>
        <v>126</v>
      </c>
      <c r="AM65" s="4" t="str">
        <f aca="false">IF(AL65="","",IF(AL65&lt;=50,"Good",IF(AL65&lt;=100,"Satisfactory",IF(AL65&lt;=200,"Moderate",IF(AL65&lt;=300,"Poor",IF(AL65&lt;=400,"Very Poor","Severe"))))))</f>
        <v>Moderate</v>
      </c>
    </row>
    <row r="66" customFormat="false" ht="15.75" hidden="false" customHeight="false" outlineLevel="0" collapsed="false">
      <c r="A66" s="1" t="s">
        <v>39</v>
      </c>
      <c r="B66" s="1" t="s">
        <v>40</v>
      </c>
      <c r="C66" s="1" t="n">
        <v>28.4595</v>
      </c>
      <c r="D66" s="1" t="n">
        <v>77.0266</v>
      </c>
      <c r="E66" s="5" t="n">
        <v>45903</v>
      </c>
      <c r="F66" s="6" t="s">
        <v>68</v>
      </c>
      <c r="G66" s="1" t="n">
        <v>9</v>
      </c>
      <c r="H66" s="7" t="s">
        <v>79</v>
      </c>
      <c r="I66" s="6" t="s">
        <v>43</v>
      </c>
      <c r="J66" s="7" t="s">
        <v>44</v>
      </c>
      <c r="K66" s="7" t="s">
        <v>65</v>
      </c>
      <c r="L66" s="1" t="n">
        <v>77</v>
      </c>
      <c r="M66" s="1" t="n">
        <v>24.4</v>
      </c>
      <c r="N66" s="1" t="n">
        <v>25.6</v>
      </c>
      <c r="O66" s="1" t="n">
        <v>0.1</v>
      </c>
      <c r="P66" s="6" t="s">
        <v>46</v>
      </c>
      <c r="Q66" s="6" t="s">
        <v>43</v>
      </c>
      <c r="R66" s="1" t="n">
        <v>1001.3</v>
      </c>
      <c r="S66" s="1" t="n">
        <v>100</v>
      </c>
      <c r="T66" s="1" t="n">
        <v>14.5</v>
      </c>
      <c r="U66" s="1" t="n">
        <v>14.5</v>
      </c>
      <c r="V66" s="1" t="n">
        <v>579</v>
      </c>
      <c r="W66" s="1" t="n">
        <v>19.6</v>
      </c>
      <c r="X66" s="1" t="n">
        <v>19</v>
      </c>
      <c r="Y66" s="1" t="n">
        <v>109</v>
      </c>
      <c r="Z66" s="1" t="n">
        <v>0</v>
      </c>
      <c r="AA66" s="1" t="n">
        <v>61</v>
      </c>
      <c r="AB66" s="7" t="s">
        <v>47</v>
      </c>
      <c r="AC66" s="7" t="s">
        <v>50</v>
      </c>
      <c r="AD66" s="6" t="s">
        <v>43</v>
      </c>
      <c r="AE66" s="6" t="s">
        <v>43</v>
      </c>
      <c r="AF66" s="4" t="n">
        <f aca="false">IF(T66="","",IF(T66&lt;=30,(50/30)*T66,IF(T66&lt;=60,50+((100-50)/(60-30))*(T66-30),IF(T66&lt;=90,100+((200-100)/(90-60))*(T66-60),IF(T66&lt;=120,200+((300-200)/(120-90))*(T66-90),IF(T66&lt;=250,300+((400-300)/(250-120))*(T66-120),IF(T66&lt;=380,400+((500-400)/(380-250))*(T66-250),500)))))))</f>
        <v>24.1666666666667</v>
      </c>
      <c r="AG66" s="4" t="n">
        <f aca="false">IF(U66="","",IF(U66&lt;=50,(50/50)*U66,IF(U66&lt;=100,50+((100-50)/(100-50))*(U66-50),IF(U66&lt;=250,100+((200-100)/(250-100))*(U66-100),IF(U66&lt;=350,200+((300-200)/(350-250))*(U66-250),IF(U66&lt;=430,300+((400-300)/(430-350))*(U66-350),IF(U66&lt;=600,400+((500-400)/(600-430))*(U66-430),500)))))))</f>
        <v>14.5</v>
      </c>
      <c r="AH66" s="4" t="n">
        <f aca="false">IF(V66="","",IF((V66/1000)&lt;=1,(50/1)*(V66/1000),IF((V66/1000)&lt;=2,50+((100-50)/(2-1))*(V66/1000-1),IF((V66/1000)&lt;=10,100+((200-100)/(10-2))*(V66/1000-2),IF((V66/1000)&lt;=17,200+((300-200)/(17-10))*(V66/1000-10),IF((V66/1000)&lt;=34,300+((400-300)/(34-17))*(V66/1000-17),IF((V66/1000)&lt;=57,400+((500-400)/(57-34))*(V66/1000-34),500)))))))</f>
        <v>28.95</v>
      </c>
      <c r="AI66" s="4" t="n">
        <f aca="false">IF(W66="","",IF(W66&lt;=40,(50/40)*W66,IF(W66&lt;=80,50+((100-50)/(80-40))*(W66-40),IF(W66&lt;=180,100+((200-100)/(180-80))*(W66-80),IF(W66&lt;=280,200+((300-200)/(280-180))*(W66-180),IF(W66&lt;=400,300+((400-300)/(400-280))*(W66-280),IF(W66&lt;=800,400+((500-400)/(800-400))*(W66-400),500)))))))</f>
        <v>24.5</v>
      </c>
      <c r="AJ66" s="4" t="n">
        <f aca="false">IF(X66="","",IF(X66&lt;=40,(50/40)*X66,IF(X66&lt;=80,50+((100-50)/(80-40))*(X66-40),IF(X66&lt;=380,100+((200-100)/(380-80))*(X66-80),IF(X66&lt;=800,200+((300-200)/(800-380))*(X66-380),IF(X66&lt;=1600,300+((400-300)/(1600-800))*(X66-800),IF(X66&lt;=2100,400+((500-400)/(2100-1600))*(X66-1600),500)))))))</f>
        <v>23.75</v>
      </c>
      <c r="AK66" s="4" t="n">
        <f aca="false">IF(Y66="","",IF(Y66&lt;=50,(50/50)*Y66,IF(Y66&lt;=100,50+((100-50)/(100-50))*(Y66-50),IF(Y66&lt;=168,100+((200-100)/(168-100))*(Y66-100),IF(Y66&lt;=208,200+((300-200)/(208-168))*(Y66-168),IF(Y66&lt;=748,300+((400-300)/(748-208))*(Y66-208),IF(Y66&lt;=1000,400+((500-400)/(1000-748))*(Y66-748),500)))))))</f>
        <v>113.235294117647</v>
      </c>
      <c r="AL66" s="4" t="n">
        <f aca="false">ROUND(MAX(AF66,AG66,AH66,AI66,AJ66,AK66),0)</f>
        <v>113</v>
      </c>
      <c r="AM66" s="4" t="str">
        <f aca="false">IF(AL66="","",IF(AL66&lt;=50,"Good",IF(AL66&lt;=100,"Satisfactory",IF(AL66&lt;=200,"Moderate",IF(AL66&lt;=300,"Poor",IF(AL66&lt;=400,"Very Poor","Severe"))))))</f>
        <v>Moderate</v>
      </c>
    </row>
    <row r="67" customFormat="false" ht="15.75" hidden="false" customHeight="false" outlineLevel="0" collapsed="false">
      <c r="A67" s="1" t="s">
        <v>39</v>
      </c>
      <c r="B67" s="1" t="s">
        <v>40</v>
      </c>
      <c r="C67" s="1" t="n">
        <v>28.4595</v>
      </c>
      <c r="D67" s="1" t="n">
        <v>77.0266</v>
      </c>
      <c r="E67" s="5" t="n">
        <v>45903</v>
      </c>
      <c r="F67" s="6" t="s">
        <v>69</v>
      </c>
      <c r="G67" s="1" t="n">
        <v>9</v>
      </c>
      <c r="H67" s="7" t="s">
        <v>79</v>
      </c>
      <c r="I67" s="6" t="s">
        <v>43</v>
      </c>
      <c r="J67" s="7" t="s">
        <v>44</v>
      </c>
      <c r="K67" s="7" t="s">
        <v>65</v>
      </c>
      <c r="L67" s="1" t="n">
        <v>82</v>
      </c>
      <c r="M67" s="1" t="n">
        <v>24.8</v>
      </c>
      <c r="N67" s="1" t="n">
        <v>25.2</v>
      </c>
      <c r="O67" s="1" t="n">
        <v>0</v>
      </c>
      <c r="P67" s="6" t="s">
        <v>43</v>
      </c>
      <c r="Q67" s="6" t="s">
        <v>43</v>
      </c>
      <c r="R67" s="1" t="n">
        <v>1001.2</v>
      </c>
      <c r="S67" s="1" t="n">
        <v>100</v>
      </c>
      <c r="T67" s="1" t="n">
        <v>27.2</v>
      </c>
      <c r="U67" s="1" t="n">
        <v>27.3</v>
      </c>
      <c r="V67" s="1" t="n">
        <v>635</v>
      </c>
      <c r="W67" s="1" t="n">
        <v>33</v>
      </c>
      <c r="X67" s="1" t="n">
        <v>22.1</v>
      </c>
      <c r="Y67" s="1" t="n">
        <v>86</v>
      </c>
      <c r="Z67" s="1" t="n">
        <v>0</v>
      </c>
      <c r="AA67" s="1" t="n">
        <v>61</v>
      </c>
      <c r="AB67" s="7" t="s">
        <v>47</v>
      </c>
      <c r="AC67" s="7" t="s">
        <v>50</v>
      </c>
      <c r="AD67" s="6" t="s">
        <v>43</v>
      </c>
      <c r="AE67" s="6" t="s">
        <v>43</v>
      </c>
      <c r="AF67" s="4" t="n">
        <f aca="false">IF(T67="","",IF(T67&lt;=30,(50/30)*T67,IF(T67&lt;=60,50+((100-50)/(60-30))*(T67-30),IF(T67&lt;=90,100+((200-100)/(90-60))*(T67-60),IF(T67&lt;=120,200+((300-200)/(120-90))*(T67-90),IF(T67&lt;=250,300+((400-300)/(250-120))*(T67-120),IF(T67&lt;=380,400+((500-400)/(380-250))*(T67-250),500)))))))</f>
        <v>45.3333333333333</v>
      </c>
      <c r="AG67" s="4" t="n">
        <f aca="false">IF(U67="","",IF(U67&lt;=50,(50/50)*U67,IF(U67&lt;=100,50+((100-50)/(100-50))*(U67-50),IF(U67&lt;=250,100+((200-100)/(250-100))*(U67-100),IF(U67&lt;=350,200+((300-200)/(350-250))*(U67-250),IF(U67&lt;=430,300+((400-300)/(430-350))*(U67-350),IF(U67&lt;=600,400+((500-400)/(600-430))*(U67-430),500)))))))</f>
        <v>27.3</v>
      </c>
      <c r="AH67" s="4" t="n">
        <f aca="false">IF(V67="","",IF((V67/1000)&lt;=1,(50/1)*(V67/1000),IF((V67/1000)&lt;=2,50+((100-50)/(2-1))*(V67/1000-1),IF((V67/1000)&lt;=10,100+((200-100)/(10-2))*(V67/1000-2),IF((V67/1000)&lt;=17,200+((300-200)/(17-10))*(V67/1000-10),IF((V67/1000)&lt;=34,300+((400-300)/(34-17))*(V67/1000-17),IF((V67/1000)&lt;=57,400+((500-400)/(57-34))*(V67/1000-34),500)))))))</f>
        <v>31.75</v>
      </c>
      <c r="AI67" s="4" t="n">
        <f aca="false">IF(W67="","",IF(W67&lt;=40,(50/40)*W67,IF(W67&lt;=80,50+((100-50)/(80-40))*(W67-40),IF(W67&lt;=180,100+((200-100)/(180-80))*(W67-80),IF(W67&lt;=280,200+((300-200)/(280-180))*(W67-180),IF(W67&lt;=400,300+((400-300)/(400-280))*(W67-280),IF(W67&lt;=800,400+((500-400)/(800-400))*(W67-400),500)))))))</f>
        <v>41.25</v>
      </c>
      <c r="AJ67" s="4" t="n">
        <f aca="false">IF(X67="","",IF(X67&lt;=40,(50/40)*X67,IF(X67&lt;=80,50+((100-50)/(80-40))*(X67-40),IF(X67&lt;=380,100+((200-100)/(380-80))*(X67-80),IF(X67&lt;=800,200+((300-200)/(800-380))*(X67-380),IF(X67&lt;=1600,300+((400-300)/(1600-800))*(X67-800),IF(X67&lt;=2100,400+((500-400)/(2100-1600))*(X67-1600),500)))))))</f>
        <v>27.625</v>
      </c>
      <c r="AK67" s="4" t="n">
        <f aca="false">IF(Y67="","",IF(Y67&lt;=50,(50/50)*Y67,IF(Y67&lt;=100,50+((100-50)/(100-50))*(Y67-50),IF(Y67&lt;=168,100+((200-100)/(168-100))*(Y67-100),IF(Y67&lt;=208,200+((300-200)/(208-168))*(Y67-168),IF(Y67&lt;=748,300+((400-300)/(748-208))*(Y67-208),IF(Y67&lt;=1000,400+((500-400)/(1000-748))*(Y67-748),500)))))))</f>
        <v>86</v>
      </c>
      <c r="AL67" s="4" t="n">
        <f aca="false">ROUND(MAX(AF67,AG67,AH67,AI67,AJ67,AK67),0)</f>
        <v>86</v>
      </c>
      <c r="AM67" s="4" t="str">
        <f aca="false">IF(AL67="","",IF(AL67&lt;=50,"Good",IF(AL67&lt;=100,"Satisfactory",IF(AL67&lt;=200,"Moderate",IF(AL67&lt;=300,"Poor",IF(AL67&lt;=400,"Very Poor","Severe"))))))</f>
        <v>Satisfactory</v>
      </c>
    </row>
    <row r="68" customFormat="false" ht="15.75" hidden="false" customHeight="false" outlineLevel="0" collapsed="false">
      <c r="A68" s="1" t="s">
        <v>39</v>
      </c>
      <c r="B68" s="1" t="s">
        <v>40</v>
      </c>
      <c r="C68" s="1" t="n">
        <v>28.4595</v>
      </c>
      <c r="D68" s="1" t="n">
        <v>77.0266</v>
      </c>
      <c r="E68" s="5" t="n">
        <v>45903</v>
      </c>
      <c r="F68" s="6" t="s">
        <v>70</v>
      </c>
      <c r="G68" s="1" t="n">
        <v>9</v>
      </c>
      <c r="H68" s="7" t="s">
        <v>79</v>
      </c>
      <c r="I68" s="6" t="s">
        <v>43</v>
      </c>
      <c r="J68" s="7" t="s">
        <v>44</v>
      </c>
      <c r="K68" s="7" t="s">
        <v>71</v>
      </c>
      <c r="L68" s="1" t="n">
        <v>86</v>
      </c>
      <c r="M68" s="1" t="n">
        <v>23.9</v>
      </c>
      <c r="N68" s="1" t="n">
        <v>27.4</v>
      </c>
      <c r="O68" s="1" t="n">
        <v>0</v>
      </c>
      <c r="P68" s="6" t="s">
        <v>43</v>
      </c>
      <c r="Q68" s="6" t="s">
        <v>43</v>
      </c>
      <c r="R68" s="1" t="n">
        <v>1002.7</v>
      </c>
      <c r="S68" s="1" t="n">
        <v>100</v>
      </c>
      <c r="T68" s="1" t="n">
        <v>26.5</v>
      </c>
      <c r="U68" s="1" t="n">
        <v>26.5</v>
      </c>
      <c r="V68" s="1" t="n">
        <v>864</v>
      </c>
      <c r="W68" s="1" t="n">
        <v>32.3</v>
      </c>
      <c r="X68" s="1" t="n">
        <v>20.5</v>
      </c>
      <c r="Y68" s="1" t="n">
        <v>75</v>
      </c>
      <c r="Z68" s="1" t="n">
        <v>0</v>
      </c>
      <c r="AA68" s="1" t="n">
        <v>61</v>
      </c>
      <c r="AB68" s="7" t="s">
        <v>47</v>
      </c>
      <c r="AC68" s="7" t="s">
        <v>50</v>
      </c>
      <c r="AD68" s="6" t="s">
        <v>43</v>
      </c>
      <c r="AE68" s="6" t="s">
        <v>43</v>
      </c>
      <c r="AF68" s="4" t="n">
        <f aca="false">IF(T68="","",IF(T68&lt;=30,(50/30)*T68,IF(T68&lt;=60,50+((100-50)/(60-30))*(T68-30),IF(T68&lt;=90,100+((200-100)/(90-60))*(T68-60),IF(T68&lt;=120,200+((300-200)/(120-90))*(T68-90),IF(T68&lt;=250,300+((400-300)/(250-120))*(T68-120),IF(T68&lt;=380,400+((500-400)/(380-250))*(T68-250),500)))))))</f>
        <v>44.1666666666667</v>
      </c>
      <c r="AG68" s="4" t="n">
        <f aca="false">IF(U68="","",IF(U68&lt;=50,(50/50)*U68,IF(U68&lt;=100,50+((100-50)/(100-50))*(U68-50),IF(U68&lt;=250,100+((200-100)/(250-100))*(U68-100),IF(U68&lt;=350,200+((300-200)/(350-250))*(U68-250),IF(U68&lt;=430,300+((400-300)/(430-350))*(U68-350),IF(U68&lt;=600,400+((500-400)/(600-430))*(U68-430),500)))))))</f>
        <v>26.5</v>
      </c>
      <c r="AH68" s="4" t="n">
        <f aca="false">IF(V68="","",IF((V68/1000)&lt;=1,(50/1)*(V68/1000),IF((V68/1000)&lt;=2,50+((100-50)/(2-1))*(V68/1000-1),IF((V68/1000)&lt;=10,100+((200-100)/(10-2))*(V68/1000-2),IF((V68/1000)&lt;=17,200+((300-200)/(17-10))*(V68/1000-10),IF((V68/1000)&lt;=34,300+((400-300)/(34-17))*(V68/1000-17),IF((V68/1000)&lt;=57,400+((500-400)/(57-34))*(V68/1000-34),500)))))))</f>
        <v>43.2</v>
      </c>
      <c r="AI68" s="4" t="n">
        <f aca="false">IF(W68="","",IF(W68&lt;=40,(50/40)*W68,IF(W68&lt;=80,50+((100-50)/(80-40))*(W68-40),IF(W68&lt;=180,100+((200-100)/(180-80))*(W68-80),IF(W68&lt;=280,200+((300-200)/(280-180))*(W68-180),IF(W68&lt;=400,300+((400-300)/(400-280))*(W68-280),IF(W68&lt;=800,400+((500-400)/(800-400))*(W68-400),500)))))))</f>
        <v>40.375</v>
      </c>
      <c r="AJ68" s="4" t="n">
        <f aca="false">IF(X68="","",IF(X68&lt;=40,(50/40)*X68,IF(X68&lt;=80,50+((100-50)/(80-40))*(X68-40),IF(X68&lt;=380,100+((200-100)/(380-80))*(X68-80),IF(X68&lt;=800,200+((300-200)/(800-380))*(X68-380),IF(X68&lt;=1600,300+((400-300)/(1600-800))*(X68-800),IF(X68&lt;=2100,400+((500-400)/(2100-1600))*(X68-1600),500)))))))</f>
        <v>25.625</v>
      </c>
      <c r="AK68" s="4" t="n">
        <f aca="false">IF(Y68="","",IF(Y68&lt;=50,(50/50)*Y68,IF(Y68&lt;=100,50+((100-50)/(100-50))*(Y68-50),IF(Y68&lt;=168,100+((200-100)/(168-100))*(Y68-100),IF(Y68&lt;=208,200+((300-200)/(208-168))*(Y68-168),IF(Y68&lt;=748,300+((400-300)/(748-208))*(Y68-208),IF(Y68&lt;=1000,400+((500-400)/(1000-748))*(Y68-748),500)))))))</f>
        <v>75</v>
      </c>
      <c r="AL68" s="4" t="n">
        <f aca="false">ROUND(MAX(AF68,AG68,AH68,AI68,AJ68,AK68),0)</f>
        <v>75</v>
      </c>
      <c r="AM68" s="4" t="str">
        <f aca="false">IF(AL68="","",IF(AL68&lt;=50,"Good",IF(AL68&lt;=100,"Satisfactory",IF(AL68&lt;=200,"Moderate",IF(AL68&lt;=300,"Poor",IF(AL68&lt;=400,"Very Poor","Severe"))))))</f>
        <v>Satisfactory</v>
      </c>
    </row>
    <row r="69" customFormat="false" ht="15.75" hidden="false" customHeight="false" outlineLevel="0" collapsed="false">
      <c r="A69" s="1" t="s">
        <v>39</v>
      </c>
      <c r="B69" s="1" t="s">
        <v>40</v>
      </c>
      <c r="C69" s="1" t="n">
        <v>28.4595</v>
      </c>
      <c r="D69" s="1" t="n">
        <v>77.0266</v>
      </c>
      <c r="E69" s="5" t="n">
        <v>45903</v>
      </c>
      <c r="F69" s="6" t="s">
        <v>72</v>
      </c>
      <c r="G69" s="1" t="n">
        <v>9</v>
      </c>
      <c r="H69" s="7" t="s">
        <v>79</v>
      </c>
      <c r="I69" s="6" t="s">
        <v>43</v>
      </c>
      <c r="J69" s="7" t="s">
        <v>44</v>
      </c>
      <c r="K69" s="7" t="s">
        <v>71</v>
      </c>
      <c r="L69" s="1" t="n">
        <v>85</v>
      </c>
      <c r="M69" s="1" t="n">
        <v>23.3</v>
      </c>
      <c r="N69" s="1" t="n">
        <v>23.4</v>
      </c>
      <c r="O69" s="1" t="n">
        <v>0</v>
      </c>
      <c r="P69" s="6" t="s">
        <v>43</v>
      </c>
      <c r="Q69" s="6" t="s">
        <v>43</v>
      </c>
      <c r="R69" s="1" t="n">
        <v>1003.3</v>
      </c>
      <c r="S69" s="1" t="n">
        <v>100</v>
      </c>
      <c r="T69" s="1" t="n">
        <v>25.6</v>
      </c>
      <c r="U69" s="1" t="n">
        <v>25.6</v>
      </c>
      <c r="V69" s="1" t="n">
        <v>1170</v>
      </c>
      <c r="W69" s="1" t="n">
        <v>31.5</v>
      </c>
      <c r="X69" s="1" t="n">
        <v>18.4</v>
      </c>
      <c r="Y69" s="1" t="n">
        <v>60</v>
      </c>
      <c r="Z69" s="1" t="n">
        <v>0</v>
      </c>
      <c r="AA69" s="1" t="n">
        <v>61</v>
      </c>
      <c r="AB69" s="7" t="s">
        <v>47</v>
      </c>
      <c r="AC69" s="7" t="s">
        <v>50</v>
      </c>
      <c r="AD69" s="6" t="s">
        <v>43</v>
      </c>
      <c r="AE69" s="6" t="s">
        <v>43</v>
      </c>
      <c r="AF69" s="4" t="n">
        <f aca="false">IF(T69="","",IF(T69&lt;=30,(50/30)*T69,IF(T69&lt;=60,50+((100-50)/(60-30))*(T69-30),IF(T69&lt;=90,100+((200-100)/(90-60))*(T69-60),IF(T69&lt;=120,200+((300-200)/(120-90))*(T69-90),IF(T69&lt;=250,300+((400-300)/(250-120))*(T69-120),IF(T69&lt;=380,400+((500-400)/(380-250))*(T69-250),500)))))))</f>
        <v>42.6666666666667</v>
      </c>
      <c r="AG69" s="4" t="n">
        <f aca="false">IF(U69="","",IF(U69&lt;=50,(50/50)*U69,IF(U69&lt;=100,50+((100-50)/(100-50))*(U69-50),IF(U69&lt;=250,100+((200-100)/(250-100))*(U69-100),IF(U69&lt;=350,200+((300-200)/(350-250))*(U69-250),IF(U69&lt;=430,300+((400-300)/(430-350))*(U69-350),IF(U69&lt;=600,400+((500-400)/(600-430))*(U69-430),500)))))))</f>
        <v>25.6</v>
      </c>
      <c r="AH69" s="4" t="n">
        <f aca="false">IF(V69="","",IF((V69/1000)&lt;=1,(50/1)*(V69/1000),IF((V69/1000)&lt;=2,50+((100-50)/(2-1))*(V69/1000-1),IF((V69/1000)&lt;=10,100+((200-100)/(10-2))*(V69/1000-2),IF((V69/1000)&lt;=17,200+((300-200)/(17-10))*(V69/1000-10),IF((V69/1000)&lt;=34,300+((400-300)/(34-17))*(V69/1000-17),IF((V69/1000)&lt;=57,400+((500-400)/(57-34))*(V69/1000-34),500)))))))</f>
        <v>58.5</v>
      </c>
      <c r="AI69" s="4" t="n">
        <f aca="false">IF(W69="","",IF(W69&lt;=40,(50/40)*W69,IF(W69&lt;=80,50+((100-50)/(80-40))*(W69-40),IF(W69&lt;=180,100+((200-100)/(180-80))*(W69-80),IF(W69&lt;=280,200+((300-200)/(280-180))*(W69-180),IF(W69&lt;=400,300+((400-300)/(400-280))*(W69-280),IF(W69&lt;=800,400+((500-400)/(800-400))*(W69-400),500)))))))</f>
        <v>39.375</v>
      </c>
      <c r="AJ69" s="4" t="n">
        <f aca="false">IF(X69="","",IF(X69&lt;=40,(50/40)*X69,IF(X69&lt;=80,50+((100-50)/(80-40))*(X69-40),IF(X69&lt;=380,100+((200-100)/(380-80))*(X69-80),IF(X69&lt;=800,200+((300-200)/(800-380))*(X69-380),IF(X69&lt;=1600,300+((400-300)/(1600-800))*(X69-800),IF(X69&lt;=2100,400+((500-400)/(2100-1600))*(X69-1600),500)))))))</f>
        <v>23</v>
      </c>
      <c r="AK69" s="4" t="n">
        <f aca="false">IF(Y69="","",IF(Y69&lt;=50,(50/50)*Y69,IF(Y69&lt;=100,50+((100-50)/(100-50))*(Y69-50),IF(Y69&lt;=168,100+((200-100)/(168-100))*(Y69-100),IF(Y69&lt;=208,200+((300-200)/(208-168))*(Y69-168),IF(Y69&lt;=748,300+((400-300)/(748-208))*(Y69-208),IF(Y69&lt;=1000,400+((500-400)/(1000-748))*(Y69-748),500)))))))</f>
        <v>60</v>
      </c>
      <c r="AL69" s="4" t="n">
        <f aca="false">ROUND(MAX(AF69,AG69,AH69,AI69,AJ69,AK69),0)</f>
        <v>60</v>
      </c>
      <c r="AM69" s="4" t="str">
        <f aca="false">IF(AL69="","",IF(AL69&lt;=50,"Good",IF(AL69&lt;=100,"Satisfactory",IF(AL69&lt;=200,"Moderate",IF(AL69&lt;=300,"Poor",IF(AL69&lt;=400,"Very Poor","Severe"))))))</f>
        <v>Satisfactory</v>
      </c>
    </row>
    <row r="70" customFormat="false" ht="15.75" hidden="false" customHeight="false" outlineLevel="0" collapsed="false">
      <c r="A70" s="1" t="s">
        <v>39</v>
      </c>
      <c r="B70" s="1" t="s">
        <v>40</v>
      </c>
      <c r="C70" s="1" t="n">
        <v>28.4595</v>
      </c>
      <c r="D70" s="1" t="n">
        <v>77.0266</v>
      </c>
      <c r="E70" s="5" t="n">
        <v>45903</v>
      </c>
      <c r="F70" s="6" t="s">
        <v>73</v>
      </c>
      <c r="G70" s="1" t="n">
        <v>9</v>
      </c>
      <c r="H70" s="7" t="s">
        <v>79</v>
      </c>
      <c r="I70" s="6" t="s">
        <v>43</v>
      </c>
      <c r="J70" s="7" t="s">
        <v>44</v>
      </c>
      <c r="K70" s="7" t="s">
        <v>71</v>
      </c>
      <c r="L70" s="1" t="n">
        <v>85</v>
      </c>
      <c r="M70" s="1" t="n">
        <v>23</v>
      </c>
      <c r="N70" s="1" t="n">
        <v>22</v>
      </c>
      <c r="O70" s="1" t="n">
        <v>0</v>
      </c>
      <c r="P70" s="6" t="s">
        <v>43</v>
      </c>
      <c r="Q70" s="6" t="s">
        <v>43</v>
      </c>
      <c r="R70" s="1" t="n">
        <v>1004.2</v>
      </c>
      <c r="S70" s="1" t="n">
        <v>100</v>
      </c>
      <c r="T70" s="1" t="n">
        <v>24.3</v>
      </c>
      <c r="U70" s="1" t="n">
        <v>24.3</v>
      </c>
      <c r="V70" s="1" t="n">
        <v>1360</v>
      </c>
      <c r="W70" s="1" t="n">
        <v>32</v>
      </c>
      <c r="X70" s="1" t="n">
        <v>17.1</v>
      </c>
      <c r="Y70" s="1" t="n">
        <v>47</v>
      </c>
      <c r="Z70" s="1" t="n">
        <v>0</v>
      </c>
      <c r="AA70" s="1" t="n">
        <v>61</v>
      </c>
      <c r="AB70" s="7" t="s">
        <v>47</v>
      </c>
      <c r="AC70" s="7" t="s">
        <v>50</v>
      </c>
      <c r="AD70" s="6" t="s">
        <v>43</v>
      </c>
      <c r="AE70" s="6" t="s">
        <v>43</v>
      </c>
      <c r="AF70" s="4" t="n">
        <f aca="false">IF(T70="","",IF(T70&lt;=30,(50/30)*T70,IF(T70&lt;=60,50+((100-50)/(60-30))*(T70-30),IF(T70&lt;=90,100+((200-100)/(90-60))*(T70-60),IF(T70&lt;=120,200+((300-200)/(120-90))*(T70-90),IF(T70&lt;=250,300+((400-300)/(250-120))*(T70-120),IF(T70&lt;=380,400+((500-400)/(380-250))*(T70-250),500)))))))</f>
        <v>40.5</v>
      </c>
      <c r="AG70" s="4" t="n">
        <f aca="false">IF(U70="","",IF(U70&lt;=50,(50/50)*U70,IF(U70&lt;=100,50+((100-50)/(100-50))*(U70-50),IF(U70&lt;=250,100+((200-100)/(250-100))*(U70-100),IF(U70&lt;=350,200+((300-200)/(350-250))*(U70-250),IF(U70&lt;=430,300+((400-300)/(430-350))*(U70-350),IF(U70&lt;=600,400+((500-400)/(600-430))*(U70-430),500)))))))</f>
        <v>24.3</v>
      </c>
      <c r="AH70" s="4" t="n">
        <f aca="false">IF(V70="","",IF((V70/1000)&lt;=1,(50/1)*(V70/1000),IF((V70/1000)&lt;=2,50+((100-50)/(2-1))*(V70/1000-1),IF((V70/1000)&lt;=10,100+((200-100)/(10-2))*(V70/1000-2),IF((V70/1000)&lt;=17,200+((300-200)/(17-10))*(V70/1000-10),IF((V70/1000)&lt;=34,300+((400-300)/(34-17))*(V70/1000-17),IF((V70/1000)&lt;=57,400+((500-400)/(57-34))*(V70/1000-34),500)))))))</f>
        <v>68</v>
      </c>
      <c r="AI70" s="4" t="n">
        <f aca="false">IF(W70="","",IF(W70&lt;=40,(50/40)*W70,IF(W70&lt;=80,50+((100-50)/(80-40))*(W70-40),IF(W70&lt;=180,100+((200-100)/(180-80))*(W70-80),IF(W70&lt;=280,200+((300-200)/(280-180))*(W70-180),IF(W70&lt;=400,300+((400-300)/(400-280))*(W70-280),IF(W70&lt;=800,400+((500-400)/(800-400))*(W70-400),500)))))))</f>
        <v>40</v>
      </c>
      <c r="AJ70" s="4" t="n">
        <f aca="false">IF(X70="","",IF(X70&lt;=40,(50/40)*X70,IF(X70&lt;=80,50+((100-50)/(80-40))*(X70-40),IF(X70&lt;=380,100+((200-100)/(380-80))*(X70-80),IF(X70&lt;=800,200+((300-200)/(800-380))*(X70-380),IF(X70&lt;=1600,300+((400-300)/(1600-800))*(X70-800),IF(X70&lt;=2100,400+((500-400)/(2100-1600))*(X70-1600),500)))))))</f>
        <v>21.375</v>
      </c>
      <c r="AK70" s="4" t="n">
        <f aca="false">IF(Y70="","",IF(Y70&lt;=50,(50/50)*Y70,IF(Y70&lt;=100,50+((100-50)/(100-50))*(Y70-50),IF(Y70&lt;=168,100+((200-100)/(168-100))*(Y70-100),IF(Y70&lt;=208,200+((300-200)/(208-168))*(Y70-168),IF(Y70&lt;=748,300+((400-300)/(748-208))*(Y70-208),IF(Y70&lt;=1000,400+((500-400)/(1000-748))*(Y70-748),500)))))))</f>
        <v>47</v>
      </c>
      <c r="AL70" s="4" t="n">
        <f aca="false">ROUND(MAX(AF70,AG70,AH70,AI70,AJ70,AK70),0)</f>
        <v>68</v>
      </c>
      <c r="AM70" s="4" t="str">
        <f aca="false">IF(AL70="","",IF(AL70&lt;=50,"Good",IF(AL70&lt;=100,"Satisfactory",IF(AL70&lt;=200,"Moderate",IF(AL70&lt;=300,"Poor",IF(AL70&lt;=400,"Very Poor","Severe"))))))</f>
        <v>Satisfactory</v>
      </c>
    </row>
    <row r="71" customFormat="false" ht="15.75" hidden="false" customHeight="false" outlineLevel="0" collapsed="false">
      <c r="A71" s="1" t="s">
        <v>39</v>
      </c>
      <c r="B71" s="1" t="s">
        <v>40</v>
      </c>
      <c r="C71" s="1" t="n">
        <v>28.4595</v>
      </c>
      <c r="D71" s="1" t="n">
        <v>77.0266</v>
      </c>
      <c r="E71" s="5" t="n">
        <v>45903</v>
      </c>
      <c r="F71" s="6" t="s">
        <v>74</v>
      </c>
      <c r="G71" s="1" t="n">
        <v>9</v>
      </c>
      <c r="H71" s="7" t="s">
        <v>79</v>
      </c>
      <c r="I71" s="6" t="s">
        <v>43</v>
      </c>
      <c r="J71" s="7" t="s">
        <v>44</v>
      </c>
      <c r="K71" s="7" t="s">
        <v>75</v>
      </c>
      <c r="L71" s="1" t="n">
        <v>88</v>
      </c>
      <c r="M71" s="1" t="n">
        <v>23.3</v>
      </c>
      <c r="N71" s="1" t="n">
        <v>17.6</v>
      </c>
      <c r="O71" s="1" t="n">
        <v>0.1</v>
      </c>
      <c r="P71" s="6" t="s">
        <v>46</v>
      </c>
      <c r="Q71" s="6" t="s">
        <v>43</v>
      </c>
      <c r="R71" s="1" t="n">
        <v>1004.7</v>
      </c>
      <c r="S71" s="1" t="n">
        <v>100</v>
      </c>
      <c r="T71" s="1" t="n">
        <v>24.3</v>
      </c>
      <c r="U71" s="1" t="n">
        <v>24.3</v>
      </c>
      <c r="V71" s="1" t="n">
        <v>1331</v>
      </c>
      <c r="W71" s="1" t="n">
        <v>35.4</v>
      </c>
      <c r="X71" s="1" t="n">
        <v>17.4</v>
      </c>
      <c r="Y71" s="1" t="n">
        <v>38</v>
      </c>
      <c r="Z71" s="1" t="n">
        <v>0</v>
      </c>
      <c r="AA71" s="1" t="n">
        <v>61</v>
      </c>
      <c r="AB71" s="7" t="s">
        <v>47</v>
      </c>
      <c r="AC71" s="7" t="s">
        <v>50</v>
      </c>
      <c r="AD71" s="6" t="s">
        <v>43</v>
      </c>
      <c r="AE71" s="6" t="s">
        <v>43</v>
      </c>
      <c r="AF71" s="4" t="n">
        <f aca="false">IF(T71="","",IF(T71&lt;=30,(50/30)*T71,IF(T71&lt;=60,50+((100-50)/(60-30))*(T71-30),IF(T71&lt;=90,100+((200-100)/(90-60))*(T71-60),IF(T71&lt;=120,200+((300-200)/(120-90))*(T71-90),IF(T71&lt;=250,300+((400-300)/(250-120))*(T71-120),IF(T71&lt;=380,400+((500-400)/(380-250))*(T71-250),500)))))))</f>
        <v>40.5</v>
      </c>
      <c r="AG71" s="4" t="n">
        <f aca="false">IF(U71="","",IF(U71&lt;=50,(50/50)*U71,IF(U71&lt;=100,50+((100-50)/(100-50))*(U71-50),IF(U71&lt;=250,100+((200-100)/(250-100))*(U71-100),IF(U71&lt;=350,200+((300-200)/(350-250))*(U71-250),IF(U71&lt;=430,300+((400-300)/(430-350))*(U71-350),IF(U71&lt;=600,400+((500-400)/(600-430))*(U71-430),500)))))))</f>
        <v>24.3</v>
      </c>
      <c r="AH71" s="4" t="n">
        <f aca="false">IF(V71="","",IF((V71/1000)&lt;=1,(50/1)*(V71/1000),IF((V71/1000)&lt;=2,50+((100-50)/(2-1))*(V71/1000-1),IF((V71/1000)&lt;=10,100+((200-100)/(10-2))*(V71/1000-2),IF((V71/1000)&lt;=17,200+((300-200)/(17-10))*(V71/1000-10),IF((V71/1000)&lt;=34,300+((400-300)/(34-17))*(V71/1000-17),IF((V71/1000)&lt;=57,400+((500-400)/(57-34))*(V71/1000-34),500)))))))</f>
        <v>66.55</v>
      </c>
      <c r="AI71" s="4" t="n">
        <f aca="false">IF(W71="","",IF(W71&lt;=40,(50/40)*W71,IF(W71&lt;=80,50+((100-50)/(80-40))*(W71-40),IF(W71&lt;=180,100+((200-100)/(180-80))*(W71-80),IF(W71&lt;=280,200+((300-200)/(280-180))*(W71-180),IF(W71&lt;=400,300+((400-300)/(400-280))*(W71-280),IF(W71&lt;=800,400+((500-400)/(800-400))*(W71-400),500)))))))</f>
        <v>44.25</v>
      </c>
      <c r="AJ71" s="4" t="n">
        <f aca="false">IF(X71="","",IF(X71&lt;=40,(50/40)*X71,IF(X71&lt;=80,50+((100-50)/(80-40))*(X71-40),IF(X71&lt;=380,100+((200-100)/(380-80))*(X71-80),IF(X71&lt;=800,200+((300-200)/(800-380))*(X71-380),IF(X71&lt;=1600,300+((400-300)/(1600-800))*(X71-800),IF(X71&lt;=2100,400+((500-400)/(2100-1600))*(X71-1600),500)))))))</f>
        <v>21.75</v>
      </c>
      <c r="AK71" s="4" t="n">
        <f aca="false">IF(Y71="","",IF(Y71&lt;=50,(50/50)*Y71,IF(Y71&lt;=100,50+((100-50)/(100-50))*(Y71-50),IF(Y71&lt;=168,100+((200-100)/(168-100))*(Y71-100),IF(Y71&lt;=208,200+((300-200)/(208-168))*(Y71-168),IF(Y71&lt;=748,300+((400-300)/(748-208))*(Y71-208),IF(Y71&lt;=1000,400+((500-400)/(1000-748))*(Y71-748),500)))))))</f>
        <v>38</v>
      </c>
      <c r="AL71" s="4" t="n">
        <f aca="false">ROUND(MAX(AF71,AG71,AH71,AI71,AJ71,AK71),0)</f>
        <v>67</v>
      </c>
      <c r="AM71" s="4" t="str">
        <f aca="false">IF(AL71="","",IF(AL71&lt;=50,"Good",IF(AL71&lt;=100,"Satisfactory",IF(AL71&lt;=200,"Moderate",IF(AL71&lt;=300,"Poor",IF(AL71&lt;=400,"Very Poor","Severe"))))))</f>
        <v>Satisfactory</v>
      </c>
    </row>
    <row r="72" customFormat="false" ht="15.75" hidden="false" customHeight="false" outlineLevel="0" collapsed="false">
      <c r="A72" s="1" t="s">
        <v>39</v>
      </c>
      <c r="B72" s="1" t="s">
        <v>40</v>
      </c>
      <c r="C72" s="1" t="n">
        <v>28.4595</v>
      </c>
      <c r="D72" s="1" t="n">
        <v>77.0266</v>
      </c>
      <c r="E72" s="5" t="n">
        <v>45903</v>
      </c>
      <c r="F72" s="6" t="s">
        <v>76</v>
      </c>
      <c r="G72" s="1" t="n">
        <v>9</v>
      </c>
      <c r="H72" s="7" t="s">
        <v>79</v>
      </c>
      <c r="I72" s="6" t="s">
        <v>43</v>
      </c>
      <c r="J72" s="7" t="s">
        <v>44</v>
      </c>
      <c r="K72" s="7" t="s">
        <v>75</v>
      </c>
      <c r="L72" s="1" t="n">
        <v>94</v>
      </c>
      <c r="M72" s="1" t="n">
        <v>24</v>
      </c>
      <c r="N72" s="1" t="n">
        <v>14</v>
      </c>
      <c r="O72" s="1" t="n">
        <v>0.9</v>
      </c>
      <c r="P72" s="6" t="s">
        <v>46</v>
      </c>
      <c r="Q72" s="6" t="s">
        <v>43</v>
      </c>
      <c r="R72" s="1" t="n">
        <v>1004.6</v>
      </c>
      <c r="S72" s="1" t="n">
        <v>100</v>
      </c>
      <c r="T72" s="1" t="n">
        <v>26.3</v>
      </c>
      <c r="U72" s="1" t="n">
        <v>26.4</v>
      </c>
      <c r="V72" s="1" t="n">
        <v>1186</v>
      </c>
      <c r="W72" s="1" t="n">
        <v>40.2</v>
      </c>
      <c r="X72" s="1" t="n">
        <v>18.4</v>
      </c>
      <c r="Y72" s="1" t="n">
        <v>30</v>
      </c>
      <c r="Z72" s="1" t="n">
        <v>0</v>
      </c>
      <c r="AA72" s="1" t="n">
        <v>61</v>
      </c>
      <c r="AB72" s="7" t="s">
        <v>47</v>
      </c>
      <c r="AC72" s="7" t="s">
        <v>50</v>
      </c>
      <c r="AD72" s="6" t="s">
        <v>43</v>
      </c>
      <c r="AE72" s="6" t="s">
        <v>43</v>
      </c>
      <c r="AF72" s="4" t="n">
        <f aca="false">IF(T72="","",IF(T72&lt;=30,(50/30)*T72,IF(T72&lt;=60,50+((100-50)/(60-30))*(T72-30),IF(T72&lt;=90,100+((200-100)/(90-60))*(T72-60),IF(T72&lt;=120,200+((300-200)/(120-90))*(T72-90),IF(T72&lt;=250,300+((400-300)/(250-120))*(T72-120),IF(T72&lt;=380,400+((500-400)/(380-250))*(T72-250),500)))))))</f>
        <v>43.8333333333333</v>
      </c>
      <c r="AG72" s="4" t="n">
        <f aca="false">IF(U72="","",IF(U72&lt;=50,(50/50)*U72,IF(U72&lt;=100,50+((100-50)/(100-50))*(U72-50),IF(U72&lt;=250,100+((200-100)/(250-100))*(U72-100),IF(U72&lt;=350,200+((300-200)/(350-250))*(U72-250),IF(U72&lt;=430,300+((400-300)/(430-350))*(U72-350),IF(U72&lt;=600,400+((500-400)/(600-430))*(U72-430),500)))))))</f>
        <v>26.4</v>
      </c>
      <c r="AH72" s="4" t="n">
        <f aca="false">IF(V72="","",IF((V72/1000)&lt;=1,(50/1)*(V72/1000),IF((V72/1000)&lt;=2,50+((100-50)/(2-1))*(V72/1000-1),IF((V72/1000)&lt;=10,100+((200-100)/(10-2))*(V72/1000-2),IF((V72/1000)&lt;=17,200+((300-200)/(17-10))*(V72/1000-10),IF((V72/1000)&lt;=34,300+((400-300)/(34-17))*(V72/1000-17),IF((V72/1000)&lt;=57,400+((500-400)/(57-34))*(V72/1000-34),500)))))))</f>
        <v>59.3</v>
      </c>
      <c r="AI72" s="4" t="n">
        <f aca="false">IF(W72="","",IF(W72&lt;=40,(50/40)*W72,IF(W72&lt;=80,50+((100-50)/(80-40))*(W72-40),IF(W72&lt;=180,100+((200-100)/(180-80))*(W72-80),IF(W72&lt;=280,200+((300-200)/(280-180))*(W72-180),IF(W72&lt;=400,300+((400-300)/(400-280))*(W72-280),IF(W72&lt;=800,400+((500-400)/(800-400))*(W72-400),500)))))))</f>
        <v>50.25</v>
      </c>
      <c r="AJ72" s="4" t="n">
        <f aca="false">IF(X72="","",IF(X72&lt;=40,(50/40)*X72,IF(X72&lt;=80,50+((100-50)/(80-40))*(X72-40),IF(X72&lt;=380,100+((200-100)/(380-80))*(X72-80),IF(X72&lt;=800,200+((300-200)/(800-380))*(X72-380),IF(X72&lt;=1600,300+((400-300)/(1600-800))*(X72-800),IF(X72&lt;=2100,400+((500-400)/(2100-1600))*(X72-1600),500)))))))</f>
        <v>23</v>
      </c>
      <c r="AK72" s="4" t="n">
        <f aca="false">IF(Y72="","",IF(Y72&lt;=50,(50/50)*Y72,IF(Y72&lt;=100,50+((100-50)/(100-50))*(Y72-50),IF(Y72&lt;=168,100+((200-100)/(168-100))*(Y72-100),IF(Y72&lt;=208,200+((300-200)/(208-168))*(Y72-168),IF(Y72&lt;=748,300+((400-300)/(748-208))*(Y72-208),IF(Y72&lt;=1000,400+((500-400)/(1000-748))*(Y72-748),500)))))))</f>
        <v>30</v>
      </c>
      <c r="AL72" s="4" t="n">
        <f aca="false">ROUND(MAX(AF72,AG72,AH72,AI72,AJ72,AK72),0)</f>
        <v>59</v>
      </c>
      <c r="AM72" s="4" t="str">
        <f aca="false">IF(AL72="","",IF(AL72&lt;=50,"Good",IF(AL72&lt;=100,"Satisfactory",IF(AL72&lt;=200,"Moderate",IF(AL72&lt;=300,"Poor",IF(AL72&lt;=400,"Very Poor","Severe"))))))</f>
        <v>Satisfactory</v>
      </c>
    </row>
    <row r="73" customFormat="false" ht="15.75" hidden="false" customHeight="false" outlineLevel="0" collapsed="false">
      <c r="A73" s="1" t="s">
        <v>39</v>
      </c>
      <c r="B73" s="1" t="s">
        <v>40</v>
      </c>
      <c r="C73" s="1" t="n">
        <v>28.4595</v>
      </c>
      <c r="D73" s="1" t="n">
        <v>77.0266</v>
      </c>
      <c r="E73" s="5" t="n">
        <v>45903</v>
      </c>
      <c r="F73" s="6" t="s">
        <v>77</v>
      </c>
      <c r="G73" s="1" t="n">
        <v>9</v>
      </c>
      <c r="H73" s="7" t="s">
        <v>79</v>
      </c>
      <c r="I73" s="6" t="s">
        <v>43</v>
      </c>
      <c r="J73" s="7" t="s">
        <v>44</v>
      </c>
      <c r="K73" s="7" t="s">
        <v>75</v>
      </c>
      <c r="L73" s="1" t="n">
        <v>96</v>
      </c>
      <c r="M73" s="1" t="n">
        <v>24.3</v>
      </c>
      <c r="N73" s="1" t="n">
        <v>11.5</v>
      </c>
      <c r="O73" s="1" t="n">
        <v>0.5</v>
      </c>
      <c r="P73" s="6" t="s">
        <v>46</v>
      </c>
      <c r="Q73" s="6" t="s">
        <v>43</v>
      </c>
      <c r="R73" s="1" t="n">
        <v>1005.3</v>
      </c>
      <c r="S73" s="1" t="n">
        <v>100</v>
      </c>
      <c r="T73" s="1" t="n">
        <v>29.7</v>
      </c>
      <c r="U73" s="1" t="n">
        <v>29.8</v>
      </c>
      <c r="V73" s="1" t="n">
        <v>1044</v>
      </c>
      <c r="W73" s="1" t="n">
        <v>42.9</v>
      </c>
      <c r="X73" s="1" t="n">
        <v>19.1</v>
      </c>
      <c r="Y73" s="1" t="n">
        <v>25</v>
      </c>
      <c r="Z73" s="1" t="n">
        <v>0</v>
      </c>
      <c r="AA73" s="1" t="n">
        <v>61</v>
      </c>
      <c r="AB73" s="7" t="s">
        <v>47</v>
      </c>
      <c r="AC73" s="7" t="s">
        <v>50</v>
      </c>
      <c r="AD73" s="6" t="s">
        <v>43</v>
      </c>
      <c r="AE73" s="6" t="s">
        <v>43</v>
      </c>
      <c r="AF73" s="4" t="n">
        <f aca="false">IF(T73="","",IF(T73&lt;=30,(50/30)*T73,IF(T73&lt;=60,50+((100-50)/(60-30))*(T73-30),IF(T73&lt;=90,100+((200-100)/(90-60))*(T73-60),IF(T73&lt;=120,200+((300-200)/(120-90))*(T73-90),IF(T73&lt;=250,300+((400-300)/(250-120))*(T73-120),IF(T73&lt;=380,400+((500-400)/(380-250))*(T73-250),500)))))))</f>
        <v>49.5</v>
      </c>
      <c r="AG73" s="4" t="n">
        <f aca="false">IF(U73="","",IF(U73&lt;=50,(50/50)*U73,IF(U73&lt;=100,50+((100-50)/(100-50))*(U73-50),IF(U73&lt;=250,100+((200-100)/(250-100))*(U73-100),IF(U73&lt;=350,200+((300-200)/(350-250))*(U73-250),IF(U73&lt;=430,300+((400-300)/(430-350))*(U73-350),IF(U73&lt;=600,400+((500-400)/(600-430))*(U73-430),500)))))))</f>
        <v>29.8</v>
      </c>
      <c r="AH73" s="4" t="n">
        <f aca="false">IF(V73="","",IF((V73/1000)&lt;=1,(50/1)*(V73/1000),IF((V73/1000)&lt;=2,50+((100-50)/(2-1))*(V73/1000-1),IF((V73/1000)&lt;=10,100+((200-100)/(10-2))*(V73/1000-2),IF((V73/1000)&lt;=17,200+((300-200)/(17-10))*(V73/1000-10),IF((V73/1000)&lt;=34,300+((400-300)/(34-17))*(V73/1000-17),IF((V73/1000)&lt;=57,400+((500-400)/(57-34))*(V73/1000-34),500)))))))</f>
        <v>52.2</v>
      </c>
      <c r="AI73" s="4" t="n">
        <f aca="false">IF(W73="","",IF(W73&lt;=40,(50/40)*W73,IF(W73&lt;=80,50+((100-50)/(80-40))*(W73-40),IF(W73&lt;=180,100+((200-100)/(180-80))*(W73-80),IF(W73&lt;=280,200+((300-200)/(280-180))*(W73-180),IF(W73&lt;=400,300+((400-300)/(400-280))*(W73-280),IF(W73&lt;=800,400+((500-400)/(800-400))*(W73-400),500)))))))</f>
        <v>53.625</v>
      </c>
      <c r="AJ73" s="4" t="n">
        <f aca="false">IF(X73="","",IF(X73&lt;=40,(50/40)*X73,IF(X73&lt;=80,50+((100-50)/(80-40))*(X73-40),IF(X73&lt;=380,100+((200-100)/(380-80))*(X73-80),IF(X73&lt;=800,200+((300-200)/(800-380))*(X73-380),IF(X73&lt;=1600,300+((400-300)/(1600-800))*(X73-800),IF(X73&lt;=2100,400+((500-400)/(2100-1600))*(X73-1600),500)))))))</f>
        <v>23.875</v>
      </c>
      <c r="AK73" s="4" t="n">
        <f aca="false">IF(Y73="","",IF(Y73&lt;=50,(50/50)*Y73,IF(Y73&lt;=100,50+((100-50)/(100-50))*(Y73-50),IF(Y73&lt;=168,100+((200-100)/(168-100))*(Y73-100),IF(Y73&lt;=208,200+((300-200)/(208-168))*(Y73-168),IF(Y73&lt;=748,300+((400-300)/(748-208))*(Y73-208),IF(Y73&lt;=1000,400+((500-400)/(1000-748))*(Y73-748),500)))))))</f>
        <v>25</v>
      </c>
      <c r="AL73" s="4" t="n">
        <f aca="false">ROUND(MAX(AF73,AG73,AH73,AI73,AJ73,AK73),0)</f>
        <v>54</v>
      </c>
      <c r="AM73" s="4" t="str">
        <f aca="false">IF(AL73="","",IF(AL73&lt;=50,"Good",IF(AL73&lt;=100,"Satisfactory",IF(AL73&lt;=200,"Moderate",IF(AL73&lt;=300,"Poor",IF(AL73&lt;=400,"Very Poor","Severe"))))))</f>
        <v>Satisfactory</v>
      </c>
    </row>
    <row r="74" customFormat="false" ht="15.75" hidden="false" customHeight="false" outlineLevel="0" collapsed="false">
      <c r="A74" s="1" t="s">
        <v>39</v>
      </c>
      <c r="B74" s="1" t="s">
        <v>40</v>
      </c>
      <c r="C74" s="1" t="n">
        <v>28.4595</v>
      </c>
      <c r="D74" s="1" t="n">
        <v>77.0266</v>
      </c>
      <c r="E74" s="5" t="n">
        <v>45904</v>
      </c>
      <c r="F74" s="6" t="s">
        <v>41</v>
      </c>
      <c r="G74" s="1" t="n">
        <v>9</v>
      </c>
      <c r="H74" s="7" t="s">
        <v>80</v>
      </c>
      <c r="I74" s="6" t="s">
        <v>43</v>
      </c>
      <c r="J74" s="7" t="s">
        <v>44</v>
      </c>
      <c r="K74" s="7" t="s">
        <v>45</v>
      </c>
      <c r="L74" s="1" t="n">
        <v>96</v>
      </c>
      <c r="M74" s="1" t="n">
        <v>24.3</v>
      </c>
      <c r="N74" s="1" t="n">
        <v>10.4</v>
      </c>
      <c r="O74" s="1" t="n">
        <v>0.5</v>
      </c>
      <c r="P74" s="6" t="s">
        <v>46</v>
      </c>
      <c r="Q74" s="6" t="s">
        <v>43</v>
      </c>
      <c r="R74" s="1" t="n">
        <v>1005.1</v>
      </c>
      <c r="S74" s="1" t="n">
        <v>100</v>
      </c>
      <c r="T74" s="1" t="n">
        <v>30.4</v>
      </c>
      <c r="U74" s="1" t="n">
        <v>30.5</v>
      </c>
      <c r="V74" s="1" t="n">
        <v>940</v>
      </c>
      <c r="W74" s="1" t="n">
        <v>41.8</v>
      </c>
      <c r="X74" s="1" t="n">
        <v>19.2</v>
      </c>
      <c r="Y74" s="1" t="n">
        <v>24</v>
      </c>
      <c r="Z74" s="1" t="n">
        <v>0</v>
      </c>
      <c r="AA74" s="1" t="n">
        <v>61</v>
      </c>
      <c r="AB74" s="7" t="s">
        <v>47</v>
      </c>
      <c r="AC74" s="7" t="s">
        <v>48</v>
      </c>
      <c r="AD74" s="6" t="s">
        <v>43</v>
      </c>
      <c r="AE74" s="6" t="s">
        <v>43</v>
      </c>
      <c r="AF74" s="4" t="n">
        <f aca="false">IF(T74="","",IF(T74&lt;=30,(50/30)*T74,IF(T74&lt;=60,50+((100-50)/(60-30))*(T74-30),IF(T74&lt;=90,100+((200-100)/(90-60))*(T74-60),IF(T74&lt;=120,200+((300-200)/(120-90))*(T74-90),IF(T74&lt;=250,300+((400-300)/(250-120))*(T74-120),IF(T74&lt;=380,400+((500-400)/(380-250))*(T74-250),500)))))))</f>
        <v>50.6666666666667</v>
      </c>
      <c r="AG74" s="4" t="n">
        <f aca="false">IF(U74="","",IF(U74&lt;=50,(50/50)*U74,IF(U74&lt;=100,50+((100-50)/(100-50))*(U74-50),IF(U74&lt;=250,100+((200-100)/(250-100))*(U74-100),IF(U74&lt;=350,200+((300-200)/(350-250))*(U74-250),IF(U74&lt;=430,300+((400-300)/(430-350))*(U74-350),IF(U74&lt;=600,400+((500-400)/(600-430))*(U74-430),500)))))))</f>
        <v>30.5</v>
      </c>
      <c r="AH74" s="4" t="n">
        <f aca="false">IF(V74="","",IF((V74/1000)&lt;=1,(50/1)*(V74/1000),IF((V74/1000)&lt;=2,50+((100-50)/(2-1))*(V74/1000-1),IF((V74/1000)&lt;=10,100+((200-100)/(10-2))*(V74/1000-2),IF((V74/1000)&lt;=17,200+((300-200)/(17-10))*(V74/1000-10),IF((V74/1000)&lt;=34,300+((400-300)/(34-17))*(V74/1000-17),IF((V74/1000)&lt;=57,400+((500-400)/(57-34))*(V74/1000-34),500)))))))</f>
        <v>47</v>
      </c>
      <c r="AI74" s="4" t="n">
        <f aca="false">IF(W74="","",IF(W74&lt;=40,(50/40)*W74,IF(W74&lt;=80,50+((100-50)/(80-40))*(W74-40),IF(W74&lt;=180,100+((200-100)/(180-80))*(W74-80),IF(W74&lt;=280,200+((300-200)/(280-180))*(W74-180),IF(W74&lt;=400,300+((400-300)/(400-280))*(W74-280),IF(W74&lt;=800,400+((500-400)/(800-400))*(W74-400),500)))))))</f>
        <v>52.25</v>
      </c>
      <c r="AJ74" s="4" t="n">
        <f aca="false">IF(X74="","",IF(X74&lt;=40,(50/40)*X74,IF(X74&lt;=80,50+((100-50)/(80-40))*(X74-40),IF(X74&lt;=380,100+((200-100)/(380-80))*(X74-80),IF(X74&lt;=800,200+((300-200)/(800-380))*(X74-380),IF(X74&lt;=1600,300+((400-300)/(1600-800))*(X74-800),IF(X74&lt;=2100,400+((500-400)/(2100-1600))*(X74-1600),500)))))))</f>
        <v>24</v>
      </c>
      <c r="AK74" s="4" t="n">
        <f aca="false">IF(Y74="","",IF(Y74&lt;=50,(50/50)*Y74,IF(Y74&lt;=100,50+((100-50)/(100-50))*(Y74-50),IF(Y74&lt;=168,100+((200-100)/(168-100))*(Y74-100),IF(Y74&lt;=208,200+((300-200)/(208-168))*(Y74-168),IF(Y74&lt;=748,300+((400-300)/(748-208))*(Y74-208),IF(Y74&lt;=1000,400+((500-400)/(1000-748))*(Y74-748),500)))))))</f>
        <v>24</v>
      </c>
      <c r="AL74" s="4" t="n">
        <f aca="false">ROUND(MAX(AF74,AG74,AH74,AI74,AJ74,AK74),0)</f>
        <v>52</v>
      </c>
      <c r="AM74" s="4" t="str">
        <f aca="false">IF(AL74="","",IF(AL74&lt;=50,"Good",IF(AL74&lt;=100,"Satisfactory",IF(AL74&lt;=200,"Moderate",IF(AL74&lt;=300,"Poor",IF(AL74&lt;=400,"Very Poor","Severe"))))))</f>
        <v>Satisfactory</v>
      </c>
    </row>
    <row r="75" customFormat="false" ht="15.75" hidden="false" customHeight="false" outlineLevel="0" collapsed="false">
      <c r="A75" s="1" t="s">
        <v>39</v>
      </c>
      <c r="B75" s="1" t="s">
        <v>40</v>
      </c>
      <c r="C75" s="1" t="n">
        <v>28.4595</v>
      </c>
      <c r="D75" s="1" t="n">
        <v>77.0266</v>
      </c>
      <c r="E75" s="5" t="n">
        <v>45904</v>
      </c>
      <c r="F75" s="6" t="s">
        <v>49</v>
      </c>
      <c r="G75" s="1" t="n">
        <v>9</v>
      </c>
      <c r="H75" s="7" t="s">
        <v>80</v>
      </c>
      <c r="I75" s="6" t="s">
        <v>43</v>
      </c>
      <c r="J75" s="7" t="s">
        <v>44</v>
      </c>
      <c r="K75" s="7" t="s">
        <v>45</v>
      </c>
      <c r="L75" s="1" t="n">
        <v>97</v>
      </c>
      <c r="M75" s="1" t="n">
        <v>24.3</v>
      </c>
      <c r="N75" s="1" t="n">
        <v>13.3</v>
      </c>
      <c r="O75" s="1" t="n">
        <v>0.8</v>
      </c>
      <c r="P75" s="6" t="s">
        <v>46</v>
      </c>
      <c r="Q75" s="6" t="s">
        <v>43</v>
      </c>
      <c r="R75" s="1" t="n">
        <v>1004.6</v>
      </c>
      <c r="S75" s="1" t="n">
        <v>100</v>
      </c>
      <c r="T75" s="1" t="n">
        <v>28.3</v>
      </c>
      <c r="U75" s="1" t="n">
        <v>28.5</v>
      </c>
      <c r="V75" s="1" t="n">
        <v>839</v>
      </c>
      <c r="W75" s="1" t="n">
        <v>38.7</v>
      </c>
      <c r="X75" s="1" t="n">
        <v>18.9</v>
      </c>
      <c r="Y75" s="1" t="n">
        <v>25</v>
      </c>
      <c r="Z75" s="1" t="n">
        <v>0</v>
      </c>
      <c r="AA75" s="1" t="n">
        <v>62</v>
      </c>
      <c r="AB75" s="7" t="s">
        <v>47</v>
      </c>
      <c r="AC75" s="7" t="s">
        <v>50</v>
      </c>
      <c r="AD75" s="6" t="s">
        <v>43</v>
      </c>
      <c r="AE75" s="6" t="s">
        <v>43</v>
      </c>
      <c r="AF75" s="4" t="n">
        <f aca="false">IF(T75="","",IF(T75&lt;=30,(50/30)*T75,IF(T75&lt;=60,50+((100-50)/(60-30))*(T75-30),IF(T75&lt;=90,100+((200-100)/(90-60))*(T75-60),IF(T75&lt;=120,200+((300-200)/(120-90))*(T75-90),IF(T75&lt;=250,300+((400-300)/(250-120))*(T75-120),IF(T75&lt;=380,400+((500-400)/(380-250))*(T75-250),500)))))))</f>
        <v>47.1666666666667</v>
      </c>
      <c r="AG75" s="4" t="n">
        <f aca="false">IF(U75="","",IF(U75&lt;=50,(50/50)*U75,IF(U75&lt;=100,50+((100-50)/(100-50))*(U75-50),IF(U75&lt;=250,100+((200-100)/(250-100))*(U75-100),IF(U75&lt;=350,200+((300-200)/(350-250))*(U75-250),IF(U75&lt;=430,300+((400-300)/(430-350))*(U75-350),IF(U75&lt;=600,400+((500-400)/(600-430))*(U75-430),500)))))))</f>
        <v>28.5</v>
      </c>
      <c r="AH75" s="4" t="n">
        <f aca="false">IF(V75="","",IF((V75/1000)&lt;=1,(50/1)*(V75/1000),IF((V75/1000)&lt;=2,50+((100-50)/(2-1))*(V75/1000-1),IF((V75/1000)&lt;=10,100+((200-100)/(10-2))*(V75/1000-2),IF((V75/1000)&lt;=17,200+((300-200)/(17-10))*(V75/1000-10),IF((V75/1000)&lt;=34,300+((400-300)/(34-17))*(V75/1000-17),IF((V75/1000)&lt;=57,400+((500-400)/(57-34))*(V75/1000-34),500)))))))</f>
        <v>41.95</v>
      </c>
      <c r="AI75" s="4" t="n">
        <f aca="false">IF(W75="","",IF(W75&lt;=40,(50/40)*W75,IF(W75&lt;=80,50+((100-50)/(80-40))*(W75-40),IF(W75&lt;=180,100+((200-100)/(180-80))*(W75-80),IF(W75&lt;=280,200+((300-200)/(280-180))*(W75-180),IF(W75&lt;=400,300+((400-300)/(400-280))*(W75-280),IF(W75&lt;=800,400+((500-400)/(800-400))*(W75-400),500)))))))</f>
        <v>48.375</v>
      </c>
      <c r="AJ75" s="4" t="n">
        <f aca="false">IF(X75="","",IF(X75&lt;=40,(50/40)*X75,IF(X75&lt;=80,50+((100-50)/(80-40))*(X75-40),IF(X75&lt;=380,100+((200-100)/(380-80))*(X75-80),IF(X75&lt;=800,200+((300-200)/(800-380))*(X75-380),IF(X75&lt;=1600,300+((400-300)/(1600-800))*(X75-800),IF(X75&lt;=2100,400+((500-400)/(2100-1600))*(X75-1600),500)))))))</f>
        <v>23.625</v>
      </c>
      <c r="AK75" s="4" t="n">
        <f aca="false">IF(Y75="","",IF(Y75&lt;=50,(50/50)*Y75,IF(Y75&lt;=100,50+((100-50)/(100-50))*(Y75-50),IF(Y75&lt;=168,100+((200-100)/(168-100))*(Y75-100),IF(Y75&lt;=208,200+((300-200)/(208-168))*(Y75-168),IF(Y75&lt;=748,300+((400-300)/(748-208))*(Y75-208),IF(Y75&lt;=1000,400+((500-400)/(1000-748))*(Y75-748),500)))))))</f>
        <v>25</v>
      </c>
      <c r="AL75" s="4" t="n">
        <f aca="false">ROUND(MAX(AF75,AG75,AH75,AI75,AJ75,AK75),0)</f>
        <v>48</v>
      </c>
      <c r="AM75" s="4" t="str">
        <f aca="false">IF(AL75="","",IF(AL75&lt;=50,"Good",IF(AL75&lt;=100,"Satisfactory",IF(AL75&lt;=200,"Moderate",IF(AL75&lt;=300,"Poor",IF(AL75&lt;=400,"Very Poor","Severe"))))))</f>
        <v>Good</v>
      </c>
    </row>
    <row r="76" customFormat="false" ht="15.75" hidden="false" customHeight="false" outlineLevel="0" collapsed="false">
      <c r="A76" s="1" t="s">
        <v>39</v>
      </c>
      <c r="B76" s="1" t="s">
        <v>40</v>
      </c>
      <c r="C76" s="1" t="n">
        <v>28.4595</v>
      </c>
      <c r="D76" s="1" t="n">
        <v>77.0266</v>
      </c>
      <c r="E76" s="5" t="n">
        <v>45904</v>
      </c>
      <c r="F76" s="6" t="s">
        <v>51</v>
      </c>
      <c r="G76" s="1" t="n">
        <v>9</v>
      </c>
      <c r="H76" s="7" t="s">
        <v>80</v>
      </c>
      <c r="I76" s="6" t="s">
        <v>43</v>
      </c>
      <c r="J76" s="7" t="s">
        <v>44</v>
      </c>
      <c r="K76" s="7" t="s">
        <v>45</v>
      </c>
      <c r="L76" s="1" t="n">
        <v>97</v>
      </c>
      <c r="M76" s="1" t="n">
        <v>24.3</v>
      </c>
      <c r="N76" s="1" t="n">
        <v>15.1</v>
      </c>
      <c r="O76" s="1" t="n">
        <v>0.6</v>
      </c>
      <c r="P76" s="6" t="s">
        <v>46</v>
      </c>
      <c r="Q76" s="6" t="s">
        <v>43</v>
      </c>
      <c r="R76" s="1" t="n">
        <v>1004.2</v>
      </c>
      <c r="S76" s="1" t="n">
        <v>100</v>
      </c>
      <c r="T76" s="1" t="n">
        <v>25.8</v>
      </c>
      <c r="U76" s="1" t="n">
        <v>26</v>
      </c>
      <c r="V76" s="1" t="n">
        <v>754</v>
      </c>
      <c r="W76" s="1" t="n">
        <v>35.2</v>
      </c>
      <c r="X76" s="1" t="n">
        <v>18.2</v>
      </c>
      <c r="Y76" s="1" t="n">
        <v>27</v>
      </c>
      <c r="Z76" s="1" t="n">
        <v>0</v>
      </c>
      <c r="AA76" s="1" t="n">
        <v>62</v>
      </c>
      <c r="AB76" s="7" t="s">
        <v>47</v>
      </c>
      <c r="AC76" s="7" t="s">
        <v>50</v>
      </c>
      <c r="AD76" s="6" t="s">
        <v>43</v>
      </c>
      <c r="AE76" s="6" t="s">
        <v>43</v>
      </c>
      <c r="AF76" s="4" t="n">
        <f aca="false">IF(T76="","",IF(T76&lt;=30,(50/30)*T76,IF(T76&lt;=60,50+((100-50)/(60-30))*(T76-30),IF(T76&lt;=90,100+((200-100)/(90-60))*(T76-60),IF(T76&lt;=120,200+((300-200)/(120-90))*(T76-90),IF(T76&lt;=250,300+((400-300)/(250-120))*(T76-120),IF(T76&lt;=380,400+((500-400)/(380-250))*(T76-250),500)))))))</f>
        <v>43</v>
      </c>
      <c r="AG76" s="4" t="n">
        <f aca="false">IF(U76="","",IF(U76&lt;=50,(50/50)*U76,IF(U76&lt;=100,50+((100-50)/(100-50))*(U76-50),IF(U76&lt;=250,100+((200-100)/(250-100))*(U76-100),IF(U76&lt;=350,200+((300-200)/(350-250))*(U76-250),IF(U76&lt;=430,300+((400-300)/(430-350))*(U76-350),IF(U76&lt;=600,400+((500-400)/(600-430))*(U76-430),500)))))))</f>
        <v>26</v>
      </c>
      <c r="AH76" s="4" t="n">
        <f aca="false">IF(V76="","",IF((V76/1000)&lt;=1,(50/1)*(V76/1000),IF((V76/1000)&lt;=2,50+((100-50)/(2-1))*(V76/1000-1),IF((V76/1000)&lt;=10,100+((200-100)/(10-2))*(V76/1000-2),IF((V76/1000)&lt;=17,200+((300-200)/(17-10))*(V76/1000-10),IF((V76/1000)&lt;=34,300+((400-300)/(34-17))*(V76/1000-17),IF((V76/1000)&lt;=57,400+((500-400)/(57-34))*(V76/1000-34),500)))))))</f>
        <v>37.7</v>
      </c>
      <c r="AI76" s="4" t="n">
        <f aca="false">IF(W76="","",IF(W76&lt;=40,(50/40)*W76,IF(W76&lt;=80,50+((100-50)/(80-40))*(W76-40),IF(W76&lt;=180,100+((200-100)/(180-80))*(W76-80),IF(W76&lt;=280,200+((300-200)/(280-180))*(W76-180),IF(W76&lt;=400,300+((400-300)/(400-280))*(W76-280),IF(W76&lt;=800,400+((500-400)/(800-400))*(W76-400),500)))))))</f>
        <v>44</v>
      </c>
      <c r="AJ76" s="4" t="n">
        <f aca="false">IF(X76="","",IF(X76&lt;=40,(50/40)*X76,IF(X76&lt;=80,50+((100-50)/(80-40))*(X76-40),IF(X76&lt;=380,100+((200-100)/(380-80))*(X76-80),IF(X76&lt;=800,200+((300-200)/(800-380))*(X76-380),IF(X76&lt;=1600,300+((400-300)/(1600-800))*(X76-800),IF(X76&lt;=2100,400+((500-400)/(2100-1600))*(X76-1600),500)))))))</f>
        <v>22.75</v>
      </c>
      <c r="AK76" s="4" t="n">
        <f aca="false">IF(Y76="","",IF(Y76&lt;=50,(50/50)*Y76,IF(Y76&lt;=100,50+((100-50)/(100-50))*(Y76-50),IF(Y76&lt;=168,100+((200-100)/(168-100))*(Y76-100),IF(Y76&lt;=208,200+((300-200)/(208-168))*(Y76-168),IF(Y76&lt;=748,300+((400-300)/(748-208))*(Y76-208),IF(Y76&lt;=1000,400+((500-400)/(1000-748))*(Y76-748),500)))))))</f>
        <v>27</v>
      </c>
      <c r="AL76" s="4" t="n">
        <f aca="false">ROUND(MAX(AF76,AG76,AH76,AI76,AJ76,AK76),0)</f>
        <v>44</v>
      </c>
      <c r="AM76" s="4" t="str">
        <f aca="false">IF(AL76="","",IF(AL76&lt;=50,"Good",IF(AL76&lt;=100,"Satisfactory",IF(AL76&lt;=200,"Moderate",IF(AL76&lt;=300,"Poor",IF(AL76&lt;=400,"Very Poor","Severe"))))))</f>
        <v>Good</v>
      </c>
    </row>
    <row r="77" customFormat="false" ht="15.75" hidden="false" customHeight="false" outlineLevel="0" collapsed="false">
      <c r="A77" s="1" t="s">
        <v>39</v>
      </c>
      <c r="B77" s="1" t="s">
        <v>40</v>
      </c>
      <c r="C77" s="1" t="n">
        <v>28.4595</v>
      </c>
      <c r="D77" s="1" t="n">
        <v>77.0266</v>
      </c>
      <c r="E77" s="5" t="n">
        <v>45904</v>
      </c>
      <c r="F77" s="6" t="s">
        <v>52</v>
      </c>
      <c r="G77" s="1" t="n">
        <v>9</v>
      </c>
      <c r="H77" s="7" t="s">
        <v>80</v>
      </c>
      <c r="I77" s="6" t="s">
        <v>43</v>
      </c>
      <c r="J77" s="7" t="s">
        <v>44</v>
      </c>
      <c r="K77" s="7" t="s">
        <v>45</v>
      </c>
      <c r="L77" s="1" t="n">
        <v>98</v>
      </c>
      <c r="M77" s="1" t="n">
        <v>24.3</v>
      </c>
      <c r="N77" s="1" t="n">
        <v>16.6</v>
      </c>
      <c r="O77" s="1" t="n">
        <v>0.3</v>
      </c>
      <c r="P77" s="6" t="s">
        <v>46</v>
      </c>
      <c r="Q77" s="6" t="s">
        <v>43</v>
      </c>
      <c r="R77" s="1" t="n">
        <v>1003.6</v>
      </c>
      <c r="S77" s="1" t="n">
        <v>100</v>
      </c>
      <c r="T77" s="1" t="n">
        <v>21.9</v>
      </c>
      <c r="U77" s="1" t="n">
        <v>22.1</v>
      </c>
      <c r="V77" s="1" t="n">
        <v>686</v>
      </c>
      <c r="W77" s="1" t="n">
        <v>31.1</v>
      </c>
      <c r="X77" s="1" t="n">
        <v>16.6</v>
      </c>
      <c r="Y77" s="1" t="n">
        <v>29</v>
      </c>
      <c r="Z77" s="1" t="n">
        <v>0</v>
      </c>
      <c r="AA77" s="1" t="n">
        <v>63</v>
      </c>
      <c r="AB77" s="7" t="s">
        <v>47</v>
      </c>
      <c r="AC77" s="7" t="s">
        <v>50</v>
      </c>
      <c r="AD77" s="6" t="s">
        <v>43</v>
      </c>
      <c r="AE77" s="6" t="s">
        <v>43</v>
      </c>
      <c r="AF77" s="4" t="n">
        <f aca="false">IF(T77="","",IF(T77&lt;=30,(50/30)*T77,IF(T77&lt;=60,50+((100-50)/(60-30))*(T77-30),IF(T77&lt;=90,100+((200-100)/(90-60))*(T77-60),IF(T77&lt;=120,200+((300-200)/(120-90))*(T77-90),IF(T77&lt;=250,300+((400-300)/(250-120))*(T77-120),IF(T77&lt;=380,400+((500-400)/(380-250))*(T77-250),500)))))))</f>
        <v>36.5</v>
      </c>
      <c r="AG77" s="4" t="n">
        <f aca="false">IF(U77="","",IF(U77&lt;=50,(50/50)*U77,IF(U77&lt;=100,50+((100-50)/(100-50))*(U77-50),IF(U77&lt;=250,100+((200-100)/(250-100))*(U77-100),IF(U77&lt;=350,200+((300-200)/(350-250))*(U77-250),IF(U77&lt;=430,300+((400-300)/(430-350))*(U77-350),IF(U77&lt;=600,400+((500-400)/(600-430))*(U77-430),500)))))))</f>
        <v>22.1</v>
      </c>
      <c r="AH77" s="4" t="n">
        <f aca="false">IF(V77="","",IF((V77/1000)&lt;=1,(50/1)*(V77/1000),IF((V77/1000)&lt;=2,50+((100-50)/(2-1))*(V77/1000-1),IF((V77/1000)&lt;=10,100+((200-100)/(10-2))*(V77/1000-2),IF((V77/1000)&lt;=17,200+((300-200)/(17-10))*(V77/1000-10),IF((V77/1000)&lt;=34,300+((400-300)/(34-17))*(V77/1000-17),IF((V77/1000)&lt;=57,400+((500-400)/(57-34))*(V77/1000-34),500)))))))</f>
        <v>34.3</v>
      </c>
      <c r="AI77" s="4" t="n">
        <f aca="false">IF(W77="","",IF(W77&lt;=40,(50/40)*W77,IF(W77&lt;=80,50+((100-50)/(80-40))*(W77-40),IF(W77&lt;=180,100+((200-100)/(180-80))*(W77-80),IF(W77&lt;=280,200+((300-200)/(280-180))*(W77-180),IF(W77&lt;=400,300+((400-300)/(400-280))*(W77-280),IF(W77&lt;=800,400+((500-400)/(800-400))*(W77-400),500)))))))</f>
        <v>38.875</v>
      </c>
      <c r="AJ77" s="4" t="n">
        <f aca="false">IF(X77="","",IF(X77&lt;=40,(50/40)*X77,IF(X77&lt;=80,50+((100-50)/(80-40))*(X77-40),IF(X77&lt;=380,100+((200-100)/(380-80))*(X77-80),IF(X77&lt;=800,200+((300-200)/(800-380))*(X77-380),IF(X77&lt;=1600,300+((400-300)/(1600-800))*(X77-800),IF(X77&lt;=2100,400+((500-400)/(2100-1600))*(X77-1600),500)))))))</f>
        <v>20.75</v>
      </c>
      <c r="AK77" s="4" t="n">
        <f aca="false">IF(Y77="","",IF(Y77&lt;=50,(50/50)*Y77,IF(Y77&lt;=100,50+((100-50)/(100-50))*(Y77-50),IF(Y77&lt;=168,100+((200-100)/(168-100))*(Y77-100),IF(Y77&lt;=208,200+((300-200)/(208-168))*(Y77-168),IF(Y77&lt;=748,300+((400-300)/(748-208))*(Y77-208),IF(Y77&lt;=1000,400+((500-400)/(1000-748))*(Y77-748),500)))))))</f>
        <v>29</v>
      </c>
      <c r="AL77" s="4" t="n">
        <f aca="false">ROUND(MAX(AF77,AG77,AH77,AI77,AJ77,AK77),0)</f>
        <v>39</v>
      </c>
      <c r="AM77" s="4" t="str">
        <f aca="false">IF(AL77="","",IF(AL77&lt;=50,"Good",IF(AL77&lt;=100,"Satisfactory",IF(AL77&lt;=200,"Moderate",IF(AL77&lt;=300,"Poor",IF(AL77&lt;=400,"Very Poor","Severe"))))))</f>
        <v>Good</v>
      </c>
    </row>
    <row r="78" customFormat="false" ht="15.75" hidden="false" customHeight="false" outlineLevel="0" collapsed="false">
      <c r="A78" s="1" t="s">
        <v>39</v>
      </c>
      <c r="B78" s="1" t="s">
        <v>40</v>
      </c>
      <c r="C78" s="1" t="n">
        <v>28.4595</v>
      </c>
      <c r="D78" s="1" t="n">
        <v>77.0266</v>
      </c>
      <c r="E78" s="5" t="n">
        <v>45904</v>
      </c>
      <c r="F78" s="6" t="s">
        <v>53</v>
      </c>
      <c r="G78" s="1" t="n">
        <v>9</v>
      </c>
      <c r="H78" s="7" t="s">
        <v>80</v>
      </c>
      <c r="I78" s="6" t="s">
        <v>43</v>
      </c>
      <c r="J78" s="7" t="s">
        <v>44</v>
      </c>
      <c r="K78" s="7" t="s">
        <v>45</v>
      </c>
      <c r="L78" s="1" t="n">
        <v>97</v>
      </c>
      <c r="M78" s="1" t="n">
        <v>24.2</v>
      </c>
      <c r="N78" s="1" t="n">
        <v>19.1</v>
      </c>
      <c r="O78" s="1" t="n">
        <v>0.1</v>
      </c>
      <c r="P78" s="6" t="s">
        <v>46</v>
      </c>
      <c r="Q78" s="6" t="s">
        <v>43</v>
      </c>
      <c r="R78" s="1" t="n">
        <v>1003.7</v>
      </c>
      <c r="S78" s="1" t="n">
        <v>100</v>
      </c>
      <c r="T78" s="1" t="n">
        <v>18.3</v>
      </c>
      <c r="U78" s="1" t="n">
        <v>18.4</v>
      </c>
      <c r="V78" s="1" t="n">
        <v>634</v>
      </c>
      <c r="W78" s="1" t="n">
        <v>26.8</v>
      </c>
      <c r="X78" s="1" t="n">
        <v>14.7</v>
      </c>
      <c r="Y78" s="1" t="n">
        <v>32</v>
      </c>
      <c r="Z78" s="1" t="n">
        <v>0</v>
      </c>
      <c r="AA78" s="1" t="n">
        <v>62</v>
      </c>
      <c r="AB78" s="7" t="s">
        <v>47</v>
      </c>
      <c r="AC78" s="7" t="s">
        <v>50</v>
      </c>
      <c r="AD78" s="6" t="s">
        <v>43</v>
      </c>
      <c r="AE78" s="6" t="s">
        <v>43</v>
      </c>
      <c r="AF78" s="4" t="n">
        <f aca="false">IF(T78="","",IF(T78&lt;=30,(50/30)*T78,IF(T78&lt;=60,50+((100-50)/(60-30))*(T78-30),IF(T78&lt;=90,100+((200-100)/(90-60))*(T78-60),IF(T78&lt;=120,200+((300-200)/(120-90))*(T78-90),IF(T78&lt;=250,300+((400-300)/(250-120))*(T78-120),IF(T78&lt;=380,400+((500-400)/(380-250))*(T78-250),500)))))))</f>
        <v>30.5</v>
      </c>
      <c r="AG78" s="4" t="n">
        <f aca="false">IF(U78="","",IF(U78&lt;=50,(50/50)*U78,IF(U78&lt;=100,50+((100-50)/(100-50))*(U78-50),IF(U78&lt;=250,100+((200-100)/(250-100))*(U78-100),IF(U78&lt;=350,200+((300-200)/(350-250))*(U78-250),IF(U78&lt;=430,300+((400-300)/(430-350))*(U78-350),IF(U78&lt;=600,400+((500-400)/(600-430))*(U78-430),500)))))))</f>
        <v>18.4</v>
      </c>
      <c r="AH78" s="4" t="n">
        <f aca="false">IF(V78="","",IF((V78/1000)&lt;=1,(50/1)*(V78/1000),IF((V78/1000)&lt;=2,50+((100-50)/(2-1))*(V78/1000-1),IF((V78/1000)&lt;=10,100+((200-100)/(10-2))*(V78/1000-2),IF((V78/1000)&lt;=17,200+((300-200)/(17-10))*(V78/1000-10),IF((V78/1000)&lt;=34,300+((400-300)/(34-17))*(V78/1000-17),IF((V78/1000)&lt;=57,400+((500-400)/(57-34))*(V78/1000-34),500)))))))</f>
        <v>31.7</v>
      </c>
      <c r="AI78" s="4" t="n">
        <f aca="false">IF(W78="","",IF(W78&lt;=40,(50/40)*W78,IF(W78&lt;=80,50+((100-50)/(80-40))*(W78-40),IF(W78&lt;=180,100+((200-100)/(180-80))*(W78-80),IF(W78&lt;=280,200+((300-200)/(280-180))*(W78-180),IF(W78&lt;=400,300+((400-300)/(400-280))*(W78-280),IF(W78&lt;=800,400+((500-400)/(800-400))*(W78-400),500)))))))</f>
        <v>33.5</v>
      </c>
      <c r="AJ78" s="4" t="n">
        <f aca="false">IF(X78="","",IF(X78&lt;=40,(50/40)*X78,IF(X78&lt;=80,50+((100-50)/(80-40))*(X78-40),IF(X78&lt;=380,100+((200-100)/(380-80))*(X78-80),IF(X78&lt;=800,200+((300-200)/(800-380))*(X78-380),IF(X78&lt;=1600,300+((400-300)/(1600-800))*(X78-800),IF(X78&lt;=2100,400+((500-400)/(2100-1600))*(X78-1600),500)))))))</f>
        <v>18.375</v>
      </c>
      <c r="AK78" s="4" t="n">
        <f aca="false">IF(Y78="","",IF(Y78&lt;=50,(50/50)*Y78,IF(Y78&lt;=100,50+((100-50)/(100-50))*(Y78-50),IF(Y78&lt;=168,100+((200-100)/(168-100))*(Y78-100),IF(Y78&lt;=208,200+((300-200)/(208-168))*(Y78-168),IF(Y78&lt;=748,300+((400-300)/(748-208))*(Y78-208),IF(Y78&lt;=1000,400+((500-400)/(1000-748))*(Y78-748),500)))))))</f>
        <v>32</v>
      </c>
      <c r="AL78" s="4" t="n">
        <f aca="false">ROUND(MAX(AF78,AG78,AH78,AI78,AJ78,AK78),0)</f>
        <v>34</v>
      </c>
      <c r="AM78" s="4" t="str">
        <f aca="false">IF(AL78="","",IF(AL78&lt;=50,"Good",IF(AL78&lt;=100,"Satisfactory",IF(AL78&lt;=200,"Moderate",IF(AL78&lt;=300,"Poor",IF(AL78&lt;=400,"Very Poor","Severe"))))))</f>
        <v>Good</v>
      </c>
    </row>
    <row r="79" customFormat="false" ht="15.75" hidden="false" customHeight="false" outlineLevel="0" collapsed="false">
      <c r="A79" s="1" t="s">
        <v>39</v>
      </c>
      <c r="B79" s="1" t="s">
        <v>40</v>
      </c>
      <c r="C79" s="1" t="n">
        <v>28.4595</v>
      </c>
      <c r="D79" s="1" t="n">
        <v>77.0266</v>
      </c>
      <c r="E79" s="5" t="n">
        <v>45904</v>
      </c>
      <c r="F79" s="6" t="s">
        <v>54</v>
      </c>
      <c r="G79" s="1" t="n">
        <v>9</v>
      </c>
      <c r="H79" s="7" t="s">
        <v>80</v>
      </c>
      <c r="I79" s="6" t="s">
        <v>43</v>
      </c>
      <c r="J79" s="7" t="s">
        <v>44</v>
      </c>
      <c r="K79" s="7" t="s">
        <v>45</v>
      </c>
      <c r="L79" s="1" t="n">
        <v>97</v>
      </c>
      <c r="M79" s="1" t="n">
        <v>23.9</v>
      </c>
      <c r="N79" s="1" t="n">
        <v>19.1</v>
      </c>
      <c r="O79" s="1" t="n">
        <v>1.8</v>
      </c>
      <c r="P79" s="6" t="s">
        <v>46</v>
      </c>
      <c r="Q79" s="6" t="s">
        <v>43</v>
      </c>
      <c r="R79" s="1" t="n">
        <v>1004.3</v>
      </c>
      <c r="S79" s="1" t="n">
        <v>92</v>
      </c>
      <c r="T79" s="1" t="n">
        <v>25.1</v>
      </c>
      <c r="U79" s="1" t="n">
        <v>26.1</v>
      </c>
      <c r="V79" s="1" t="n">
        <v>610</v>
      </c>
      <c r="W79" s="1" t="n">
        <v>30.4</v>
      </c>
      <c r="X79" s="1" t="n">
        <v>15.7</v>
      </c>
      <c r="Y79" s="1" t="n">
        <v>23</v>
      </c>
      <c r="Z79" s="1" t="n">
        <v>0</v>
      </c>
      <c r="AA79" s="1" t="n">
        <v>62</v>
      </c>
      <c r="AB79" s="7" t="s">
        <v>47</v>
      </c>
      <c r="AC79" s="7" t="s">
        <v>50</v>
      </c>
      <c r="AD79" s="6" t="s">
        <v>43</v>
      </c>
      <c r="AE79" s="6" t="s">
        <v>43</v>
      </c>
      <c r="AF79" s="4" t="n">
        <f aca="false">IF(T79="","",IF(T79&lt;=30,(50/30)*T79,IF(T79&lt;=60,50+((100-50)/(60-30))*(T79-30),IF(T79&lt;=90,100+((200-100)/(90-60))*(T79-60),IF(T79&lt;=120,200+((300-200)/(120-90))*(T79-90),IF(T79&lt;=250,300+((400-300)/(250-120))*(T79-120),IF(T79&lt;=380,400+((500-400)/(380-250))*(T79-250),500)))))))</f>
        <v>41.8333333333333</v>
      </c>
      <c r="AG79" s="4" t="n">
        <f aca="false">IF(U79="","",IF(U79&lt;=50,(50/50)*U79,IF(U79&lt;=100,50+((100-50)/(100-50))*(U79-50),IF(U79&lt;=250,100+((200-100)/(250-100))*(U79-100),IF(U79&lt;=350,200+((300-200)/(350-250))*(U79-250),IF(U79&lt;=430,300+((400-300)/(430-350))*(U79-350),IF(U79&lt;=600,400+((500-400)/(600-430))*(U79-430),500)))))))</f>
        <v>26.1</v>
      </c>
      <c r="AH79" s="4" t="n">
        <f aca="false">IF(V79="","",IF((V79/1000)&lt;=1,(50/1)*(V79/1000),IF((V79/1000)&lt;=2,50+((100-50)/(2-1))*(V79/1000-1),IF((V79/1000)&lt;=10,100+((200-100)/(10-2))*(V79/1000-2),IF((V79/1000)&lt;=17,200+((300-200)/(17-10))*(V79/1000-10),IF((V79/1000)&lt;=34,300+((400-300)/(34-17))*(V79/1000-17),IF((V79/1000)&lt;=57,400+((500-400)/(57-34))*(V79/1000-34),500)))))))</f>
        <v>30.5</v>
      </c>
      <c r="AI79" s="4" t="n">
        <f aca="false">IF(W79="","",IF(W79&lt;=40,(50/40)*W79,IF(W79&lt;=80,50+((100-50)/(80-40))*(W79-40),IF(W79&lt;=180,100+((200-100)/(180-80))*(W79-80),IF(W79&lt;=280,200+((300-200)/(280-180))*(W79-180),IF(W79&lt;=400,300+((400-300)/(400-280))*(W79-280),IF(W79&lt;=800,400+((500-400)/(800-400))*(W79-400),500)))))))</f>
        <v>38</v>
      </c>
      <c r="AJ79" s="4" t="n">
        <f aca="false">IF(X79="","",IF(X79&lt;=40,(50/40)*X79,IF(X79&lt;=80,50+((100-50)/(80-40))*(X79-40),IF(X79&lt;=380,100+((200-100)/(380-80))*(X79-80),IF(X79&lt;=800,200+((300-200)/(800-380))*(X79-380),IF(X79&lt;=1600,300+((400-300)/(1600-800))*(X79-800),IF(X79&lt;=2100,400+((500-400)/(2100-1600))*(X79-1600),500)))))))</f>
        <v>19.625</v>
      </c>
      <c r="AK79" s="4" t="n">
        <f aca="false">IF(Y79="","",IF(Y79&lt;=50,(50/50)*Y79,IF(Y79&lt;=100,50+((100-50)/(100-50))*(Y79-50),IF(Y79&lt;=168,100+((200-100)/(168-100))*(Y79-100),IF(Y79&lt;=208,200+((300-200)/(208-168))*(Y79-168),IF(Y79&lt;=748,300+((400-300)/(748-208))*(Y79-208),IF(Y79&lt;=1000,400+((500-400)/(1000-748))*(Y79-748),500)))))))</f>
        <v>23</v>
      </c>
      <c r="AL79" s="4" t="n">
        <f aca="false">ROUND(MAX(AF79,AG79,AH79,AI79,AJ79,AK79),0)</f>
        <v>42</v>
      </c>
      <c r="AM79" s="4" t="str">
        <f aca="false">IF(AL79="","",IF(AL79&lt;=50,"Good",IF(AL79&lt;=100,"Satisfactory",IF(AL79&lt;=200,"Moderate",IF(AL79&lt;=300,"Poor",IF(AL79&lt;=400,"Very Poor","Severe"))))))</f>
        <v>Good</v>
      </c>
    </row>
    <row r="80" customFormat="false" ht="15.75" hidden="false" customHeight="false" outlineLevel="0" collapsed="false">
      <c r="A80" s="1" t="s">
        <v>39</v>
      </c>
      <c r="B80" s="1" t="s">
        <v>40</v>
      </c>
      <c r="C80" s="1" t="n">
        <v>28.4595</v>
      </c>
      <c r="D80" s="1" t="n">
        <v>77.0266</v>
      </c>
      <c r="E80" s="5" t="n">
        <v>45904</v>
      </c>
      <c r="F80" s="6" t="s">
        <v>55</v>
      </c>
      <c r="G80" s="1" t="n">
        <v>9</v>
      </c>
      <c r="H80" s="7" t="s">
        <v>80</v>
      </c>
      <c r="I80" s="6" t="s">
        <v>43</v>
      </c>
      <c r="J80" s="7" t="s">
        <v>44</v>
      </c>
      <c r="K80" s="7" t="s">
        <v>56</v>
      </c>
      <c r="L80" s="1" t="n">
        <v>96</v>
      </c>
      <c r="M80" s="1" t="n">
        <v>23.9</v>
      </c>
      <c r="N80" s="1" t="n">
        <v>21.2</v>
      </c>
      <c r="O80" s="1" t="n">
        <v>3.2</v>
      </c>
      <c r="P80" s="6" t="s">
        <v>46</v>
      </c>
      <c r="Q80" s="6" t="s">
        <v>43</v>
      </c>
      <c r="R80" s="1" t="n">
        <v>1005.2</v>
      </c>
      <c r="S80" s="1" t="n">
        <v>100</v>
      </c>
      <c r="T80" s="1" t="n">
        <v>27.5</v>
      </c>
      <c r="U80" s="1" t="n">
        <v>28.5</v>
      </c>
      <c r="V80" s="1" t="n">
        <v>632</v>
      </c>
      <c r="W80" s="1" t="n">
        <v>32.8</v>
      </c>
      <c r="X80" s="1" t="n">
        <v>17</v>
      </c>
      <c r="Y80" s="1" t="n">
        <v>24</v>
      </c>
      <c r="Z80" s="1" t="n">
        <v>0</v>
      </c>
      <c r="AA80" s="1" t="n">
        <v>63</v>
      </c>
      <c r="AB80" s="7" t="s">
        <v>47</v>
      </c>
      <c r="AC80" s="7" t="s">
        <v>50</v>
      </c>
      <c r="AD80" s="6" t="s">
        <v>43</v>
      </c>
      <c r="AE80" s="6" t="s">
        <v>43</v>
      </c>
      <c r="AF80" s="4" t="n">
        <f aca="false">IF(T80="","",IF(T80&lt;=30,(50/30)*T80,IF(T80&lt;=60,50+((100-50)/(60-30))*(T80-30),IF(T80&lt;=90,100+((200-100)/(90-60))*(T80-60),IF(T80&lt;=120,200+((300-200)/(120-90))*(T80-90),IF(T80&lt;=250,300+((400-300)/(250-120))*(T80-120),IF(T80&lt;=380,400+((500-400)/(380-250))*(T80-250),500)))))))</f>
        <v>45.8333333333333</v>
      </c>
      <c r="AG80" s="4" t="n">
        <f aca="false">IF(U80="","",IF(U80&lt;=50,(50/50)*U80,IF(U80&lt;=100,50+((100-50)/(100-50))*(U80-50),IF(U80&lt;=250,100+((200-100)/(250-100))*(U80-100),IF(U80&lt;=350,200+((300-200)/(350-250))*(U80-250),IF(U80&lt;=430,300+((400-300)/(430-350))*(U80-350),IF(U80&lt;=600,400+((500-400)/(600-430))*(U80-430),500)))))))</f>
        <v>28.5</v>
      </c>
      <c r="AH80" s="4" t="n">
        <f aca="false">IF(V80="","",IF((V80/1000)&lt;=1,(50/1)*(V80/1000),IF((V80/1000)&lt;=2,50+((100-50)/(2-1))*(V80/1000-1),IF((V80/1000)&lt;=10,100+((200-100)/(10-2))*(V80/1000-2),IF((V80/1000)&lt;=17,200+((300-200)/(17-10))*(V80/1000-10),IF((V80/1000)&lt;=34,300+((400-300)/(34-17))*(V80/1000-17),IF((V80/1000)&lt;=57,400+((500-400)/(57-34))*(V80/1000-34),500)))))))</f>
        <v>31.6</v>
      </c>
      <c r="AI80" s="4" t="n">
        <f aca="false">IF(W80="","",IF(W80&lt;=40,(50/40)*W80,IF(W80&lt;=80,50+((100-50)/(80-40))*(W80-40),IF(W80&lt;=180,100+((200-100)/(180-80))*(W80-80),IF(W80&lt;=280,200+((300-200)/(280-180))*(W80-180),IF(W80&lt;=400,300+((400-300)/(400-280))*(W80-280),IF(W80&lt;=800,400+((500-400)/(800-400))*(W80-400),500)))))))</f>
        <v>41</v>
      </c>
      <c r="AJ80" s="4" t="n">
        <f aca="false">IF(X80="","",IF(X80&lt;=40,(50/40)*X80,IF(X80&lt;=80,50+((100-50)/(80-40))*(X80-40),IF(X80&lt;=380,100+((200-100)/(380-80))*(X80-80),IF(X80&lt;=800,200+((300-200)/(800-380))*(X80-380),IF(X80&lt;=1600,300+((400-300)/(1600-800))*(X80-800),IF(X80&lt;=2100,400+((500-400)/(2100-1600))*(X80-1600),500)))))))</f>
        <v>21.25</v>
      </c>
      <c r="AK80" s="4" t="n">
        <f aca="false">IF(Y80="","",IF(Y80&lt;=50,(50/50)*Y80,IF(Y80&lt;=100,50+((100-50)/(100-50))*(Y80-50),IF(Y80&lt;=168,100+((200-100)/(168-100))*(Y80-100),IF(Y80&lt;=208,200+((300-200)/(208-168))*(Y80-168),IF(Y80&lt;=748,300+((400-300)/(748-208))*(Y80-208),IF(Y80&lt;=1000,400+((500-400)/(1000-748))*(Y80-748),500)))))))</f>
        <v>24</v>
      </c>
      <c r="AL80" s="4" t="n">
        <f aca="false">ROUND(MAX(AF80,AG80,AH80,AI80,AJ80,AK80),0)</f>
        <v>46</v>
      </c>
      <c r="AM80" s="4" t="str">
        <f aca="false">IF(AL80="","",IF(AL80&lt;=50,"Good",IF(AL80&lt;=100,"Satisfactory",IF(AL80&lt;=200,"Moderate",IF(AL80&lt;=300,"Poor",IF(AL80&lt;=400,"Very Poor","Severe"))))))</f>
        <v>Good</v>
      </c>
    </row>
    <row r="81" customFormat="false" ht="15.75" hidden="false" customHeight="false" outlineLevel="0" collapsed="false">
      <c r="A81" s="1" t="s">
        <v>39</v>
      </c>
      <c r="B81" s="1" t="s">
        <v>40</v>
      </c>
      <c r="C81" s="1" t="n">
        <v>28.4595</v>
      </c>
      <c r="D81" s="1" t="n">
        <v>77.0266</v>
      </c>
      <c r="E81" s="5" t="n">
        <v>45904</v>
      </c>
      <c r="F81" s="6" t="s">
        <v>57</v>
      </c>
      <c r="G81" s="1" t="n">
        <v>9</v>
      </c>
      <c r="H81" s="7" t="s">
        <v>80</v>
      </c>
      <c r="I81" s="6" t="s">
        <v>43</v>
      </c>
      <c r="J81" s="7" t="s">
        <v>44</v>
      </c>
      <c r="K81" s="7" t="s">
        <v>56</v>
      </c>
      <c r="L81" s="1" t="n">
        <v>97</v>
      </c>
      <c r="M81" s="1" t="n">
        <v>23.6</v>
      </c>
      <c r="N81" s="1" t="n">
        <v>27</v>
      </c>
      <c r="O81" s="1" t="n">
        <v>4.9</v>
      </c>
      <c r="P81" s="6" t="s">
        <v>46</v>
      </c>
      <c r="Q81" s="6" t="s">
        <v>43</v>
      </c>
      <c r="R81" s="1" t="n">
        <v>1005.5</v>
      </c>
      <c r="S81" s="1" t="n">
        <v>100</v>
      </c>
      <c r="T81" s="1" t="n">
        <v>33.3</v>
      </c>
      <c r="U81" s="1" t="n">
        <v>34.3</v>
      </c>
      <c r="V81" s="1" t="n">
        <v>681</v>
      </c>
      <c r="W81" s="1" t="n">
        <v>35.6</v>
      </c>
      <c r="X81" s="1" t="n">
        <v>18.8</v>
      </c>
      <c r="Y81" s="1" t="n">
        <v>26</v>
      </c>
      <c r="Z81" s="1" t="n">
        <v>0</v>
      </c>
      <c r="AA81" s="1" t="n">
        <v>65</v>
      </c>
      <c r="AB81" s="7" t="s">
        <v>47</v>
      </c>
      <c r="AC81" s="7" t="s">
        <v>48</v>
      </c>
      <c r="AD81" s="6" t="s">
        <v>43</v>
      </c>
      <c r="AE81" s="6" t="s">
        <v>43</v>
      </c>
      <c r="AF81" s="4" t="n">
        <f aca="false">IF(T81="","",IF(T81&lt;=30,(50/30)*T81,IF(T81&lt;=60,50+((100-50)/(60-30))*(T81-30),IF(T81&lt;=90,100+((200-100)/(90-60))*(T81-60),IF(T81&lt;=120,200+((300-200)/(120-90))*(T81-90),IF(T81&lt;=250,300+((400-300)/(250-120))*(T81-120),IF(T81&lt;=380,400+((500-400)/(380-250))*(T81-250),500)))))))</f>
        <v>55.5</v>
      </c>
      <c r="AG81" s="4" t="n">
        <f aca="false">IF(U81="","",IF(U81&lt;=50,(50/50)*U81,IF(U81&lt;=100,50+((100-50)/(100-50))*(U81-50),IF(U81&lt;=250,100+((200-100)/(250-100))*(U81-100),IF(U81&lt;=350,200+((300-200)/(350-250))*(U81-250),IF(U81&lt;=430,300+((400-300)/(430-350))*(U81-350),IF(U81&lt;=600,400+((500-400)/(600-430))*(U81-430),500)))))))</f>
        <v>34.3</v>
      </c>
      <c r="AH81" s="4" t="n">
        <f aca="false">IF(V81="","",IF((V81/1000)&lt;=1,(50/1)*(V81/1000),IF((V81/1000)&lt;=2,50+((100-50)/(2-1))*(V81/1000-1),IF((V81/1000)&lt;=10,100+((200-100)/(10-2))*(V81/1000-2),IF((V81/1000)&lt;=17,200+((300-200)/(17-10))*(V81/1000-10),IF((V81/1000)&lt;=34,300+((400-300)/(34-17))*(V81/1000-17),IF((V81/1000)&lt;=57,400+((500-400)/(57-34))*(V81/1000-34),500)))))))</f>
        <v>34.05</v>
      </c>
      <c r="AI81" s="4" t="n">
        <f aca="false">IF(W81="","",IF(W81&lt;=40,(50/40)*W81,IF(W81&lt;=80,50+((100-50)/(80-40))*(W81-40),IF(W81&lt;=180,100+((200-100)/(180-80))*(W81-80),IF(W81&lt;=280,200+((300-200)/(280-180))*(W81-180),IF(W81&lt;=400,300+((400-300)/(400-280))*(W81-280),IF(W81&lt;=800,400+((500-400)/(800-400))*(W81-400),500)))))))</f>
        <v>44.5</v>
      </c>
      <c r="AJ81" s="4" t="n">
        <f aca="false">IF(X81="","",IF(X81&lt;=40,(50/40)*X81,IF(X81&lt;=80,50+((100-50)/(80-40))*(X81-40),IF(X81&lt;=380,100+((200-100)/(380-80))*(X81-80),IF(X81&lt;=800,200+((300-200)/(800-380))*(X81-380),IF(X81&lt;=1600,300+((400-300)/(1600-800))*(X81-800),IF(X81&lt;=2100,400+((500-400)/(2100-1600))*(X81-1600),500)))))))</f>
        <v>23.5</v>
      </c>
      <c r="AK81" s="4" t="n">
        <f aca="false">IF(Y81="","",IF(Y81&lt;=50,(50/50)*Y81,IF(Y81&lt;=100,50+((100-50)/(100-50))*(Y81-50),IF(Y81&lt;=168,100+((200-100)/(168-100))*(Y81-100),IF(Y81&lt;=208,200+((300-200)/(208-168))*(Y81-168),IF(Y81&lt;=748,300+((400-300)/(748-208))*(Y81-208),IF(Y81&lt;=1000,400+((500-400)/(1000-748))*(Y81-748),500)))))))</f>
        <v>26</v>
      </c>
      <c r="AL81" s="4" t="n">
        <f aca="false">ROUND(MAX(AF81,AG81,AH81,AI81,AJ81,AK81),0)</f>
        <v>55</v>
      </c>
      <c r="AM81" s="4" t="str">
        <f aca="false">IF(AL81="","",IF(AL81&lt;=50,"Good",IF(AL81&lt;=100,"Satisfactory",IF(AL81&lt;=200,"Moderate",IF(AL81&lt;=300,"Poor",IF(AL81&lt;=400,"Very Poor","Severe"))))))</f>
        <v>Satisfactory</v>
      </c>
    </row>
    <row r="82" customFormat="false" ht="15.75" hidden="false" customHeight="false" outlineLevel="0" collapsed="false">
      <c r="A82" s="1" t="s">
        <v>39</v>
      </c>
      <c r="B82" s="1" t="s">
        <v>40</v>
      </c>
      <c r="C82" s="1" t="n">
        <v>28.4595</v>
      </c>
      <c r="D82" s="1" t="n">
        <v>77.0266</v>
      </c>
      <c r="E82" s="5" t="n">
        <v>45904</v>
      </c>
      <c r="F82" s="6" t="s">
        <v>58</v>
      </c>
      <c r="G82" s="1" t="n">
        <v>9</v>
      </c>
      <c r="H82" s="7" t="s">
        <v>80</v>
      </c>
      <c r="I82" s="6" t="s">
        <v>43</v>
      </c>
      <c r="J82" s="7" t="s">
        <v>44</v>
      </c>
      <c r="K82" s="7" t="s">
        <v>56</v>
      </c>
      <c r="L82" s="1" t="n">
        <v>95</v>
      </c>
      <c r="M82" s="1" t="n">
        <v>23.9</v>
      </c>
      <c r="N82" s="1" t="n">
        <v>18</v>
      </c>
      <c r="O82" s="1" t="n">
        <v>0</v>
      </c>
      <c r="P82" s="6" t="s">
        <v>43</v>
      </c>
      <c r="Q82" s="6" t="s">
        <v>43</v>
      </c>
      <c r="R82" s="1" t="n">
        <v>1005.9</v>
      </c>
      <c r="S82" s="1" t="n">
        <v>100</v>
      </c>
      <c r="T82" s="1" t="n">
        <v>34.6</v>
      </c>
      <c r="U82" s="1" t="n">
        <v>36</v>
      </c>
      <c r="V82" s="1" t="n">
        <v>711</v>
      </c>
      <c r="W82" s="1" t="n">
        <v>34.9</v>
      </c>
      <c r="X82" s="1" t="n">
        <v>19.7</v>
      </c>
      <c r="Y82" s="1" t="n">
        <v>38</v>
      </c>
      <c r="Z82" s="1" t="n">
        <v>0</v>
      </c>
      <c r="AA82" s="1" t="n">
        <v>67</v>
      </c>
      <c r="AB82" s="7" t="s">
        <v>47</v>
      </c>
      <c r="AC82" s="7" t="s">
        <v>48</v>
      </c>
      <c r="AD82" s="6" t="s">
        <v>43</v>
      </c>
      <c r="AE82" s="6" t="s">
        <v>43</v>
      </c>
      <c r="AF82" s="4" t="n">
        <f aca="false">IF(T82="","",IF(T82&lt;=30,(50/30)*T82,IF(T82&lt;=60,50+((100-50)/(60-30))*(T82-30),IF(T82&lt;=90,100+((200-100)/(90-60))*(T82-60),IF(T82&lt;=120,200+((300-200)/(120-90))*(T82-90),IF(T82&lt;=250,300+((400-300)/(250-120))*(T82-120),IF(T82&lt;=380,400+((500-400)/(380-250))*(T82-250),500)))))))</f>
        <v>57.6666666666667</v>
      </c>
      <c r="AG82" s="4" t="n">
        <f aca="false">IF(U82="","",IF(U82&lt;=50,(50/50)*U82,IF(U82&lt;=100,50+((100-50)/(100-50))*(U82-50),IF(U82&lt;=250,100+((200-100)/(250-100))*(U82-100),IF(U82&lt;=350,200+((300-200)/(350-250))*(U82-250),IF(U82&lt;=430,300+((400-300)/(430-350))*(U82-350),IF(U82&lt;=600,400+((500-400)/(600-430))*(U82-430),500)))))))</f>
        <v>36</v>
      </c>
      <c r="AH82" s="4" t="n">
        <f aca="false">IF(V82="","",IF((V82/1000)&lt;=1,(50/1)*(V82/1000),IF((V82/1000)&lt;=2,50+((100-50)/(2-1))*(V82/1000-1),IF((V82/1000)&lt;=10,100+((200-100)/(10-2))*(V82/1000-2),IF((V82/1000)&lt;=17,200+((300-200)/(17-10))*(V82/1000-10),IF((V82/1000)&lt;=34,300+((400-300)/(34-17))*(V82/1000-17),IF((V82/1000)&lt;=57,400+((500-400)/(57-34))*(V82/1000-34),500)))))))</f>
        <v>35.55</v>
      </c>
      <c r="AI82" s="4" t="n">
        <f aca="false">IF(W82="","",IF(W82&lt;=40,(50/40)*W82,IF(W82&lt;=80,50+((100-50)/(80-40))*(W82-40),IF(W82&lt;=180,100+((200-100)/(180-80))*(W82-80),IF(W82&lt;=280,200+((300-200)/(280-180))*(W82-180),IF(W82&lt;=400,300+((400-300)/(400-280))*(W82-280),IF(W82&lt;=800,400+((500-400)/(800-400))*(W82-400),500)))))))</f>
        <v>43.625</v>
      </c>
      <c r="AJ82" s="4" t="n">
        <f aca="false">IF(X82="","",IF(X82&lt;=40,(50/40)*X82,IF(X82&lt;=80,50+((100-50)/(80-40))*(X82-40),IF(X82&lt;=380,100+((200-100)/(380-80))*(X82-80),IF(X82&lt;=800,200+((300-200)/(800-380))*(X82-380),IF(X82&lt;=1600,300+((400-300)/(1600-800))*(X82-800),IF(X82&lt;=2100,400+((500-400)/(2100-1600))*(X82-1600),500)))))))</f>
        <v>24.625</v>
      </c>
      <c r="AK82" s="4" t="n">
        <f aca="false">IF(Y82="","",IF(Y82&lt;=50,(50/50)*Y82,IF(Y82&lt;=100,50+((100-50)/(100-50))*(Y82-50),IF(Y82&lt;=168,100+((200-100)/(168-100))*(Y82-100),IF(Y82&lt;=208,200+((300-200)/(208-168))*(Y82-168),IF(Y82&lt;=748,300+((400-300)/(748-208))*(Y82-208),IF(Y82&lt;=1000,400+((500-400)/(1000-748))*(Y82-748),500)))))))</f>
        <v>38</v>
      </c>
      <c r="AL82" s="4" t="n">
        <f aca="false">ROUND(MAX(AF82,AG82,AH82,AI82,AJ82,AK82),0)</f>
        <v>58</v>
      </c>
      <c r="AM82" s="4" t="str">
        <f aca="false">IF(AL82="","",IF(AL82&lt;=50,"Good",IF(AL82&lt;=100,"Satisfactory",IF(AL82&lt;=200,"Moderate",IF(AL82&lt;=300,"Poor",IF(AL82&lt;=400,"Very Poor","Severe"))))))</f>
        <v>Satisfactory</v>
      </c>
    </row>
    <row r="83" customFormat="false" ht="15.75" hidden="false" customHeight="false" outlineLevel="0" collapsed="false">
      <c r="A83" s="1" t="s">
        <v>39</v>
      </c>
      <c r="B83" s="1" t="s">
        <v>40</v>
      </c>
      <c r="C83" s="1" t="n">
        <v>28.4595</v>
      </c>
      <c r="D83" s="1" t="n">
        <v>77.0266</v>
      </c>
      <c r="E83" s="5" t="n">
        <v>45904</v>
      </c>
      <c r="F83" s="6" t="s">
        <v>59</v>
      </c>
      <c r="G83" s="1" t="n">
        <v>9</v>
      </c>
      <c r="H83" s="7" t="s">
        <v>80</v>
      </c>
      <c r="I83" s="6" t="s">
        <v>43</v>
      </c>
      <c r="J83" s="7" t="s">
        <v>44</v>
      </c>
      <c r="K83" s="7" t="s">
        <v>60</v>
      </c>
      <c r="L83" s="1" t="n">
        <v>91</v>
      </c>
      <c r="M83" s="1" t="n">
        <v>24.9</v>
      </c>
      <c r="N83" s="1" t="n">
        <v>14</v>
      </c>
      <c r="O83" s="1" t="n">
        <v>0</v>
      </c>
      <c r="P83" s="6" t="s">
        <v>43</v>
      </c>
      <c r="Q83" s="6" t="s">
        <v>43</v>
      </c>
      <c r="R83" s="1" t="n">
        <v>1006</v>
      </c>
      <c r="S83" s="1" t="n">
        <v>100</v>
      </c>
      <c r="T83" s="1" t="n">
        <v>29.2</v>
      </c>
      <c r="U83" s="1" t="n">
        <v>29.9</v>
      </c>
      <c r="V83" s="1" t="n">
        <v>702</v>
      </c>
      <c r="W83" s="1" t="n">
        <v>27.1</v>
      </c>
      <c r="X83" s="1" t="n">
        <v>18.7</v>
      </c>
      <c r="Y83" s="1" t="n">
        <v>69</v>
      </c>
      <c r="Z83" s="1" t="n">
        <v>0</v>
      </c>
      <c r="AA83" s="1" t="n">
        <v>70</v>
      </c>
      <c r="AB83" s="7" t="s">
        <v>47</v>
      </c>
      <c r="AC83" s="7" t="s">
        <v>50</v>
      </c>
      <c r="AD83" s="6" t="s">
        <v>43</v>
      </c>
      <c r="AE83" s="6" t="s">
        <v>43</v>
      </c>
      <c r="AF83" s="4" t="n">
        <f aca="false">IF(T83="","",IF(T83&lt;=30,(50/30)*T83,IF(T83&lt;=60,50+((100-50)/(60-30))*(T83-30),IF(T83&lt;=90,100+((200-100)/(90-60))*(T83-60),IF(T83&lt;=120,200+((300-200)/(120-90))*(T83-90),IF(T83&lt;=250,300+((400-300)/(250-120))*(T83-120),IF(T83&lt;=380,400+((500-400)/(380-250))*(T83-250),500)))))))</f>
        <v>48.6666666666667</v>
      </c>
      <c r="AG83" s="4" t="n">
        <f aca="false">IF(U83="","",IF(U83&lt;=50,(50/50)*U83,IF(U83&lt;=100,50+((100-50)/(100-50))*(U83-50),IF(U83&lt;=250,100+((200-100)/(250-100))*(U83-100),IF(U83&lt;=350,200+((300-200)/(350-250))*(U83-250),IF(U83&lt;=430,300+((400-300)/(430-350))*(U83-350),IF(U83&lt;=600,400+((500-400)/(600-430))*(U83-430),500)))))))</f>
        <v>29.9</v>
      </c>
      <c r="AH83" s="4" t="n">
        <f aca="false">IF(V83="","",IF((V83/1000)&lt;=1,(50/1)*(V83/1000),IF((V83/1000)&lt;=2,50+((100-50)/(2-1))*(V83/1000-1),IF((V83/1000)&lt;=10,100+((200-100)/(10-2))*(V83/1000-2),IF((V83/1000)&lt;=17,200+((300-200)/(17-10))*(V83/1000-10),IF((V83/1000)&lt;=34,300+((400-300)/(34-17))*(V83/1000-17),IF((V83/1000)&lt;=57,400+((500-400)/(57-34))*(V83/1000-34),500)))))))</f>
        <v>35.1</v>
      </c>
      <c r="AI83" s="4" t="n">
        <f aca="false">IF(W83="","",IF(W83&lt;=40,(50/40)*W83,IF(W83&lt;=80,50+((100-50)/(80-40))*(W83-40),IF(W83&lt;=180,100+((200-100)/(180-80))*(W83-80),IF(W83&lt;=280,200+((300-200)/(280-180))*(W83-180),IF(W83&lt;=400,300+((400-300)/(400-280))*(W83-280),IF(W83&lt;=800,400+((500-400)/(800-400))*(W83-400),500)))))))</f>
        <v>33.875</v>
      </c>
      <c r="AJ83" s="4" t="n">
        <f aca="false">IF(X83="","",IF(X83&lt;=40,(50/40)*X83,IF(X83&lt;=80,50+((100-50)/(80-40))*(X83-40),IF(X83&lt;=380,100+((200-100)/(380-80))*(X83-80),IF(X83&lt;=800,200+((300-200)/(800-380))*(X83-380),IF(X83&lt;=1600,300+((400-300)/(1600-800))*(X83-800),IF(X83&lt;=2100,400+((500-400)/(2100-1600))*(X83-1600),500)))))))</f>
        <v>23.375</v>
      </c>
      <c r="AK83" s="4" t="n">
        <f aca="false">IF(Y83="","",IF(Y83&lt;=50,(50/50)*Y83,IF(Y83&lt;=100,50+((100-50)/(100-50))*(Y83-50),IF(Y83&lt;=168,100+((200-100)/(168-100))*(Y83-100),IF(Y83&lt;=208,200+((300-200)/(208-168))*(Y83-168),IF(Y83&lt;=748,300+((400-300)/(748-208))*(Y83-208),IF(Y83&lt;=1000,400+((500-400)/(1000-748))*(Y83-748),500)))))))</f>
        <v>69</v>
      </c>
      <c r="AL83" s="4" t="n">
        <f aca="false">ROUND(MAX(AF83,AG83,AH83,AI83,AJ83,AK83),0)</f>
        <v>69</v>
      </c>
      <c r="AM83" s="4" t="str">
        <f aca="false">IF(AL83="","",IF(AL83&lt;=50,"Good",IF(AL83&lt;=100,"Satisfactory",IF(AL83&lt;=200,"Moderate",IF(AL83&lt;=300,"Poor",IF(AL83&lt;=400,"Very Poor","Severe"))))))</f>
        <v>Satisfactory</v>
      </c>
    </row>
    <row r="84" customFormat="false" ht="15.75" hidden="false" customHeight="false" outlineLevel="0" collapsed="false">
      <c r="A84" s="1" t="s">
        <v>39</v>
      </c>
      <c r="B84" s="1" t="s">
        <v>40</v>
      </c>
      <c r="C84" s="1" t="n">
        <v>28.4595</v>
      </c>
      <c r="D84" s="1" t="n">
        <v>77.0266</v>
      </c>
      <c r="E84" s="5" t="n">
        <v>45904</v>
      </c>
      <c r="F84" s="6" t="s">
        <v>61</v>
      </c>
      <c r="G84" s="1" t="n">
        <v>9</v>
      </c>
      <c r="H84" s="7" t="s">
        <v>80</v>
      </c>
      <c r="I84" s="6" t="s">
        <v>43</v>
      </c>
      <c r="J84" s="7" t="s">
        <v>44</v>
      </c>
      <c r="K84" s="7" t="s">
        <v>60</v>
      </c>
      <c r="L84" s="1" t="n">
        <v>84</v>
      </c>
      <c r="M84" s="1" t="n">
        <v>25.5</v>
      </c>
      <c r="N84" s="1" t="n">
        <v>16.6</v>
      </c>
      <c r="O84" s="1" t="n">
        <v>0</v>
      </c>
      <c r="P84" s="6" t="s">
        <v>43</v>
      </c>
      <c r="Q84" s="6" t="s">
        <v>43</v>
      </c>
      <c r="R84" s="1" t="n">
        <v>1006.1</v>
      </c>
      <c r="S84" s="1" t="n">
        <v>100</v>
      </c>
      <c r="T84" s="1" t="n">
        <v>23.5</v>
      </c>
      <c r="U84" s="1" t="n">
        <v>23.9</v>
      </c>
      <c r="V84" s="1" t="n">
        <v>673</v>
      </c>
      <c r="W84" s="1" t="n">
        <v>15.7</v>
      </c>
      <c r="X84" s="1" t="n">
        <v>16.8</v>
      </c>
      <c r="Y84" s="1" t="n">
        <v>109</v>
      </c>
      <c r="Z84" s="1" t="n">
        <v>0</v>
      </c>
      <c r="AA84" s="1" t="n">
        <v>71</v>
      </c>
      <c r="AB84" s="7" t="s">
        <v>47</v>
      </c>
      <c r="AC84" s="7" t="s">
        <v>50</v>
      </c>
      <c r="AD84" s="6" t="s">
        <v>43</v>
      </c>
      <c r="AE84" s="6" t="s">
        <v>43</v>
      </c>
      <c r="AF84" s="4" t="n">
        <f aca="false">IF(T84="","",IF(T84&lt;=30,(50/30)*T84,IF(T84&lt;=60,50+((100-50)/(60-30))*(T84-30),IF(T84&lt;=90,100+((200-100)/(90-60))*(T84-60),IF(T84&lt;=120,200+((300-200)/(120-90))*(T84-90),IF(T84&lt;=250,300+((400-300)/(250-120))*(T84-120),IF(T84&lt;=380,400+((500-400)/(380-250))*(T84-250),500)))))))</f>
        <v>39.1666666666667</v>
      </c>
      <c r="AG84" s="4" t="n">
        <f aca="false">IF(U84="","",IF(U84&lt;=50,(50/50)*U84,IF(U84&lt;=100,50+((100-50)/(100-50))*(U84-50),IF(U84&lt;=250,100+((200-100)/(250-100))*(U84-100),IF(U84&lt;=350,200+((300-200)/(350-250))*(U84-250),IF(U84&lt;=430,300+((400-300)/(430-350))*(U84-350),IF(U84&lt;=600,400+((500-400)/(600-430))*(U84-430),500)))))))</f>
        <v>23.9</v>
      </c>
      <c r="AH84" s="4" t="n">
        <f aca="false">IF(V84="","",IF((V84/1000)&lt;=1,(50/1)*(V84/1000),IF((V84/1000)&lt;=2,50+((100-50)/(2-1))*(V84/1000-1),IF((V84/1000)&lt;=10,100+((200-100)/(10-2))*(V84/1000-2),IF((V84/1000)&lt;=17,200+((300-200)/(17-10))*(V84/1000-10),IF((V84/1000)&lt;=34,300+((400-300)/(34-17))*(V84/1000-17),IF((V84/1000)&lt;=57,400+((500-400)/(57-34))*(V84/1000-34),500)))))))</f>
        <v>33.65</v>
      </c>
      <c r="AI84" s="4" t="n">
        <f aca="false">IF(W84="","",IF(W84&lt;=40,(50/40)*W84,IF(W84&lt;=80,50+((100-50)/(80-40))*(W84-40),IF(W84&lt;=180,100+((200-100)/(180-80))*(W84-80),IF(W84&lt;=280,200+((300-200)/(280-180))*(W84-180),IF(W84&lt;=400,300+((400-300)/(400-280))*(W84-280),IF(W84&lt;=800,400+((500-400)/(800-400))*(W84-400),500)))))))</f>
        <v>19.625</v>
      </c>
      <c r="AJ84" s="4" t="n">
        <f aca="false">IF(X84="","",IF(X84&lt;=40,(50/40)*X84,IF(X84&lt;=80,50+((100-50)/(80-40))*(X84-40),IF(X84&lt;=380,100+((200-100)/(380-80))*(X84-80),IF(X84&lt;=800,200+((300-200)/(800-380))*(X84-380),IF(X84&lt;=1600,300+((400-300)/(1600-800))*(X84-800),IF(X84&lt;=2100,400+((500-400)/(2100-1600))*(X84-1600),500)))))))</f>
        <v>21</v>
      </c>
      <c r="AK84" s="4" t="n">
        <f aca="false">IF(Y84="","",IF(Y84&lt;=50,(50/50)*Y84,IF(Y84&lt;=100,50+((100-50)/(100-50))*(Y84-50),IF(Y84&lt;=168,100+((200-100)/(168-100))*(Y84-100),IF(Y84&lt;=208,200+((300-200)/(208-168))*(Y84-168),IF(Y84&lt;=748,300+((400-300)/(748-208))*(Y84-208),IF(Y84&lt;=1000,400+((500-400)/(1000-748))*(Y84-748),500)))))))</f>
        <v>113.235294117647</v>
      </c>
      <c r="AL84" s="4" t="n">
        <f aca="false">ROUND(MAX(AF84,AG84,AH84,AI84,AJ84,AK84),0)</f>
        <v>113</v>
      </c>
      <c r="AM84" s="4" t="str">
        <f aca="false">IF(AL84="","",IF(AL84&lt;=50,"Good",IF(AL84&lt;=100,"Satisfactory",IF(AL84&lt;=200,"Moderate",IF(AL84&lt;=300,"Poor",IF(AL84&lt;=400,"Very Poor","Severe"))))))</f>
        <v>Moderate</v>
      </c>
    </row>
    <row r="85" customFormat="false" ht="15.75" hidden="false" customHeight="false" outlineLevel="0" collapsed="false">
      <c r="A85" s="1" t="s">
        <v>39</v>
      </c>
      <c r="B85" s="1" t="s">
        <v>40</v>
      </c>
      <c r="C85" s="1" t="n">
        <v>28.4595</v>
      </c>
      <c r="D85" s="1" t="n">
        <v>77.0266</v>
      </c>
      <c r="E85" s="5" t="n">
        <v>45904</v>
      </c>
      <c r="F85" s="6" t="s">
        <v>62</v>
      </c>
      <c r="G85" s="1" t="n">
        <v>9</v>
      </c>
      <c r="H85" s="7" t="s">
        <v>80</v>
      </c>
      <c r="I85" s="6" t="s">
        <v>43</v>
      </c>
      <c r="J85" s="7" t="s">
        <v>44</v>
      </c>
      <c r="K85" s="7" t="s">
        <v>60</v>
      </c>
      <c r="L85" s="1" t="n">
        <v>78</v>
      </c>
      <c r="M85" s="1" t="n">
        <v>25.7</v>
      </c>
      <c r="N85" s="1" t="n">
        <v>19.8</v>
      </c>
      <c r="O85" s="1" t="n">
        <v>0</v>
      </c>
      <c r="P85" s="6" t="s">
        <v>43</v>
      </c>
      <c r="Q85" s="6" t="s">
        <v>43</v>
      </c>
      <c r="R85" s="1" t="n">
        <v>1005.6</v>
      </c>
      <c r="S85" s="1" t="n">
        <v>92</v>
      </c>
      <c r="T85" s="1" t="n">
        <v>21.4</v>
      </c>
      <c r="U85" s="1" t="n">
        <v>22</v>
      </c>
      <c r="V85" s="1" t="n">
        <v>637</v>
      </c>
      <c r="W85" s="1" t="n">
        <v>7.3</v>
      </c>
      <c r="X85" s="1" t="n">
        <v>15.8</v>
      </c>
      <c r="Y85" s="1" t="n">
        <v>143</v>
      </c>
      <c r="Z85" s="1" t="n">
        <v>1</v>
      </c>
      <c r="AA85" s="1" t="n">
        <v>73</v>
      </c>
      <c r="AB85" s="7" t="s">
        <v>47</v>
      </c>
      <c r="AC85" s="7" t="s">
        <v>50</v>
      </c>
      <c r="AD85" s="6" t="s">
        <v>43</v>
      </c>
      <c r="AE85" s="6" t="s">
        <v>43</v>
      </c>
      <c r="AF85" s="4" t="n">
        <f aca="false">IF(T85="","",IF(T85&lt;=30,(50/30)*T85,IF(T85&lt;=60,50+((100-50)/(60-30))*(T85-30),IF(T85&lt;=90,100+((200-100)/(90-60))*(T85-60),IF(T85&lt;=120,200+((300-200)/(120-90))*(T85-90),IF(T85&lt;=250,300+((400-300)/(250-120))*(T85-120),IF(T85&lt;=380,400+((500-400)/(380-250))*(T85-250),500)))))))</f>
        <v>35.6666666666667</v>
      </c>
      <c r="AG85" s="4" t="n">
        <f aca="false">IF(U85="","",IF(U85&lt;=50,(50/50)*U85,IF(U85&lt;=100,50+((100-50)/(100-50))*(U85-50),IF(U85&lt;=250,100+((200-100)/(250-100))*(U85-100),IF(U85&lt;=350,200+((300-200)/(350-250))*(U85-250),IF(U85&lt;=430,300+((400-300)/(430-350))*(U85-350),IF(U85&lt;=600,400+((500-400)/(600-430))*(U85-430),500)))))))</f>
        <v>22</v>
      </c>
      <c r="AH85" s="4" t="n">
        <f aca="false">IF(V85="","",IF((V85/1000)&lt;=1,(50/1)*(V85/1000),IF((V85/1000)&lt;=2,50+((100-50)/(2-1))*(V85/1000-1),IF((V85/1000)&lt;=10,100+((200-100)/(10-2))*(V85/1000-2),IF((V85/1000)&lt;=17,200+((300-200)/(17-10))*(V85/1000-10),IF((V85/1000)&lt;=34,300+((400-300)/(34-17))*(V85/1000-17),IF((V85/1000)&lt;=57,400+((500-400)/(57-34))*(V85/1000-34),500)))))))</f>
        <v>31.85</v>
      </c>
      <c r="AI85" s="4" t="n">
        <f aca="false">IF(W85="","",IF(W85&lt;=40,(50/40)*W85,IF(W85&lt;=80,50+((100-50)/(80-40))*(W85-40),IF(W85&lt;=180,100+((200-100)/(180-80))*(W85-80),IF(W85&lt;=280,200+((300-200)/(280-180))*(W85-180),IF(W85&lt;=400,300+((400-300)/(400-280))*(W85-280),IF(W85&lt;=800,400+((500-400)/(800-400))*(W85-400),500)))))))</f>
        <v>9.125</v>
      </c>
      <c r="AJ85" s="4" t="n">
        <f aca="false">IF(X85="","",IF(X85&lt;=40,(50/40)*X85,IF(X85&lt;=80,50+((100-50)/(80-40))*(X85-40),IF(X85&lt;=380,100+((200-100)/(380-80))*(X85-80),IF(X85&lt;=800,200+((300-200)/(800-380))*(X85-380),IF(X85&lt;=1600,300+((400-300)/(1600-800))*(X85-800),IF(X85&lt;=2100,400+((500-400)/(2100-1600))*(X85-1600),500)))))))</f>
        <v>19.75</v>
      </c>
      <c r="AK85" s="4" t="n">
        <f aca="false">IF(Y85="","",IF(Y85&lt;=50,(50/50)*Y85,IF(Y85&lt;=100,50+((100-50)/(100-50))*(Y85-50),IF(Y85&lt;=168,100+((200-100)/(168-100))*(Y85-100),IF(Y85&lt;=208,200+((300-200)/(208-168))*(Y85-168),IF(Y85&lt;=748,300+((400-300)/(748-208))*(Y85-208),IF(Y85&lt;=1000,400+((500-400)/(1000-748))*(Y85-748),500)))))))</f>
        <v>163.235294117647</v>
      </c>
      <c r="AL85" s="4" t="n">
        <f aca="false">ROUND(MAX(AF85,AG85,AH85,AI85,AJ85,AK85),0)</f>
        <v>163</v>
      </c>
      <c r="AM85" s="4" t="str">
        <f aca="false">IF(AL85="","",IF(AL85&lt;=50,"Good",IF(AL85&lt;=100,"Satisfactory",IF(AL85&lt;=200,"Moderate",IF(AL85&lt;=300,"Poor",IF(AL85&lt;=400,"Very Poor","Severe"))))))</f>
        <v>Moderate</v>
      </c>
    </row>
    <row r="86" customFormat="false" ht="15.75" hidden="false" customHeight="false" outlineLevel="0" collapsed="false">
      <c r="A86" s="1" t="s">
        <v>39</v>
      </c>
      <c r="B86" s="1" t="s">
        <v>40</v>
      </c>
      <c r="C86" s="1" t="n">
        <v>28.4595</v>
      </c>
      <c r="D86" s="1" t="n">
        <v>77.0266</v>
      </c>
      <c r="E86" s="5" t="n">
        <v>45904</v>
      </c>
      <c r="F86" s="6" t="s">
        <v>63</v>
      </c>
      <c r="G86" s="1" t="n">
        <v>9</v>
      </c>
      <c r="H86" s="7" t="s">
        <v>80</v>
      </c>
      <c r="I86" s="6" t="s">
        <v>43</v>
      </c>
      <c r="J86" s="7" t="s">
        <v>44</v>
      </c>
      <c r="K86" s="7" t="s">
        <v>60</v>
      </c>
      <c r="L86" s="1" t="n">
        <v>73</v>
      </c>
      <c r="M86" s="1" t="n">
        <v>25.7</v>
      </c>
      <c r="N86" s="1" t="n">
        <v>23</v>
      </c>
      <c r="O86" s="1" t="n">
        <v>0.1</v>
      </c>
      <c r="P86" s="6" t="s">
        <v>46</v>
      </c>
      <c r="Q86" s="6" t="s">
        <v>43</v>
      </c>
      <c r="R86" s="1" t="n">
        <v>1004.8</v>
      </c>
      <c r="S86" s="1" t="n">
        <v>43</v>
      </c>
      <c r="T86" s="1" t="n">
        <v>22</v>
      </c>
      <c r="U86" s="1" t="n">
        <v>22.6</v>
      </c>
      <c r="V86" s="1" t="n">
        <v>583</v>
      </c>
      <c r="W86" s="1" t="n">
        <v>4.3</v>
      </c>
      <c r="X86" s="1" t="n">
        <v>16.3</v>
      </c>
      <c r="Y86" s="1" t="n">
        <v>164</v>
      </c>
      <c r="Z86" s="1" t="n">
        <v>7</v>
      </c>
      <c r="AA86" s="1" t="n">
        <v>74</v>
      </c>
      <c r="AB86" s="7" t="s">
        <v>47</v>
      </c>
      <c r="AC86" s="7" t="s">
        <v>50</v>
      </c>
      <c r="AD86" s="6" t="s">
        <v>43</v>
      </c>
      <c r="AE86" s="6" t="s">
        <v>43</v>
      </c>
      <c r="AF86" s="4" t="n">
        <f aca="false">IF(T86="","",IF(T86&lt;=30,(50/30)*T86,IF(T86&lt;=60,50+((100-50)/(60-30))*(T86-30),IF(T86&lt;=90,100+((200-100)/(90-60))*(T86-60),IF(T86&lt;=120,200+((300-200)/(120-90))*(T86-90),IF(T86&lt;=250,300+((400-300)/(250-120))*(T86-120),IF(T86&lt;=380,400+((500-400)/(380-250))*(T86-250),500)))))))</f>
        <v>36.6666666666667</v>
      </c>
      <c r="AG86" s="4" t="n">
        <f aca="false">IF(U86="","",IF(U86&lt;=50,(50/50)*U86,IF(U86&lt;=100,50+((100-50)/(100-50))*(U86-50),IF(U86&lt;=250,100+((200-100)/(250-100))*(U86-100),IF(U86&lt;=350,200+((300-200)/(350-250))*(U86-250),IF(U86&lt;=430,300+((400-300)/(430-350))*(U86-350),IF(U86&lt;=600,400+((500-400)/(600-430))*(U86-430),500)))))))</f>
        <v>22.6</v>
      </c>
      <c r="AH86" s="4" t="n">
        <f aca="false">IF(V86="","",IF((V86/1000)&lt;=1,(50/1)*(V86/1000),IF((V86/1000)&lt;=2,50+((100-50)/(2-1))*(V86/1000-1),IF((V86/1000)&lt;=10,100+((200-100)/(10-2))*(V86/1000-2),IF((V86/1000)&lt;=17,200+((300-200)/(17-10))*(V86/1000-10),IF((V86/1000)&lt;=34,300+((400-300)/(34-17))*(V86/1000-17),IF((V86/1000)&lt;=57,400+((500-400)/(57-34))*(V86/1000-34),500)))))))</f>
        <v>29.15</v>
      </c>
      <c r="AI86" s="4" t="n">
        <f aca="false">IF(W86="","",IF(W86&lt;=40,(50/40)*W86,IF(W86&lt;=80,50+((100-50)/(80-40))*(W86-40),IF(W86&lt;=180,100+((200-100)/(180-80))*(W86-80),IF(W86&lt;=280,200+((300-200)/(280-180))*(W86-180),IF(W86&lt;=400,300+((400-300)/(400-280))*(W86-280),IF(W86&lt;=800,400+((500-400)/(800-400))*(W86-400),500)))))))</f>
        <v>5.375</v>
      </c>
      <c r="AJ86" s="4" t="n">
        <f aca="false">IF(X86="","",IF(X86&lt;=40,(50/40)*X86,IF(X86&lt;=80,50+((100-50)/(80-40))*(X86-40),IF(X86&lt;=380,100+((200-100)/(380-80))*(X86-80),IF(X86&lt;=800,200+((300-200)/(800-380))*(X86-380),IF(X86&lt;=1600,300+((400-300)/(1600-800))*(X86-800),IF(X86&lt;=2100,400+((500-400)/(2100-1600))*(X86-1600),500)))))))</f>
        <v>20.375</v>
      </c>
      <c r="AK86" s="4" t="n">
        <f aca="false">IF(Y86="","",IF(Y86&lt;=50,(50/50)*Y86,IF(Y86&lt;=100,50+((100-50)/(100-50))*(Y86-50),IF(Y86&lt;=168,100+((200-100)/(168-100))*(Y86-100),IF(Y86&lt;=208,200+((300-200)/(208-168))*(Y86-168),IF(Y86&lt;=748,300+((400-300)/(748-208))*(Y86-208),IF(Y86&lt;=1000,400+((500-400)/(1000-748))*(Y86-748),500)))))))</f>
        <v>194.117647058824</v>
      </c>
      <c r="AL86" s="4" t="n">
        <f aca="false">ROUND(MAX(AF86,AG86,AH86,AI86,AJ86,AK86),0)</f>
        <v>194</v>
      </c>
      <c r="AM86" s="4" t="str">
        <f aca="false">IF(AL86="","",IF(AL86&lt;=50,"Good",IF(AL86&lt;=100,"Satisfactory",IF(AL86&lt;=200,"Moderate",IF(AL86&lt;=300,"Poor",IF(AL86&lt;=400,"Very Poor","Severe"))))))</f>
        <v>Moderate</v>
      </c>
    </row>
    <row r="87" customFormat="false" ht="15.75" hidden="false" customHeight="false" outlineLevel="0" collapsed="false">
      <c r="A87" s="1" t="s">
        <v>39</v>
      </c>
      <c r="B87" s="1" t="s">
        <v>40</v>
      </c>
      <c r="C87" s="1" t="n">
        <v>28.4595</v>
      </c>
      <c r="D87" s="1" t="n">
        <v>77.0266</v>
      </c>
      <c r="E87" s="5" t="n">
        <v>45904</v>
      </c>
      <c r="F87" s="6" t="s">
        <v>64</v>
      </c>
      <c r="G87" s="1" t="n">
        <v>9</v>
      </c>
      <c r="H87" s="7" t="s">
        <v>80</v>
      </c>
      <c r="I87" s="6" t="s">
        <v>43</v>
      </c>
      <c r="J87" s="7" t="s">
        <v>44</v>
      </c>
      <c r="K87" s="7" t="s">
        <v>65</v>
      </c>
      <c r="L87" s="1" t="n">
        <v>69</v>
      </c>
      <c r="M87" s="1" t="n">
        <v>25.3</v>
      </c>
      <c r="N87" s="1" t="n">
        <v>23</v>
      </c>
      <c r="O87" s="1" t="n">
        <v>0</v>
      </c>
      <c r="P87" s="6" t="s">
        <v>43</v>
      </c>
      <c r="Q87" s="6" t="s">
        <v>43</v>
      </c>
      <c r="R87" s="1" t="n">
        <v>1003.4</v>
      </c>
      <c r="S87" s="1" t="n">
        <v>54</v>
      </c>
      <c r="T87" s="1" t="n">
        <v>23.9</v>
      </c>
      <c r="U87" s="1" t="n">
        <v>34.9</v>
      </c>
      <c r="V87" s="1" t="n">
        <v>522</v>
      </c>
      <c r="W87" s="1" t="n">
        <v>4.2</v>
      </c>
      <c r="X87" s="1" t="n">
        <v>17.7</v>
      </c>
      <c r="Y87" s="1" t="n">
        <v>177</v>
      </c>
      <c r="Z87" s="1" t="n">
        <v>15</v>
      </c>
      <c r="AA87" s="1" t="n">
        <v>75</v>
      </c>
      <c r="AB87" s="7" t="s">
        <v>47</v>
      </c>
      <c r="AC87" s="7" t="s">
        <v>50</v>
      </c>
      <c r="AD87" s="6" t="s">
        <v>43</v>
      </c>
      <c r="AE87" s="6" t="s">
        <v>43</v>
      </c>
      <c r="AF87" s="4" t="n">
        <f aca="false">IF(T87="","",IF(T87&lt;=30,(50/30)*T87,IF(T87&lt;=60,50+((100-50)/(60-30))*(T87-30),IF(T87&lt;=90,100+((200-100)/(90-60))*(T87-60),IF(T87&lt;=120,200+((300-200)/(120-90))*(T87-90),IF(T87&lt;=250,300+((400-300)/(250-120))*(T87-120),IF(T87&lt;=380,400+((500-400)/(380-250))*(T87-250),500)))))))</f>
        <v>39.8333333333333</v>
      </c>
      <c r="AG87" s="4" t="n">
        <f aca="false">IF(U87="","",IF(U87&lt;=50,(50/50)*U87,IF(U87&lt;=100,50+((100-50)/(100-50))*(U87-50),IF(U87&lt;=250,100+((200-100)/(250-100))*(U87-100),IF(U87&lt;=350,200+((300-200)/(350-250))*(U87-250),IF(U87&lt;=430,300+((400-300)/(430-350))*(U87-350),IF(U87&lt;=600,400+((500-400)/(600-430))*(U87-430),500)))))))</f>
        <v>34.9</v>
      </c>
      <c r="AH87" s="4" t="n">
        <f aca="false">IF(V87="","",IF((V87/1000)&lt;=1,(50/1)*(V87/1000),IF((V87/1000)&lt;=2,50+((100-50)/(2-1))*(V87/1000-1),IF((V87/1000)&lt;=10,100+((200-100)/(10-2))*(V87/1000-2),IF((V87/1000)&lt;=17,200+((300-200)/(17-10))*(V87/1000-10),IF((V87/1000)&lt;=34,300+((400-300)/(34-17))*(V87/1000-17),IF((V87/1000)&lt;=57,400+((500-400)/(57-34))*(V87/1000-34),500)))))))</f>
        <v>26.1</v>
      </c>
      <c r="AI87" s="4" t="n">
        <f aca="false">IF(W87="","",IF(W87&lt;=40,(50/40)*W87,IF(W87&lt;=80,50+((100-50)/(80-40))*(W87-40),IF(W87&lt;=180,100+((200-100)/(180-80))*(W87-80),IF(W87&lt;=280,200+((300-200)/(280-180))*(W87-180),IF(W87&lt;=400,300+((400-300)/(400-280))*(W87-280),IF(W87&lt;=800,400+((500-400)/(800-400))*(W87-400),500)))))))</f>
        <v>5.25</v>
      </c>
      <c r="AJ87" s="4" t="n">
        <f aca="false">IF(X87="","",IF(X87&lt;=40,(50/40)*X87,IF(X87&lt;=80,50+((100-50)/(80-40))*(X87-40),IF(X87&lt;=380,100+((200-100)/(380-80))*(X87-80),IF(X87&lt;=800,200+((300-200)/(800-380))*(X87-380),IF(X87&lt;=1600,300+((400-300)/(1600-800))*(X87-800),IF(X87&lt;=2100,400+((500-400)/(2100-1600))*(X87-1600),500)))))))</f>
        <v>22.125</v>
      </c>
      <c r="AK87" s="4" t="n">
        <f aca="false">IF(Y87="","",IF(Y87&lt;=50,(50/50)*Y87,IF(Y87&lt;=100,50+((100-50)/(100-50))*(Y87-50),IF(Y87&lt;=168,100+((200-100)/(168-100))*(Y87-100),IF(Y87&lt;=208,200+((300-200)/(208-168))*(Y87-168),IF(Y87&lt;=748,300+((400-300)/(748-208))*(Y87-208),IF(Y87&lt;=1000,400+((500-400)/(1000-748))*(Y87-748),500)))))))</f>
        <v>222.5</v>
      </c>
      <c r="AL87" s="4" t="n">
        <f aca="false">ROUND(MAX(AF87,AG87,AH87,AI87,AJ87,AK87),0)</f>
        <v>223</v>
      </c>
      <c r="AM87" s="4" t="str">
        <f aca="false">IF(AL87="","",IF(AL87&lt;=50,"Good",IF(AL87&lt;=100,"Satisfactory",IF(AL87&lt;=200,"Moderate",IF(AL87&lt;=300,"Poor",IF(AL87&lt;=400,"Very Poor","Severe"))))))</f>
        <v>Poor</v>
      </c>
    </row>
    <row r="88" customFormat="false" ht="15.75" hidden="false" customHeight="false" outlineLevel="0" collapsed="false">
      <c r="A88" s="1" t="s">
        <v>39</v>
      </c>
      <c r="B88" s="1" t="s">
        <v>40</v>
      </c>
      <c r="C88" s="1" t="n">
        <v>28.4595</v>
      </c>
      <c r="D88" s="1" t="n">
        <v>77.0266</v>
      </c>
      <c r="E88" s="5" t="n">
        <v>45904</v>
      </c>
      <c r="F88" s="6" t="s">
        <v>66</v>
      </c>
      <c r="G88" s="1" t="n">
        <v>9</v>
      </c>
      <c r="H88" s="7" t="s">
        <v>80</v>
      </c>
      <c r="I88" s="6" t="s">
        <v>43</v>
      </c>
      <c r="J88" s="7" t="s">
        <v>44</v>
      </c>
      <c r="K88" s="7" t="s">
        <v>65</v>
      </c>
      <c r="L88" s="1" t="n">
        <v>67</v>
      </c>
      <c r="M88" s="1" t="n">
        <v>24.7</v>
      </c>
      <c r="N88" s="1" t="n">
        <v>22.3</v>
      </c>
      <c r="O88" s="1" t="n">
        <v>0.1</v>
      </c>
      <c r="P88" s="6" t="s">
        <v>46</v>
      </c>
      <c r="Q88" s="6" t="s">
        <v>43</v>
      </c>
      <c r="R88" s="1" t="n">
        <v>1002.4</v>
      </c>
      <c r="S88" s="1" t="n">
        <v>98</v>
      </c>
      <c r="T88" s="1" t="n">
        <v>26.7</v>
      </c>
      <c r="U88" s="1" t="n">
        <v>36.9</v>
      </c>
      <c r="V88" s="1" t="n">
        <v>501</v>
      </c>
      <c r="W88" s="1" t="n">
        <v>6.1</v>
      </c>
      <c r="X88" s="1" t="n">
        <v>20.1</v>
      </c>
      <c r="Y88" s="1" t="n">
        <v>186</v>
      </c>
      <c r="Z88" s="1" t="n">
        <v>20</v>
      </c>
      <c r="AA88" s="1" t="n">
        <v>77</v>
      </c>
      <c r="AB88" s="7" t="s">
        <v>47</v>
      </c>
      <c r="AC88" s="7" t="s">
        <v>50</v>
      </c>
      <c r="AD88" s="6" t="s">
        <v>43</v>
      </c>
      <c r="AE88" s="6" t="s">
        <v>43</v>
      </c>
      <c r="AF88" s="4" t="n">
        <f aca="false">IF(T88="","",IF(T88&lt;=30,(50/30)*T88,IF(T88&lt;=60,50+((100-50)/(60-30))*(T88-30),IF(T88&lt;=90,100+((200-100)/(90-60))*(T88-60),IF(T88&lt;=120,200+((300-200)/(120-90))*(T88-90),IF(T88&lt;=250,300+((400-300)/(250-120))*(T88-120),IF(T88&lt;=380,400+((500-400)/(380-250))*(T88-250),500)))))))</f>
        <v>44.5</v>
      </c>
      <c r="AG88" s="4" t="n">
        <f aca="false">IF(U88="","",IF(U88&lt;=50,(50/50)*U88,IF(U88&lt;=100,50+((100-50)/(100-50))*(U88-50),IF(U88&lt;=250,100+((200-100)/(250-100))*(U88-100),IF(U88&lt;=350,200+((300-200)/(350-250))*(U88-250),IF(U88&lt;=430,300+((400-300)/(430-350))*(U88-350),IF(U88&lt;=600,400+((500-400)/(600-430))*(U88-430),500)))))))</f>
        <v>36.9</v>
      </c>
      <c r="AH88" s="4" t="n">
        <f aca="false">IF(V88="","",IF((V88/1000)&lt;=1,(50/1)*(V88/1000),IF((V88/1000)&lt;=2,50+((100-50)/(2-1))*(V88/1000-1),IF((V88/1000)&lt;=10,100+((200-100)/(10-2))*(V88/1000-2),IF((V88/1000)&lt;=17,200+((300-200)/(17-10))*(V88/1000-10),IF((V88/1000)&lt;=34,300+((400-300)/(34-17))*(V88/1000-17),IF((V88/1000)&lt;=57,400+((500-400)/(57-34))*(V88/1000-34),500)))))))</f>
        <v>25.05</v>
      </c>
      <c r="AI88" s="4" t="n">
        <f aca="false">IF(W88="","",IF(W88&lt;=40,(50/40)*W88,IF(W88&lt;=80,50+((100-50)/(80-40))*(W88-40),IF(W88&lt;=180,100+((200-100)/(180-80))*(W88-80),IF(W88&lt;=280,200+((300-200)/(280-180))*(W88-180),IF(W88&lt;=400,300+((400-300)/(400-280))*(W88-280),IF(W88&lt;=800,400+((500-400)/(800-400))*(W88-400),500)))))))</f>
        <v>7.625</v>
      </c>
      <c r="AJ88" s="4" t="n">
        <f aca="false">IF(X88="","",IF(X88&lt;=40,(50/40)*X88,IF(X88&lt;=80,50+((100-50)/(80-40))*(X88-40),IF(X88&lt;=380,100+((200-100)/(380-80))*(X88-80),IF(X88&lt;=800,200+((300-200)/(800-380))*(X88-380),IF(X88&lt;=1600,300+((400-300)/(1600-800))*(X88-800),IF(X88&lt;=2100,400+((500-400)/(2100-1600))*(X88-1600),500)))))))</f>
        <v>25.125</v>
      </c>
      <c r="AK88" s="4" t="n">
        <f aca="false">IF(Y88="","",IF(Y88&lt;=50,(50/50)*Y88,IF(Y88&lt;=100,50+((100-50)/(100-50))*(Y88-50),IF(Y88&lt;=168,100+((200-100)/(168-100))*(Y88-100),IF(Y88&lt;=208,200+((300-200)/(208-168))*(Y88-168),IF(Y88&lt;=748,300+((400-300)/(748-208))*(Y88-208),IF(Y88&lt;=1000,400+((500-400)/(1000-748))*(Y88-748),500)))))))</f>
        <v>245</v>
      </c>
      <c r="AL88" s="4" t="n">
        <f aca="false">ROUND(MAX(AF88,AG88,AH88,AI88,AJ88,AK88),0)</f>
        <v>245</v>
      </c>
      <c r="AM88" s="4" t="str">
        <f aca="false">IF(AL88="","",IF(AL88&lt;=50,"Good",IF(AL88&lt;=100,"Satisfactory",IF(AL88&lt;=200,"Moderate",IF(AL88&lt;=300,"Poor",IF(AL88&lt;=400,"Very Poor","Severe"))))))</f>
        <v>Poor</v>
      </c>
    </row>
    <row r="89" customFormat="false" ht="15.75" hidden="false" customHeight="false" outlineLevel="0" collapsed="false">
      <c r="A89" s="1" t="s">
        <v>39</v>
      </c>
      <c r="B89" s="1" t="s">
        <v>40</v>
      </c>
      <c r="C89" s="1" t="n">
        <v>28.4595</v>
      </c>
      <c r="D89" s="1" t="n">
        <v>77.0266</v>
      </c>
      <c r="E89" s="5" t="n">
        <v>45904</v>
      </c>
      <c r="F89" s="6" t="s">
        <v>67</v>
      </c>
      <c r="G89" s="1" t="n">
        <v>9</v>
      </c>
      <c r="H89" s="7" t="s">
        <v>80</v>
      </c>
      <c r="I89" s="6" t="s">
        <v>43</v>
      </c>
      <c r="J89" s="7" t="s">
        <v>44</v>
      </c>
      <c r="K89" s="7" t="s">
        <v>65</v>
      </c>
      <c r="L89" s="1" t="n">
        <v>70</v>
      </c>
      <c r="M89" s="1" t="n">
        <v>24.4</v>
      </c>
      <c r="N89" s="1" t="n">
        <v>29.2</v>
      </c>
      <c r="O89" s="1" t="n">
        <v>0.2</v>
      </c>
      <c r="P89" s="6" t="s">
        <v>46</v>
      </c>
      <c r="Q89" s="6" t="s">
        <v>43</v>
      </c>
      <c r="R89" s="1" t="n">
        <v>1001.8</v>
      </c>
      <c r="S89" s="1" t="n">
        <v>97</v>
      </c>
      <c r="T89" s="1" t="n">
        <v>31.5</v>
      </c>
      <c r="U89" s="1" t="n">
        <v>58.9</v>
      </c>
      <c r="V89" s="1" t="n">
        <v>521</v>
      </c>
      <c r="W89" s="1" t="n">
        <v>9.4</v>
      </c>
      <c r="X89" s="1" t="n">
        <v>24.1</v>
      </c>
      <c r="Y89" s="1" t="n">
        <v>194</v>
      </c>
      <c r="Z89" s="1" t="n">
        <v>20</v>
      </c>
      <c r="AA89" s="1" t="n">
        <v>78</v>
      </c>
      <c r="AB89" s="7" t="s">
        <v>47</v>
      </c>
      <c r="AC89" s="7" t="s">
        <v>48</v>
      </c>
      <c r="AD89" s="6" t="s">
        <v>43</v>
      </c>
      <c r="AE89" s="6" t="s">
        <v>43</v>
      </c>
      <c r="AF89" s="4" t="n">
        <f aca="false">IF(T89="","",IF(T89&lt;=30,(50/30)*T89,IF(T89&lt;=60,50+((100-50)/(60-30))*(T89-30),IF(T89&lt;=90,100+((200-100)/(90-60))*(T89-60),IF(T89&lt;=120,200+((300-200)/(120-90))*(T89-90),IF(T89&lt;=250,300+((400-300)/(250-120))*(T89-120),IF(T89&lt;=380,400+((500-400)/(380-250))*(T89-250),500)))))))</f>
        <v>52.5</v>
      </c>
      <c r="AG89" s="4" t="n">
        <f aca="false">IF(U89="","",IF(U89&lt;=50,(50/50)*U89,IF(U89&lt;=100,50+((100-50)/(100-50))*(U89-50),IF(U89&lt;=250,100+((200-100)/(250-100))*(U89-100),IF(U89&lt;=350,200+((300-200)/(350-250))*(U89-250),IF(U89&lt;=430,300+((400-300)/(430-350))*(U89-350),IF(U89&lt;=600,400+((500-400)/(600-430))*(U89-430),500)))))))</f>
        <v>58.9</v>
      </c>
      <c r="AH89" s="4" t="n">
        <f aca="false">IF(V89="","",IF((V89/1000)&lt;=1,(50/1)*(V89/1000),IF((V89/1000)&lt;=2,50+((100-50)/(2-1))*(V89/1000-1),IF((V89/1000)&lt;=10,100+((200-100)/(10-2))*(V89/1000-2),IF((V89/1000)&lt;=17,200+((300-200)/(17-10))*(V89/1000-10),IF((V89/1000)&lt;=34,300+((400-300)/(34-17))*(V89/1000-17),IF((V89/1000)&lt;=57,400+((500-400)/(57-34))*(V89/1000-34),500)))))))</f>
        <v>26.05</v>
      </c>
      <c r="AI89" s="4" t="n">
        <f aca="false">IF(W89="","",IF(W89&lt;=40,(50/40)*W89,IF(W89&lt;=80,50+((100-50)/(80-40))*(W89-40),IF(W89&lt;=180,100+((200-100)/(180-80))*(W89-80),IF(W89&lt;=280,200+((300-200)/(280-180))*(W89-180),IF(W89&lt;=400,300+((400-300)/(400-280))*(W89-280),IF(W89&lt;=800,400+((500-400)/(800-400))*(W89-400),500)))))))</f>
        <v>11.75</v>
      </c>
      <c r="AJ89" s="4" t="n">
        <f aca="false">IF(X89="","",IF(X89&lt;=40,(50/40)*X89,IF(X89&lt;=80,50+((100-50)/(80-40))*(X89-40),IF(X89&lt;=380,100+((200-100)/(380-80))*(X89-80),IF(X89&lt;=800,200+((300-200)/(800-380))*(X89-380),IF(X89&lt;=1600,300+((400-300)/(1600-800))*(X89-800),IF(X89&lt;=2100,400+((500-400)/(2100-1600))*(X89-1600),500)))))))</f>
        <v>30.125</v>
      </c>
      <c r="AK89" s="4" t="n">
        <f aca="false">IF(Y89="","",IF(Y89&lt;=50,(50/50)*Y89,IF(Y89&lt;=100,50+((100-50)/(100-50))*(Y89-50),IF(Y89&lt;=168,100+((200-100)/(168-100))*(Y89-100),IF(Y89&lt;=208,200+((300-200)/(208-168))*(Y89-168),IF(Y89&lt;=748,300+((400-300)/(748-208))*(Y89-208),IF(Y89&lt;=1000,400+((500-400)/(1000-748))*(Y89-748),500)))))))</f>
        <v>265</v>
      </c>
      <c r="AL89" s="4" t="n">
        <f aca="false">ROUND(MAX(AF89,AG89,AH89,AI89,AJ89,AK89),0)</f>
        <v>265</v>
      </c>
      <c r="AM89" s="4" t="str">
        <f aca="false">IF(AL89="","",IF(AL89&lt;=50,"Good",IF(AL89&lt;=100,"Satisfactory",IF(AL89&lt;=200,"Moderate",IF(AL89&lt;=300,"Poor",IF(AL89&lt;=400,"Very Poor","Severe"))))))</f>
        <v>Poor</v>
      </c>
    </row>
    <row r="90" customFormat="false" ht="15.75" hidden="false" customHeight="false" outlineLevel="0" collapsed="false">
      <c r="A90" s="1" t="s">
        <v>39</v>
      </c>
      <c r="B90" s="1" t="s">
        <v>40</v>
      </c>
      <c r="C90" s="1" t="n">
        <v>28.4595</v>
      </c>
      <c r="D90" s="1" t="n">
        <v>77.0266</v>
      </c>
      <c r="E90" s="5" t="n">
        <v>45904</v>
      </c>
      <c r="F90" s="6" t="s">
        <v>68</v>
      </c>
      <c r="G90" s="1" t="n">
        <v>9</v>
      </c>
      <c r="H90" s="7" t="s">
        <v>80</v>
      </c>
      <c r="I90" s="6" t="s">
        <v>43</v>
      </c>
      <c r="J90" s="7" t="s">
        <v>44</v>
      </c>
      <c r="K90" s="7" t="s">
        <v>65</v>
      </c>
      <c r="L90" s="1" t="n">
        <v>75</v>
      </c>
      <c r="M90" s="1" t="n">
        <v>24.9</v>
      </c>
      <c r="N90" s="1" t="n">
        <v>22.7</v>
      </c>
      <c r="O90" s="1" t="n">
        <v>0</v>
      </c>
      <c r="P90" s="6" t="s">
        <v>43</v>
      </c>
      <c r="Q90" s="6" t="s">
        <v>43</v>
      </c>
      <c r="R90" s="1" t="n">
        <v>1001.8</v>
      </c>
      <c r="S90" s="1" t="n">
        <v>98</v>
      </c>
      <c r="T90" s="1" t="n">
        <v>33.8</v>
      </c>
      <c r="U90" s="1" t="n">
        <v>48.1</v>
      </c>
      <c r="V90" s="1" t="n">
        <v>579</v>
      </c>
      <c r="W90" s="1" t="n">
        <v>14.7</v>
      </c>
      <c r="X90" s="1" t="n">
        <v>29</v>
      </c>
      <c r="Y90" s="1" t="n">
        <v>196</v>
      </c>
      <c r="Z90" s="1" t="n">
        <v>17</v>
      </c>
      <c r="AA90" s="1" t="n">
        <v>96</v>
      </c>
      <c r="AB90" s="7" t="s">
        <v>47</v>
      </c>
      <c r="AC90" s="7" t="s">
        <v>48</v>
      </c>
      <c r="AD90" s="6" t="s">
        <v>43</v>
      </c>
      <c r="AE90" s="6" t="s">
        <v>43</v>
      </c>
      <c r="AF90" s="4" t="n">
        <f aca="false">IF(T90="","",IF(T90&lt;=30,(50/30)*T90,IF(T90&lt;=60,50+((100-50)/(60-30))*(T90-30),IF(T90&lt;=90,100+((200-100)/(90-60))*(T90-60),IF(T90&lt;=120,200+((300-200)/(120-90))*(T90-90),IF(T90&lt;=250,300+((400-300)/(250-120))*(T90-120),IF(T90&lt;=380,400+((500-400)/(380-250))*(T90-250),500)))))))</f>
        <v>56.3333333333333</v>
      </c>
      <c r="AG90" s="4" t="n">
        <f aca="false">IF(U90="","",IF(U90&lt;=50,(50/50)*U90,IF(U90&lt;=100,50+((100-50)/(100-50))*(U90-50),IF(U90&lt;=250,100+((200-100)/(250-100))*(U90-100),IF(U90&lt;=350,200+((300-200)/(350-250))*(U90-250),IF(U90&lt;=430,300+((400-300)/(430-350))*(U90-350),IF(U90&lt;=600,400+((500-400)/(600-430))*(U90-430),500)))))))</f>
        <v>48.1</v>
      </c>
      <c r="AH90" s="4" t="n">
        <f aca="false">IF(V90="","",IF((V90/1000)&lt;=1,(50/1)*(V90/1000),IF((V90/1000)&lt;=2,50+((100-50)/(2-1))*(V90/1000-1),IF((V90/1000)&lt;=10,100+((200-100)/(10-2))*(V90/1000-2),IF((V90/1000)&lt;=17,200+((300-200)/(17-10))*(V90/1000-10),IF((V90/1000)&lt;=34,300+((400-300)/(34-17))*(V90/1000-17),IF((V90/1000)&lt;=57,400+((500-400)/(57-34))*(V90/1000-34),500)))))))</f>
        <v>28.95</v>
      </c>
      <c r="AI90" s="4" t="n">
        <f aca="false">IF(W90="","",IF(W90&lt;=40,(50/40)*W90,IF(W90&lt;=80,50+((100-50)/(80-40))*(W90-40),IF(W90&lt;=180,100+((200-100)/(180-80))*(W90-80),IF(W90&lt;=280,200+((300-200)/(280-180))*(W90-180),IF(W90&lt;=400,300+((400-300)/(400-280))*(W90-280),IF(W90&lt;=800,400+((500-400)/(800-400))*(W90-400),500)))))))</f>
        <v>18.375</v>
      </c>
      <c r="AJ90" s="4" t="n">
        <f aca="false">IF(X90="","",IF(X90&lt;=40,(50/40)*X90,IF(X90&lt;=80,50+((100-50)/(80-40))*(X90-40),IF(X90&lt;=380,100+((200-100)/(380-80))*(X90-80),IF(X90&lt;=800,200+((300-200)/(800-380))*(X90-380),IF(X90&lt;=1600,300+((400-300)/(1600-800))*(X90-800),IF(X90&lt;=2100,400+((500-400)/(2100-1600))*(X90-1600),500)))))))</f>
        <v>36.25</v>
      </c>
      <c r="AK90" s="4" t="n">
        <f aca="false">IF(Y90="","",IF(Y90&lt;=50,(50/50)*Y90,IF(Y90&lt;=100,50+((100-50)/(100-50))*(Y90-50),IF(Y90&lt;=168,100+((200-100)/(168-100))*(Y90-100),IF(Y90&lt;=208,200+((300-200)/(208-168))*(Y90-168),IF(Y90&lt;=748,300+((400-300)/(748-208))*(Y90-208),IF(Y90&lt;=1000,400+((500-400)/(1000-748))*(Y90-748),500)))))))</f>
        <v>270</v>
      </c>
      <c r="AL90" s="4" t="n">
        <f aca="false">ROUND(MAX(AF90,AG90,AH90,AI90,AJ90,AK90),0)</f>
        <v>270</v>
      </c>
      <c r="AM90" s="4" t="str">
        <f aca="false">IF(AL90="","",IF(AL90&lt;=50,"Good",IF(AL90&lt;=100,"Satisfactory",IF(AL90&lt;=200,"Moderate",IF(AL90&lt;=300,"Poor",IF(AL90&lt;=400,"Very Poor","Severe"))))))</f>
        <v>Poor</v>
      </c>
    </row>
    <row r="91" customFormat="false" ht="15.75" hidden="false" customHeight="false" outlineLevel="0" collapsed="false">
      <c r="A91" s="1" t="s">
        <v>39</v>
      </c>
      <c r="B91" s="1" t="s">
        <v>40</v>
      </c>
      <c r="C91" s="1" t="n">
        <v>28.4595</v>
      </c>
      <c r="D91" s="1" t="n">
        <v>77.0266</v>
      </c>
      <c r="E91" s="5" t="n">
        <v>45904</v>
      </c>
      <c r="F91" s="6" t="s">
        <v>69</v>
      </c>
      <c r="G91" s="1" t="n">
        <v>9</v>
      </c>
      <c r="H91" s="7" t="s">
        <v>80</v>
      </c>
      <c r="I91" s="6" t="s">
        <v>43</v>
      </c>
      <c r="J91" s="7" t="s">
        <v>44</v>
      </c>
      <c r="K91" s="7" t="s">
        <v>65</v>
      </c>
      <c r="L91" s="1" t="n">
        <v>80</v>
      </c>
      <c r="M91" s="1" t="n">
        <v>25.4</v>
      </c>
      <c r="N91" s="1" t="n">
        <v>18.4</v>
      </c>
      <c r="O91" s="1" t="n">
        <v>0</v>
      </c>
      <c r="P91" s="6" t="s">
        <v>43</v>
      </c>
      <c r="Q91" s="6" t="s">
        <v>43</v>
      </c>
      <c r="R91" s="1" t="n">
        <v>1001.6</v>
      </c>
      <c r="S91" s="1" t="n">
        <v>100</v>
      </c>
      <c r="T91" s="1" t="n">
        <v>90.1</v>
      </c>
      <c r="U91" s="1" t="n">
        <v>420</v>
      </c>
      <c r="V91" s="1" t="n">
        <v>719</v>
      </c>
      <c r="W91" s="1" t="n">
        <v>20.1</v>
      </c>
      <c r="X91" s="1" t="n">
        <v>20</v>
      </c>
      <c r="Y91" s="1" t="n">
        <v>130</v>
      </c>
      <c r="Z91" s="1" t="n">
        <v>714</v>
      </c>
      <c r="AA91" s="1" t="n">
        <v>130</v>
      </c>
      <c r="AB91" s="7" t="s">
        <v>81</v>
      </c>
      <c r="AC91" s="7" t="s">
        <v>82</v>
      </c>
      <c r="AD91" s="7" t="s">
        <v>83</v>
      </c>
      <c r="AE91" s="7" t="s">
        <v>84</v>
      </c>
      <c r="AF91" s="4" t="n">
        <f aca="false">IF(T91="","",IF(T91&lt;=30,(50/30)*T91,IF(T91&lt;=60,50+((100-50)/(60-30))*(T91-30),IF(T91&lt;=90,100+((200-100)/(90-60))*(T91-60),IF(T91&lt;=120,200+((300-200)/(120-90))*(T91-90),IF(T91&lt;=250,300+((400-300)/(250-120))*(T91-120),IF(T91&lt;=380,400+((500-400)/(380-250))*(T91-250),500)))))))</f>
        <v>200.333333333333</v>
      </c>
      <c r="AG91" s="4" t="n">
        <f aca="false">IF(U91="","",IF(U91&lt;=50,(50/50)*U91,IF(U91&lt;=100,50+((100-50)/(100-50))*(U91-50),IF(U91&lt;=250,100+((200-100)/(250-100))*(U91-100),IF(U91&lt;=350,200+((300-200)/(350-250))*(U91-250),IF(U91&lt;=430,300+((400-300)/(430-350))*(U91-350),IF(U91&lt;=600,400+((500-400)/(600-430))*(U91-430),500)))))))</f>
        <v>387.5</v>
      </c>
      <c r="AH91" s="4" t="n">
        <f aca="false">IF(V91="","",IF((V91/1000)&lt;=1,(50/1)*(V91/1000),IF((V91/1000)&lt;=2,50+((100-50)/(2-1))*(V91/1000-1),IF((V91/1000)&lt;=10,100+((200-100)/(10-2))*(V91/1000-2),IF((V91/1000)&lt;=17,200+((300-200)/(17-10))*(V91/1000-10),IF((V91/1000)&lt;=34,300+((400-300)/(34-17))*(V91/1000-17),IF((V91/1000)&lt;=57,400+((500-400)/(57-34))*(V91/1000-34),500)))))))</f>
        <v>35.95</v>
      </c>
      <c r="AI91" s="4" t="n">
        <f aca="false">IF(W91="","",IF(W91&lt;=40,(50/40)*W91,IF(W91&lt;=80,50+((100-50)/(80-40))*(W91-40),IF(W91&lt;=180,100+((200-100)/(180-80))*(W91-80),IF(W91&lt;=280,200+((300-200)/(280-180))*(W91-180),IF(W91&lt;=400,300+((400-300)/(400-280))*(W91-280),IF(W91&lt;=800,400+((500-400)/(800-400))*(W91-400),500)))))))</f>
        <v>25.125</v>
      </c>
      <c r="AJ91" s="4" t="n">
        <f aca="false">IF(X91="","",IF(X91&lt;=40,(50/40)*X91,IF(X91&lt;=80,50+((100-50)/(80-40))*(X91-40),IF(X91&lt;=380,100+((200-100)/(380-80))*(X91-80),IF(X91&lt;=800,200+((300-200)/(800-380))*(X91-380),IF(X91&lt;=1600,300+((400-300)/(1600-800))*(X91-800),IF(X91&lt;=2100,400+((500-400)/(2100-1600))*(X91-1600),500)))))))</f>
        <v>25</v>
      </c>
      <c r="AK91" s="4" t="n">
        <f aca="false">IF(Y91="","",IF(Y91&lt;=50,(50/50)*Y91,IF(Y91&lt;=100,50+((100-50)/(100-50))*(Y91-50),IF(Y91&lt;=168,100+((200-100)/(168-100))*(Y91-100),IF(Y91&lt;=208,200+((300-200)/(208-168))*(Y91-168),IF(Y91&lt;=748,300+((400-300)/(748-208))*(Y91-208),IF(Y91&lt;=1000,400+((500-400)/(1000-748))*(Y91-748),500)))))))</f>
        <v>144.117647058824</v>
      </c>
      <c r="AL91" s="4" t="n">
        <f aca="false">ROUND(MAX(AF91,AG91,AH91,AI91,AJ91,AK91),0)</f>
        <v>388</v>
      </c>
      <c r="AM91" s="4" t="str">
        <f aca="false">IF(AL91="","",IF(AL91&lt;=50,"Good",IF(AL91&lt;=100,"Satisfactory",IF(AL91&lt;=200,"Moderate",IF(AL91&lt;=300,"Poor",IF(AL91&lt;=400,"Very Poor","Severe"))))))</f>
        <v>Very Poor</v>
      </c>
    </row>
    <row r="92" customFormat="false" ht="15.75" hidden="false" customHeight="false" outlineLevel="0" collapsed="false">
      <c r="A92" s="1" t="s">
        <v>39</v>
      </c>
      <c r="B92" s="1" t="s">
        <v>40</v>
      </c>
      <c r="C92" s="1" t="n">
        <v>28.4595</v>
      </c>
      <c r="D92" s="1" t="n">
        <v>77.0266</v>
      </c>
      <c r="E92" s="5" t="n">
        <v>45904</v>
      </c>
      <c r="F92" s="6" t="s">
        <v>70</v>
      </c>
      <c r="G92" s="1" t="n">
        <v>9</v>
      </c>
      <c r="H92" s="7" t="s">
        <v>80</v>
      </c>
      <c r="I92" s="6" t="s">
        <v>43</v>
      </c>
      <c r="J92" s="7" t="s">
        <v>44</v>
      </c>
      <c r="K92" s="7" t="s">
        <v>71</v>
      </c>
      <c r="L92" s="1" t="n">
        <v>84</v>
      </c>
      <c r="M92" s="1" t="n">
        <v>25.1</v>
      </c>
      <c r="N92" s="1" t="n">
        <v>18.7</v>
      </c>
      <c r="O92" s="1" t="n">
        <v>0</v>
      </c>
      <c r="P92" s="6" t="s">
        <v>43</v>
      </c>
      <c r="Q92" s="6" t="s">
        <v>43</v>
      </c>
      <c r="R92" s="1" t="n">
        <v>1002.6</v>
      </c>
      <c r="S92" s="1" t="n">
        <v>45</v>
      </c>
      <c r="T92" s="1" t="n">
        <v>65.2</v>
      </c>
      <c r="U92" s="1" t="n">
        <v>307.3</v>
      </c>
      <c r="V92" s="1" t="n">
        <v>1034</v>
      </c>
      <c r="W92" s="1" t="n">
        <v>29.9</v>
      </c>
      <c r="X92" s="1" t="n">
        <v>21.1</v>
      </c>
      <c r="Y92" s="1" t="n">
        <v>106</v>
      </c>
      <c r="Z92" s="1" t="n">
        <v>714</v>
      </c>
      <c r="AA92" s="1" t="n">
        <v>143</v>
      </c>
      <c r="AB92" s="7" t="s">
        <v>81</v>
      </c>
      <c r="AC92" s="7" t="s">
        <v>82</v>
      </c>
      <c r="AD92" s="7" t="s">
        <v>83</v>
      </c>
      <c r="AE92" s="7" t="s">
        <v>84</v>
      </c>
      <c r="AF92" s="4" t="n">
        <f aca="false">IF(T92="","",IF(T92&lt;=30,(50/30)*T92,IF(T92&lt;=60,50+((100-50)/(60-30))*(T92-30),IF(T92&lt;=90,100+((200-100)/(90-60))*(T92-60),IF(T92&lt;=120,200+((300-200)/(120-90))*(T92-90),IF(T92&lt;=250,300+((400-300)/(250-120))*(T92-120),IF(T92&lt;=380,400+((500-400)/(380-250))*(T92-250),500)))))))</f>
        <v>117.333333333333</v>
      </c>
      <c r="AG92" s="4" t="n">
        <f aca="false">IF(U92="","",IF(U92&lt;=50,(50/50)*U92,IF(U92&lt;=100,50+((100-50)/(100-50))*(U92-50),IF(U92&lt;=250,100+((200-100)/(250-100))*(U92-100),IF(U92&lt;=350,200+((300-200)/(350-250))*(U92-250),IF(U92&lt;=430,300+((400-300)/(430-350))*(U92-350),IF(U92&lt;=600,400+((500-400)/(600-430))*(U92-430),500)))))))</f>
        <v>257.3</v>
      </c>
      <c r="AH92" s="4" t="n">
        <f aca="false">IF(V92="","",IF((V92/1000)&lt;=1,(50/1)*(V92/1000),IF((V92/1000)&lt;=2,50+((100-50)/(2-1))*(V92/1000-1),IF((V92/1000)&lt;=10,100+((200-100)/(10-2))*(V92/1000-2),IF((V92/1000)&lt;=17,200+((300-200)/(17-10))*(V92/1000-10),IF((V92/1000)&lt;=34,300+((400-300)/(34-17))*(V92/1000-17),IF((V92/1000)&lt;=57,400+((500-400)/(57-34))*(V92/1000-34),500)))))))</f>
        <v>51.7</v>
      </c>
      <c r="AI92" s="4" t="n">
        <f aca="false">IF(W92="","",IF(W92&lt;=40,(50/40)*W92,IF(W92&lt;=80,50+((100-50)/(80-40))*(W92-40),IF(W92&lt;=180,100+((200-100)/(180-80))*(W92-80),IF(W92&lt;=280,200+((300-200)/(280-180))*(W92-180),IF(W92&lt;=400,300+((400-300)/(400-280))*(W92-280),IF(W92&lt;=800,400+((500-400)/(800-400))*(W92-400),500)))))))</f>
        <v>37.375</v>
      </c>
      <c r="AJ92" s="4" t="n">
        <f aca="false">IF(X92="","",IF(X92&lt;=40,(50/40)*X92,IF(X92&lt;=80,50+((100-50)/(80-40))*(X92-40),IF(X92&lt;=380,100+((200-100)/(380-80))*(X92-80),IF(X92&lt;=800,200+((300-200)/(800-380))*(X92-380),IF(X92&lt;=1600,300+((400-300)/(1600-800))*(X92-800),IF(X92&lt;=2100,400+((500-400)/(2100-1600))*(X92-1600),500)))))))</f>
        <v>26.375</v>
      </c>
      <c r="AK92" s="4" t="n">
        <f aca="false">IF(Y92="","",IF(Y92&lt;=50,(50/50)*Y92,IF(Y92&lt;=100,50+((100-50)/(100-50))*(Y92-50),IF(Y92&lt;=168,100+((200-100)/(168-100))*(Y92-100),IF(Y92&lt;=208,200+((300-200)/(208-168))*(Y92-168),IF(Y92&lt;=748,300+((400-300)/(748-208))*(Y92-208),IF(Y92&lt;=1000,400+((500-400)/(1000-748))*(Y92-748),500)))))))</f>
        <v>108.823529411765</v>
      </c>
      <c r="AL92" s="4" t="n">
        <f aca="false">ROUND(MAX(AF92,AG92,AH92,AI92,AJ92,AK92),0)</f>
        <v>257</v>
      </c>
      <c r="AM92" s="4" t="str">
        <f aca="false">IF(AL92="","",IF(AL92&lt;=50,"Good",IF(AL92&lt;=100,"Satisfactory",IF(AL92&lt;=200,"Moderate",IF(AL92&lt;=300,"Poor",IF(AL92&lt;=400,"Very Poor","Severe"))))))</f>
        <v>Poor</v>
      </c>
    </row>
    <row r="93" customFormat="false" ht="15.75" hidden="false" customHeight="false" outlineLevel="0" collapsed="false">
      <c r="A93" s="1" t="s">
        <v>39</v>
      </c>
      <c r="B93" s="1" t="s">
        <v>40</v>
      </c>
      <c r="C93" s="1" t="n">
        <v>28.4595</v>
      </c>
      <c r="D93" s="1" t="n">
        <v>77.0266</v>
      </c>
      <c r="E93" s="5" t="n">
        <v>45904</v>
      </c>
      <c r="F93" s="6" t="s">
        <v>72</v>
      </c>
      <c r="G93" s="1" t="n">
        <v>9</v>
      </c>
      <c r="H93" s="7" t="s">
        <v>80</v>
      </c>
      <c r="I93" s="6" t="s">
        <v>43</v>
      </c>
      <c r="J93" s="7" t="s">
        <v>44</v>
      </c>
      <c r="K93" s="7" t="s">
        <v>71</v>
      </c>
      <c r="L93" s="1" t="n">
        <v>87</v>
      </c>
      <c r="M93" s="1" t="n">
        <v>24.8</v>
      </c>
      <c r="N93" s="1" t="n">
        <v>19.8</v>
      </c>
      <c r="O93" s="1" t="n">
        <v>0</v>
      </c>
      <c r="P93" s="6" t="s">
        <v>43</v>
      </c>
      <c r="Q93" s="6" t="s">
        <v>43</v>
      </c>
      <c r="R93" s="1" t="n">
        <v>1003.2</v>
      </c>
      <c r="S93" s="1" t="n">
        <v>42</v>
      </c>
      <c r="T93" s="1" t="n">
        <v>57.6</v>
      </c>
      <c r="U93" s="1" t="n">
        <v>179.7</v>
      </c>
      <c r="V93" s="1" t="n">
        <v>1429</v>
      </c>
      <c r="W93" s="1" t="n">
        <v>43.2</v>
      </c>
      <c r="X93" s="1" t="n">
        <v>22.5</v>
      </c>
      <c r="Y93" s="1" t="n">
        <v>73</v>
      </c>
      <c r="Z93" s="1" t="n">
        <v>456</v>
      </c>
      <c r="AA93" s="1" t="n">
        <v>142</v>
      </c>
      <c r="AB93" s="7" t="s">
        <v>81</v>
      </c>
      <c r="AC93" s="7" t="s">
        <v>82</v>
      </c>
      <c r="AD93" s="7" t="s">
        <v>83</v>
      </c>
      <c r="AE93" s="7" t="s">
        <v>84</v>
      </c>
      <c r="AF93" s="4" t="n">
        <f aca="false">IF(T93="","",IF(T93&lt;=30,(50/30)*T93,IF(T93&lt;=60,50+((100-50)/(60-30))*(T93-30),IF(T93&lt;=90,100+((200-100)/(90-60))*(T93-60),IF(T93&lt;=120,200+((300-200)/(120-90))*(T93-90),IF(T93&lt;=250,300+((400-300)/(250-120))*(T93-120),IF(T93&lt;=380,400+((500-400)/(380-250))*(T93-250),500)))))))</f>
        <v>96</v>
      </c>
      <c r="AG93" s="4" t="n">
        <f aca="false">IF(U93="","",IF(U93&lt;=50,(50/50)*U93,IF(U93&lt;=100,50+((100-50)/(100-50))*(U93-50),IF(U93&lt;=250,100+((200-100)/(250-100))*(U93-100),IF(U93&lt;=350,200+((300-200)/(350-250))*(U93-250),IF(U93&lt;=430,300+((400-300)/(430-350))*(U93-350),IF(U93&lt;=600,400+((500-400)/(600-430))*(U93-430),500)))))))</f>
        <v>153.133333333333</v>
      </c>
      <c r="AH93" s="4" t="n">
        <f aca="false">IF(V93="","",IF((V93/1000)&lt;=1,(50/1)*(V93/1000),IF((V93/1000)&lt;=2,50+((100-50)/(2-1))*(V93/1000-1),IF((V93/1000)&lt;=10,100+((200-100)/(10-2))*(V93/1000-2),IF((V93/1000)&lt;=17,200+((300-200)/(17-10))*(V93/1000-10),IF((V93/1000)&lt;=34,300+((400-300)/(34-17))*(V93/1000-17),IF((V93/1000)&lt;=57,400+((500-400)/(57-34))*(V93/1000-34),500)))))))</f>
        <v>71.45</v>
      </c>
      <c r="AI93" s="4" t="n">
        <f aca="false">IF(W93="","",IF(W93&lt;=40,(50/40)*W93,IF(W93&lt;=80,50+((100-50)/(80-40))*(W93-40),IF(W93&lt;=180,100+((200-100)/(180-80))*(W93-80),IF(W93&lt;=280,200+((300-200)/(280-180))*(W93-180),IF(W93&lt;=400,300+((400-300)/(400-280))*(W93-280),IF(W93&lt;=800,400+((500-400)/(800-400))*(W93-400),500)))))))</f>
        <v>54</v>
      </c>
      <c r="AJ93" s="4" t="n">
        <f aca="false">IF(X93="","",IF(X93&lt;=40,(50/40)*X93,IF(X93&lt;=80,50+((100-50)/(80-40))*(X93-40),IF(X93&lt;=380,100+((200-100)/(380-80))*(X93-80),IF(X93&lt;=800,200+((300-200)/(800-380))*(X93-380),IF(X93&lt;=1600,300+((400-300)/(1600-800))*(X93-800),IF(X93&lt;=2100,400+((500-400)/(2100-1600))*(X93-1600),500)))))))</f>
        <v>28.125</v>
      </c>
      <c r="AK93" s="4" t="n">
        <f aca="false">IF(Y93="","",IF(Y93&lt;=50,(50/50)*Y93,IF(Y93&lt;=100,50+((100-50)/(100-50))*(Y93-50),IF(Y93&lt;=168,100+((200-100)/(168-100))*(Y93-100),IF(Y93&lt;=208,200+((300-200)/(208-168))*(Y93-168),IF(Y93&lt;=748,300+((400-300)/(748-208))*(Y93-208),IF(Y93&lt;=1000,400+((500-400)/(1000-748))*(Y93-748),500)))))))</f>
        <v>73</v>
      </c>
      <c r="AL93" s="4" t="n">
        <f aca="false">ROUND(MAX(AF93,AG93,AH93,AI93,AJ93,AK93),0)</f>
        <v>153</v>
      </c>
      <c r="AM93" s="4" t="str">
        <f aca="false">IF(AL93="","",IF(AL93&lt;=50,"Good",IF(AL93&lt;=100,"Satisfactory",IF(AL93&lt;=200,"Moderate",IF(AL93&lt;=300,"Poor",IF(AL93&lt;=400,"Very Poor","Severe"))))))</f>
        <v>Moderate</v>
      </c>
    </row>
    <row r="94" customFormat="false" ht="15.75" hidden="false" customHeight="false" outlineLevel="0" collapsed="false">
      <c r="A94" s="1" t="s">
        <v>39</v>
      </c>
      <c r="B94" s="1" t="s">
        <v>40</v>
      </c>
      <c r="C94" s="1" t="n">
        <v>28.4595</v>
      </c>
      <c r="D94" s="1" t="n">
        <v>77.0266</v>
      </c>
      <c r="E94" s="5" t="n">
        <v>45904</v>
      </c>
      <c r="F94" s="6" t="s">
        <v>73</v>
      </c>
      <c r="G94" s="1" t="n">
        <v>9</v>
      </c>
      <c r="H94" s="7" t="s">
        <v>80</v>
      </c>
      <c r="I94" s="6" t="s">
        <v>43</v>
      </c>
      <c r="J94" s="7" t="s">
        <v>44</v>
      </c>
      <c r="K94" s="7" t="s">
        <v>71</v>
      </c>
      <c r="L94" s="1" t="n">
        <v>89</v>
      </c>
      <c r="M94" s="1" t="n">
        <v>24.9</v>
      </c>
      <c r="N94" s="1" t="n">
        <v>18.4</v>
      </c>
      <c r="O94" s="1" t="n">
        <v>0</v>
      </c>
      <c r="P94" s="6" t="s">
        <v>43</v>
      </c>
      <c r="Q94" s="6" t="s">
        <v>43</v>
      </c>
      <c r="R94" s="1" t="n">
        <v>1003.7</v>
      </c>
      <c r="S94" s="1" t="n">
        <v>55</v>
      </c>
      <c r="T94" s="1" t="n">
        <v>52.2</v>
      </c>
      <c r="U94" s="1" t="n">
        <v>115.7</v>
      </c>
      <c r="V94" s="1" t="n">
        <v>1664</v>
      </c>
      <c r="W94" s="1" t="n">
        <v>52.4</v>
      </c>
      <c r="X94" s="1" t="n">
        <v>23.1</v>
      </c>
      <c r="Y94" s="1" t="n">
        <v>47</v>
      </c>
      <c r="Z94" s="1" t="n">
        <v>122</v>
      </c>
      <c r="AA94" s="1" t="n">
        <v>127</v>
      </c>
      <c r="AB94" s="7" t="s">
        <v>81</v>
      </c>
      <c r="AC94" s="7" t="s">
        <v>82</v>
      </c>
      <c r="AD94" s="7" t="s">
        <v>83</v>
      </c>
      <c r="AE94" s="7" t="s">
        <v>84</v>
      </c>
      <c r="AF94" s="4" t="n">
        <f aca="false">IF(T94="","",IF(T94&lt;=30,(50/30)*T94,IF(T94&lt;=60,50+((100-50)/(60-30))*(T94-30),IF(T94&lt;=90,100+((200-100)/(90-60))*(T94-60),IF(T94&lt;=120,200+((300-200)/(120-90))*(T94-90),IF(T94&lt;=250,300+((400-300)/(250-120))*(T94-120),IF(T94&lt;=380,400+((500-400)/(380-250))*(T94-250),500)))))))</f>
        <v>87</v>
      </c>
      <c r="AG94" s="4" t="n">
        <f aca="false">IF(U94="","",IF(U94&lt;=50,(50/50)*U94,IF(U94&lt;=100,50+((100-50)/(100-50))*(U94-50),IF(U94&lt;=250,100+((200-100)/(250-100))*(U94-100),IF(U94&lt;=350,200+((300-200)/(350-250))*(U94-250),IF(U94&lt;=430,300+((400-300)/(430-350))*(U94-350),IF(U94&lt;=600,400+((500-400)/(600-430))*(U94-430),500)))))))</f>
        <v>110.466666666667</v>
      </c>
      <c r="AH94" s="4" t="n">
        <f aca="false">IF(V94="","",IF((V94/1000)&lt;=1,(50/1)*(V94/1000),IF((V94/1000)&lt;=2,50+((100-50)/(2-1))*(V94/1000-1),IF((V94/1000)&lt;=10,100+((200-100)/(10-2))*(V94/1000-2),IF((V94/1000)&lt;=17,200+((300-200)/(17-10))*(V94/1000-10),IF((V94/1000)&lt;=34,300+((400-300)/(34-17))*(V94/1000-17),IF((V94/1000)&lt;=57,400+((500-400)/(57-34))*(V94/1000-34),500)))))))</f>
        <v>83.2</v>
      </c>
      <c r="AI94" s="4" t="n">
        <f aca="false">IF(W94="","",IF(W94&lt;=40,(50/40)*W94,IF(W94&lt;=80,50+((100-50)/(80-40))*(W94-40),IF(W94&lt;=180,100+((200-100)/(180-80))*(W94-80),IF(W94&lt;=280,200+((300-200)/(280-180))*(W94-180),IF(W94&lt;=400,300+((400-300)/(400-280))*(W94-280),IF(W94&lt;=800,400+((500-400)/(800-400))*(W94-400),500)))))))</f>
        <v>65.5</v>
      </c>
      <c r="AJ94" s="4" t="n">
        <f aca="false">IF(X94="","",IF(X94&lt;=40,(50/40)*X94,IF(X94&lt;=80,50+((100-50)/(80-40))*(X94-40),IF(X94&lt;=380,100+((200-100)/(380-80))*(X94-80),IF(X94&lt;=800,200+((300-200)/(800-380))*(X94-380),IF(X94&lt;=1600,300+((400-300)/(1600-800))*(X94-800),IF(X94&lt;=2100,400+((500-400)/(2100-1600))*(X94-1600),500)))))))</f>
        <v>28.875</v>
      </c>
      <c r="AK94" s="4" t="n">
        <f aca="false">IF(Y94="","",IF(Y94&lt;=50,(50/50)*Y94,IF(Y94&lt;=100,50+((100-50)/(100-50))*(Y94-50),IF(Y94&lt;=168,100+((200-100)/(168-100))*(Y94-100),IF(Y94&lt;=208,200+((300-200)/(208-168))*(Y94-168),IF(Y94&lt;=748,300+((400-300)/(748-208))*(Y94-208),IF(Y94&lt;=1000,400+((500-400)/(1000-748))*(Y94-748),500)))))))</f>
        <v>47</v>
      </c>
      <c r="AL94" s="4" t="n">
        <f aca="false">ROUND(MAX(AF94,AG94,AH94,AI94,AJ94,AK94),0)</f>
        <v>110</v>
      </c>
      <c r="AM94" s="4" t="str">
        <f aca="false">IF(AL94="","",IF(AL94&lt;=50,"Good",IF(AL94&lt;=100,"Satisfactory",IF(AL94&lt;=200,"Moderate",IF(AL94&lt;=300,"Poor",IF(AL94&lt;=400,"Very Poor","Severe"))))))</f>
        <v>Moderate</v>
      </c>
    </row>
    <row r="95" customFormat="false" ht="15.75" hidden="false" customHeight="false" outlineLevel="0" collapsed="false">
      <c r="A95" s="1" t="s">
        <v>39</v>
      </c>
      <c r="B95" s="1" t="s">
        <v>40</v>
      </c>
      <c r="C95" s="1" t="n">
        <v>28.4595</v>
      </c>
      <c r="D95" s="1" t="n">
        <v>77.0266</v>
      </c>
      <c r="E95" s="5" t="n">
        <v>45904</v>
      </c>
      <c r="F95" s="6" t="s">
        <v>74</v>
      </c>
      <c r="G95" s="1" t="n">
        <v>9</v>
      </c>
      <c r="H95" s="7" t="s">
        <v>80</v>
      </c>
      <c r="I95" s="6" t="s">
        <v>43</v>
      </c>
      <c r="J95" s="7" t="s">
        <v>44</v>
      </c>
      <c r="K95" s="7" t="s">
        <v>75</v>
      </c>
      <c r="L95" s="1" t="n">
        <v>90</v>
      </c>
      <c r="M95" s="1" t="n">
        <v>24.8</v>
      </c>
      <c r="N95" s="1" t="n">
        <v>16.6</v>
      </c>
      <c r="O95" s="1" t="n">
        <v>0</v>
      </c>
      <c r="P95" s="6" t="s">
        <v>43</v>
      </c>
      <c r="Q95" s="6" t="s">
        <v>43</v>
      </c>
      <c r="R95" s="1" t="n">
        <v>1004</v>
      </c>
      <c r="S95" s="1" t="n">
        <v>25</v>
      </c>
      <c r="T95" s="1" t="n">
        <v>46.8</v>
      </c>
      <c r="U95" s="1" t="n">
        <v>78.2</v>
      </c>
      <c r="V95" s="1" t="n">
        <v>1596</v>
      </c>
      <c r="W95" s="1" t="n">
        <v>53.7</v>
      </c>
      <c r="X95" s="1" t="n">
        <v>22.2</v>
      </c>
      <c r="Y95" s="1" t="n">
        <v>36</v>
      </c>
      <c r="Z95" s="1" t="n">
        <v>9</v>
      </c>
      <c r="AA95" s="1" t="n">
        <v>102</v>
      </c>
      <c r="AB95" s="7" t="s">
        <v>81</v>
      </c>
      <c r="AC95" s="7" t="s">
        <v>82</v>
      </c>
      <c r="AD95" s="7" t="s">
        <v>83</v>
      </c>
      <c r="AE95" s="7" t="s">
        <v>84</v>
      </c>
      <c r="AF95" s="4" t="n">
        <f aca="false">IF(T95="","",IF(T95&lt;=30,(50/30)*T95,IF(T95&lt;=60,50+((100-50)/(60-30))*(T95-30),IF(T95&lt;=90,100+((200-100)/(90-60))*(T95-60),IF(T95&lt;=120,200+((300-200)/(120-90))*(T95-90),IF(T95&lt;=250,300+((400-300)/(250-120))*(T95-120),IF(T95&lt;=380,400+((500-400)/(380-250))*(T95-250),500)))))))</f>
        <v>78</v>
      </c>
      <c r="AG95" s="4" t="n">
        <f aca="false">IF(U95="","",IF(U95&lt;=50,(50/50)*U95,IF(U95&lt;=100,50+((100-50)/(100-50))*(U95-50),IF(U95&lt;=250,100+((200-100)/(250-100))*(U95-100),IF(U95&lt;=350,200+((300-200)/(350-250))*(U95-250),IF(U95&lt;=430,300+((400-300)/(430-350))*(U95-350),IF(U95&lt;=600,400+((500-400)/(600-430))*(U95-430),500)))))))</f>
        <v>78.2</v>
      </c>
      <c r="AH95" s="4" t="n">
        <f aca="false">IF(V95="","",IF((V95/1000)&lt;=1,(50/1)*(V95/1000),IF((V95/1000)&lt;=2,50+((100-50)/(2-1))*(V95/1000-1),IF((V95/1000)&lt;=10,100+((200-100)/(10-2))*(V95/1000-2),IF((V95/1000)&lt;=17,200+((300-200)/(17-10))*(V95/1000-10),IF((V95/1000)&lt;=34,300+((400-300)/(34-17))*(V95/1000-17),IF((V95/1000)&lt;=57,400+((500-400)/(57-34))*(V95/1000-34),500)))))))</f>
        <v>79.8</v>
      </c>
      <c r="AI95" s="4" t="n">
        <f aca="false">IF(W95="","",IF(W95&lt;=40,(50/40)*W95,IF(W95&lt;=80,50+((100-50)/(80-40))*(W95-40),IF(W95&lt;=180,100+((200-100)/(180-80))*(W95-80),IF(W95&lt;=280,200+((300-200)/(280-180))*(W95-180),IF(W95&lt;=400,300+((400-300)/(400-280))*(W95-280),IF(W95&lt;=800,400+((500-400)/(800-400))*(W95-400),500)))))))</f>
        <v>67.125</v>
      </c>
      <c r="AJ95" s="4" t="n">
        <f aca="false">IF(X95="","",IF(X95&lt;=40,(50/40)*X95,IF(X95&lt;=80,50+((100-50)/(80-40))*(X95-40),IF(X95&lt;=380,100+((200-100)/(380-80))*(X95-80),IF(X95&lt;=800,200+((300-200)/(800-380))*(X95-380),IF(X95&lt;=1600,300+((400-300)/(1600-800))*(X95-800),IF(X95&lt;=2100,400+((500-400)/(2100-1600))*(X95-1600),500)))))))</f>
        <v>27.75</v>
      </c>
      <c r="AK95" s="4" t="n">
        <f aca="false">IF(Y95="","",IF(Y95&lt;=50,(50/50)*Y95,IF(Y95&lt;=100,50+((100-50)/(100-50))*(Y95-50),IF(Y95&lt;=168,100+((200-100)/(168-100))*(Y95-100),IF(Y95&lt;=208,200+((300-200)/(208-168))*(Y95-168),IF(Y95&lt;=748,300+((400-300)/(748-208))*(Y95-208),IF(Y95&lt;=1000,400+((500-400)/(1000-748))*(Y95-748),500)))))))</f>
        <v>36</v>
      </c>
      <c r="AL95" s="4" t="n">
        <f aca="false">ROUND(MAX(AF95,AG95,AH95,AI95,AJ95,AK95),0)</f>
        <v>80</v>
      </c>
      <c r="AM95" s="4" t="str">
        <f aca="false">IF(AL95="","",IF(AL95&lt;=50,"Good",IF(AL95&lt;=100,"Satisfactory",IF(AL95&lt;=200,"Moderate",IF(AL95&lt;=300,"Poor",IF(AL95&lt;=400,"Very Poor","Severe"))))))</f>
        <v>Satisfactory</v>
      </c>
    </row>
    <row r="96" customFormat="false" ht="15.75" hidden="false" customHeight="false" outlineLevel="0" collapsed="false">
      <c r="A96" s="1" t="s">
        <v>39</v>
      </c>
      <c r="B96" s="1" t="s">
        <v>40</v>
      </c>
      <c r="C96" s="1" t="n">
        <v>28.4595</v>
      </c>
      <c r="D96" s="1" t="n">
        <v>77.0266</v>
      </c>
      <c r="E96" s="5" t="n">
        <v>45904</v>
      </c>
      <c r="F96" s="6" t="s">
        <v>76</v>
      </c>
      <c r="G96" s="1" t="n">
        <v>9</v>
      </c>
      <c r="H96" s="7" t="s">
        <v>80</v>
      </c>
      <c r="I96" s="6" t="s">
        <v>43</v>
      </c>
      <c r="J96" s="7" t="s">
        <v>44</v>
      </c>
      <c r="K96" s="7" t="s">
        <v>75</v>
      </c>
      <c r="L96" s="1" t="n">
        <v>90</v>
      </c>
      <c r="M96" s="1" t="n">
        <v>24.7</v>
      </c>
      <c r="N96" s="1" t="n">
        <v>16.2</v>
      </c>
      <c r="O96" s="1" t="n">
        <v>0</v>
      </c>
      <c r="P96" s="6" t="s">
        <v>43</v>
      </c>
      <c r="Q96" s="6" t="s">
        <v>43</v>
      </c>
      <c r="R96" s="1" t="n">
        <v>1004.1</v>
      </c>
      <c r="S96" s="1" t="n">
        <v>58</v>
      </c>
      <c r="T96" s="1" t="n">
        <v>43</v>
      </c>
      <c r="U96" s="1" t="n">
        <v>57.9</v>
      </c>
      <c r="V96" s="1" t="n">
        <v>1368</v>
      </c>
      <c r="W96" s="1" t="n">
        <v>50.9</v>
      </c>
      <c r="X96" s="1" t="n">
        <v>20.6</v>
      </c>
      <c r="Y96" s="1" t="n">
        <v>32</v>
      </c>
      <c r="Z96" s="1" t="n">
        <v>7</v>
      </c>
      <c r="AA96" s="1" t="n">
        <v>98</v>
      </c>
      <c r="AB96" s="7" t="s">
        <v>47</v>
      </c>
      <c r="AC96" s="7" t="s">
        <v>48</v>
      </c>
      <c r="AD96" s="6" t="s">
        <v>43</v>
      </c>
      <c r="AE96" s="6" t="s">
        <v>43</v>
      </c>
      <c r="AF96" s="4" t="n">
        <f aca="false">IF(T96="","",IF(T96&lt;=30,(50/30)*T96,IF(T96&lt;=60,50+((100-50)/(60-30))*(T96-30),IF(T96&lt;=90,100+((200-100)/(90-60))*(T96-60),IF(T96&lt;=120,200+((300-200)/(120-90))*(T96-90),IF(T96&lt;=250,300+((400-300)/(250-120))*(T96-120),IF(T96&lt;=380,400+((500-400)/(380-250))*(T96-250),500)))))))</f>
        <v>71.6666666666667</v>
      </c>
      <c r="AG96" s="4" t="n">
        <f aca="false">IF(U96="","",IF(U96&lt;=50,(50/50)*U96,IF(U96&lt;=100,50+((100-50)/(100-50))*(U96-50),IF(U96&lt;=250,100+((200-100)/(250-100))*(U96-100),IF(U96&lt;=350,200+((300-200)/(350-250))*(U96-250),IF(U96&lt;=430,300+((400-300)/(430-350))*(U96-350),IF(U96&lt;=600,400+((500-400)/(600-430))*(U96-430),500)))))))</f>
        <v>57.9</v>
      </c>
      <c r="AH96" s="4" t="n">
        <f aca="false">IF(V96="","",IF((V96/1000)&lt;=1,(50/1)*(V96/1000),IF((V96/1000)&lt;=2,50+((100-50)/(2-1))*(V96/1000-1),IF((V96/1000)&lt;=10,100+((200-100)/(10-2))*(V96/1000-2),IF((V96/1000)&lt;=17,200+((300-200)/(17-10))*(V96/1000-10),IF((V96/1000)&lt;=34,300+((400-300)/(34-17))*(V96/1000-17),IF((V96/1000)&lt;=57,400+((500-400)/(57-34))*(V96/1000-34),500)))))))</f>
        <v>68.4</v>
      </c>
      <c r="AI96" s="4" t="n">
        <f aca="false">IF(W96="","",IF(W96&lt;=40,(50/40)*W96,IF(W96&lt;=80,50+((100-50)/(80-40))*(W96-40),IF(W96&lt;=180,100+((200-100)/(180-80))*(W96-80),IF(W96&lt;=280,200+((300-200)/(280-180))*(W96-180),IF(W96&lt;=400,300+((400-300)/(400-280))*(W96-280),IF(W96&lt;=800,400+((500-400)/(800-400))*(W96-400),500)))))))</f>
        <v>63.625</v>
      </c>
      <c r="AJ96" s="4" t="n">
        <f aca="false">IF(X96="","",IF(X96&lt;=40,(50/40)*X96,IF(X96&lt;=80,50+((100-50)/(80-40))*(X96-40),IF(X96&lt;=380,100+((200-100)/(380-80))*(X96-80),IF(X96&lt;=800,200+((300-200)/(800-380))*(X96-380),IF(X96&lt;=1600,300+((400-300)/(1600-800))*(X96-800),IF(X96&lt;=2100,400+((500-400)/(2100-1600))*(X96-1600),500)))))))</f>
        <v>25.75</v>
      </c>
      <c r="AK96" s="4" t="n">
        <f aca="false">IF(Y96="","",IF(Y96&lt;=50,(50/50)*Y96,IF(Y96&lt;=100,50+((100-50)/(100-50))*(Y96-50),IF(Y96&lt;=168,100+((200-100)/(168-100))*(Y96-100),IF(Y96&lt;=208,200+((300-200)/(208-168))*(Y96-168),IF(Y96&lt;=748,300+((400-300)/(748-208))*(Y96-208),IF(Y96&lt;=1000,400+((500-400)/(1000-748))*(Y96-748),500)))))))</f>
        <v>32</v>
      </c>
      <c r="AL96" s="4" t="n">
        <f aca="false">ROUND(MAX(AF96,AG96,AH96,AI96,AJ96,AK96),0)</f>
        <v>72</v>
      </c>
      <c r="AM96" s="4" t="str">
        <f aca="false">IF(AL96="","",IF(AL96&lt;=50,"Good",IF(AL96&lt;=100,"Satisfactory",IF(AL96&lt;=200,"Moderate",IF(AL96&lt;=300,"Poor",IF(AL96&lt;=400,"Very Poor","Severe"))))))</f>
        <v>Satisfactory</v>
      </c>
    </row>
    <row r="97" customFormat="false" ht="15.75" hidden="false" customHeight="false" outlineLevel="0" collapsed="false">
      <c r="A97" s="1" t="s">
        <v>39</v>
      </c>
      <c r="B97" s="1" t="s">
        <v>40</v>
      </c>
      <c r="C97" s="1" t="n">
        <v>28.4595</v>
      </c>
      <c r="D97" s="1" t="n">
        <v>77.0266</v>
      </c>
      <c r="E97" s="5" t="n">
        <v>45904</v>
      </c>
      <c r="F97" s="6" t="s">
        <v>77</v>
      </c>
      <c r="G97" s="1" t="n">
        <v>9</v>
      </c>
      <c r="H97" s="7" t="s">
        <v>80</v>
      </c>
      <c r="I97" s="6" t="s">
        <v>43</v>
      </c>
      <c r="J97" s="7" t="s">
        <v>44</v>
      </c>
      <c r="K97" s="7" t="s">
        <v>75</v>
      </c>
      <c r="L97" s="1" t="n">
        <v>91</v>
      </c>
      <c r="M97" s="1" t="n">
        <v>24.6</v>
      </c>
      <c r="N97" s="1" t="n">
        <v>15.8</v>
      </c>
      <c r="O97" s="1" t="n">
        <v>0</v>
      </c>
      <c r="P97" s="6" t="s">
        <v>43</v>
      </c>
      <c r="Q97" s="6" t="s">
        <v>43</v>
      </c>
      <c r="R97" s="1" t="n">
        <v>1004.6</v>
      </c>
      <c r="S97" s="1" t="n">
        <v>5</v>
      </c>
      <c r="T97" s="1" t="n">
        <v>40.7</v>
      </c>
      <c r="U97" s="1" t="n">
        <v>48.7</v>
      </c>
      <c r="V97" s="1" t="n">
        <v>1163</v>
      </c>
      <c r="W97" s="1" t="n">
        <v>47.4</v>
      </c>
      <c r="X97" s="1" t="n">
        <v>19</v>
      </c>
      <c r="Y97" s="1" t="n">
        <v>30</v>
      </c>
      <c r="Z97" s="1" t="n">
        <v>15</v>
      </c>
      <c r="AA97" s="1" t="n">
        <v>99</v>
      </c>
      <c r="AB97" s="7" t="s">
        <v>47</v>
      </c>
      <c r="AC97" s="7" t="s">
        <v>48</v>
      </c>
      <c r="AD97" s="6" t="s">
        <v>43</v>
      </c>
      <c r="AE97" s="6" t="s">
        <v>43</v>
      </c>
      <c r="AF97" s="4" t="n">
        <f aca="false">IF(T97="","",IF(T97&lt;=30,(50/30)*T97,IF(T97&lt;=60,50+((100-50)/(60-30))*(T97-30),IF(T97&lt;=90,100+((200-100)/(90-60))*(T97-60),IF(T97&lt;=120,200+((300-200)/(120-90))*(T97-90),IF(T97&lt;=250,300+((400-300)/(250-120))*(T97-120),IF(T97&lt;=380,400+((500-400)/(380-250))*(T97-250),500)))))))</f>
        <v>67.8333333333333</v>
      </c>
      <c r="AG97" s="4" t="n">
        <f aca="false">IF(U97="","",IF(U97&lt;=50,(50/50)*U97,IF(U97&lt;=100,50+((100-50)/(100-50))*(U97-50),IF(U97&lt;=250,100+((200-100)/(250-100))*(U97-100),IF(U97&lt;=350,200+((300-200)/(350-250))*(U97-250),IF(U97&lt;=430,300+((400-300)/(430-350))*(U97-350),IF(U97&lt;=600,400+((500-400)/(600-430))*(U97-430),500)))))))</f>
        <v>48.7</v>
      </c>
      <c r="AH97" s="4" t="n">
        <f aca="false">IF(V97="","",IF((V97/1000)&lt;=1,(50/1)*(V97/1000),IF((V97/1000)&lt;=2,50+((100-50)/(2-1))*(V97/1000-1),IF((V97/1000)&lt;=10,100+((200-100)/(10-2))*(V97/1000-2),IF((V97/1000)&lt;=17,200+((300-200)/(17-10))*(V97/1000-10),IF((V97/1000)&lt;=34,300+((400-300)/(34-17))*(V97/1000-17),IF((V97/1000)&lt;=57,400+((500-400)/(57-34))*(V97/1000-34),500)))))))</f>
        <v>58.15</v>
      </c>
      <c r="AI97" s="4" t="n">
        <f aca="false">IF(W97="","",IF(W97&lt;=40,(50/40)*W97,IF(W97&lt;=80,50+((100-50)/(80-40))*(W97-40),IF(W97&lt;=180,100+((200-100)/(180-80))*(W97-80),IF(W97&lt;=280,200+((300-200)/(280-180))*(W97-180),IF(W97&lt;=400,300+((400-300)/(400-280))*(W97-280),IF(W97&lt;=800,400+((500-400)/(800-400))*(W97-400),500)))))))</f>
        <v>59.25</v>
      </c>
      <c r="AJ97" s="4" t="n">
        <f aca="false">IF(X97="","",IF(X97&lt;=40,(50/40)*X97,IF(X97&lt;=80,50+((100-50)/(80-40))*(X97-40),IF(X97&lt;=380,100+((200-100)/(380-80))*(X97-80),IF(X97&lt;=800,200+((300-200)/(800-380))*(X97-380),IF(X97&lt;=1600,300+((400-300)/(1600-800))*(X97-800),IF(X97&lt;=2100,400+((500-400)/(2100-1600))*(X97-1600),500)))))))</f>
        <v>23.75</v>
      </c>
      <c r="AK97" s="4" t="n">
        <f aca="false">IF(Y97="","",IF(Y97&lt;=50,(50/50)*Y97,IF(Y97&lt;=100,50+((100-50)/(100-50))*(Y97-50),IF(Y97&lt;=168,100+((200-100)/(168-100))*(Y97-100),IF(Y97&lt;=208,200+((300-200)/(208-168))*(Y97-168),IF(Y97&lt;=748,300+((400-300)/(748-208))*(Y97-208),IF(Y97&lt;=1000,400+((500-400)/(1000-748))*(Y97-748),500)))))))</f>
        <v>30</v>
      </c>
      <c r="AL97" s="4" t="n">
        <f aca="false">ROUND(MAX(AF97,AG97,AH97,AI97,AJ97,AK97),0)</f>
        <v>68</v>
      </c>
      <c r="AM97" s="4" t="str">
        <f aca="false">IF(AL97="","",IF(AL97&lt;=50,"Good",IF(AL97&lt;=100,"Satisfactory",IF(AL97&lt;=200,"Moderate",IF(AL97&lt;=300,"Poor",IF(AL97&lt;=400,"Very Poor","Severe"))))))</f>
        <v>Satisfactory</v>
      </c>
    </row>
    <row r="98" customFormat="false" ht="15.75" hidden="false" customHeight="false" outlineLevel="0" collapsed="false">
      <c r="A98" s="1" t="s">
        <v>39</v>
      </c>
      <c r="B98" s="1" t="s">
        <v>40</v>
      </c>
      <c r="C98" s="1" t="n">
        <v>28.4595</v>
      </c>
      <c r="D98" s="1" t="n">
        <v>77.0266</v>
      </c>
      <c r="E98" s="5" t="n">
        <v>45905</v>
      </c>
      <c r="F98" s="6" t="s">
        <v>41</v>
      </c>
      <c r="G98" s="1" t="n">
        <v>9</v>
      </c>
      <c r="H98" s="7" t="s">
        <v>85</v>
      </c>
      <c r="I98" s="6" t="s">
        <v>43</v>
      </c>
      <c r="J98" s="7" t="s">
        <v>44</v>
      </c>
      <c r="K98" s="7" t="s">
        <v>45</v>
      </c>
      <c r="L98" s="1" t="n">
        <v>92</v>
      </c>
      <c r="M98" s="1" t="n">
        <v>24.5</v>
      </c>
      <c r="N98" s="1" t="n">
        <v>15.5</v>
      </c>
      <c r="O98" s="1" t="n">
        <v>0</v>
      </c>
      <c r="P98" s="6" t="s">
        <v>43</v>
      </c>
      <c r="Q98" s="6" t="s">
        <v>43</v>
      </c>
      <c r="R98" s="1" t="n">
        <v>1004</v>
      </c>
      <c r="S98" s="1" t="n">
        <v>17</v>
      </c>
      <c r="T98" s="1" t="n">
        <v>38.4</v>
      </c>
      <c r="U98" s="1" t="n">
        <v>42.6</v>
      </c>
      <c r="V98" s="1" t="n">
        <v>1058</v>
      </c>
      <c r="W98" s="1" t="n">
        <v>44</v>
      </c>
      <c r="X98" s="1" t="n">
        <v>17.7</v>
      </c>
      <c r="Y98" s="1" t="n">
        <v>29</v>
      </c>
      <c r="Z98" s="1" t="n">
        <v>4</v>
      </c>
      <c r="AA98" s="1" t="n">
        <v>100</v>
      </c>
      <c r="AB98" s="7" t="s">
        <v>47</v>
      </c>
      <c r="AC98" s="7" t="s">
        <v>48</v>
      </c>
      <c r="AD98" s="6" t="s">
        <v>43</v>
      </c>
      <c r="AE98" s="6" t="s">
        <v>43</v>
      </c>
      <c r="AF98" s="4" t="n">
        <f aca="false">IF(T98="","",IF(T98&lt;=30,(50/30)*T98,IF(T98&lt;=60,50+((100-50)/(60-30))*(T98-30),IF(T98&lt;=90,100+((200-100)/(90-60))*(T98-60),IF(T98&lt;=120,200+((300-200)/(120-90))*(T98-90),IF(T98&lt;=250,300+((400-300)/(250-120))*(T98-120),IF(T98&lt;=380,400+((500-400)/(380-250))*(T98-250),500)))))))</f>
        <v>64</v>
      </c>
      <c r="AG98" s="4" t="n">
        <f aca="false">IF(U98="","",IF(U98&lt;=50,(50/50)*U98,IF(U98&lt;=100,50+((100-50)/(100-50))*(U98-50),IF(U98&lt;=250,100+((200-100)/(250-100))*(U98-100),IF(U98&lt;=350,200+((300-200)/(350-250))*(U98-250),IF(U98&lt;=430,300+((400-300)/(430-350))*(U98-350),IF(U98&lt;=600,400+((500-400)/(600-430))*(U98-430),500)))))))</f>
        <v>42.6</v>
      </c>
      <c r="AH98" s="4" t="n">
        <f aca="false">IF(V98="","",IF((V98/1000)&lt;=1,(50/1)*(V98/1000),IF((V98/1000)&lt;=2,50+((100-50)/(2-1))*(V98/1000-1),IF((V98/1000)&lt;=10,100+((200-100)/(10-2))*(V98/1000-2),IF((V98/1000)&lt;=17,200+((300-200)/(17-10))*(V98/1000-10),IF((V98/1000)&lt;=34,300+((400-300)/(34-17))*(V98/1000-17),IF((V98/1000)&lt;=57,400+((500-400)/(57-34))*(V98/1000-34),500)))))))</f>
        <v>52.9</v>
      </c>
      <c r="AI98" s="4" t="n">
        <f aca="false">IF(W98="","",IF(W98&lt;=40,(50/40)*W98,IF(W98&lt;=80,50+((100-50)/(80-40))*(W98-40),IF(W98&lt;=180,100+((200-100)/(180-80))*(W98-80),IF(W98&lt;=280,200+((300-200)/(280-180))*(W98-180),IF(W98&lt;=400,300+((400-300)/(400-280))*(W98-280),IF(W98&lt;=800,400+((500-400)/(800-400))*(W98-400),500)))))))</f>
        <v>55</v>
      </c>
      <c r="AJ98" s="4" t="n">
        <f aca="false">IF(X98="","",IF(X98&lt;=40,(50/40)*X98,IF(X98&lt;=80,50+((100-50)/(80-40))*(X98-40),IF(X98&lt;=380,100+((200-100)/(380-80))*(X98-80),IF(X98&lt;=800,200+((300-200)/(800-380))*(X98-380),IF(X98&lt;=1600,300+((400-300)/(1600-800))*(X98-800),IF(X98&lt;=2100,400+((500-400)/(2100-1600))*(X98-1600),500)))))))</f>
        <v>22.125</v>
      </c>
      <c r="AK98" s="4" t="n">
        <f aca="false">IF(Y98="","",IF(Y98&lt;=50,(50/50)*Y98,IF(Y98&lt;=100,50+((100-50)/(100-50))*(Y98-50),IF(Y98&lt;=168,100+((200-100)/(168-100))*(Y98-100),IF(Y98&lt;=208,200+((300-200)/(208-168))*(Y98-168),IF(Y98&lt;=748,300+((400-300)/(748-208))*(Y98-208),IF(Y98&lt;=1000,400+((500-400)/(1000-748))*(Y98-748),500)))))))</f>
        <v>29</v>
      </c>
      <c r="AL98" s="4" t="n">
        <f aca="false">ROUND(MAX(AF98,AG98,AH98,AI98,AJ98,AK98),0)</f>
        <v>64</v>
      </c>
      <c r="AM98" s="4" t="str">
        <f aca="false">IF(AL98="","",IF(AL98&lt;=50,"Good",IF(AL98&lt;=100,"Satisfactory",IF(AL98&lt;=200,"Moderate",IF(AL98&lt;=300,"Poor",IF(AL98&lt;=400,"Very Poor","Severe"))))))</f>
        <v>Satisfactory</v>
      </c>
    </row>
    <row r="99" customFormat="false" ht="15.75" hidden="false" customHeight="false" outlineLevel="0" collapsed="false">
      <c r="A99" s="1" t="s">
        <v>39</v>
      </c>
      <c r="B99" s="1" t="s">
        <v>40</v>
      </c>
      <c r="C99" s="1" t="n">
        <v>28.4595</v>
      </c>
      <c r="D99" s="1" t="n">
        <v>77.0266</v>
      </c>
      <c r="E99" s="5" t="n">
        <v>45905</v>
      </c>
      <c r="F99" s="6" t="s">
        <v>49</v>
      </c>
      <c r="G99" s="1" t="n">
        <v>9</v>
      </c>
      <c r="H99" s="7" t="s">
        <v>85</v>
      </c>
      <c r="I99" s="6" t="s">
        <v>43</v>
      </c>
      <c r="J99" s="7" t="s">
        <v>44</v>
      </c>
      <c r="K99" s="7" t="s">
        <v>45</v>
      </c>
      <c r="L99" s="1" t="n">
        <v>93</v>
      </c>
      <c r="M99" s="1" t="n">
        <v>24.4</v>
      </c>
      <c r="N99" s="1" t="n">
        <v>16.2</v>
      </c>
      <c r="O99" s="1" t="n">
        <v>0.1</v>
      </c>
      <c r="P99" s="6" t="s">
        <v>46</v>
      </c>
      <c r="Q99" s="6" t="s">
        <v>43</v>
      </c>
      <c r="R99" s="1" t="n">
        <v>1003.9</v>
      </c>
      <c r="S99" s="1" t="n">
        <v>33</v>
      </c>
      <c r="T99" s="1" t="n">
        <v>35.9</v>
      </c>
      <c r="U99" s="1" t="n">
        <v>38.3</v>
      </c>
      <c r="V99" s="1" t="n">
        <v>977</v>
      </c>
      <c r="W99" s="1" t="n">
        <v>39.9</v>
      </c>
      <c r="X99" s="1" t="n">
        <v>16.5</v>
      </c>
      <c r="Y99" s="1" t="n">
        <v>30</v>
      </c>
      <c r="Z99" s="1" t="n">
        <v>3</v>
      </c>
      <c r="AA99" s="1" t="n">
        <v>101</v>
      </c>
      <c r="AB99" s="7" t="s">
        <v>81</v>
      </c>
      <c r="AC99" s="7" t="s">
        <v>82</v>
      </c>
      <c r="AD99" s="7" t="s">
        <v>83</v>
      </c>
      <c r="AE99" s="7" t="s">
        <v>84</v>
      </c>
      <c r="AF99" s="4" t="n">
        <f aca="false">IF(T99="","",IF(T99&lt;=30,(50/30)*T99,IF(T99&lt;=60,50+((100-50)/(60-30))*(T99-30),IF(T99&lt;=90,100+((200-100)/(90-60))*(T99-60),IF(T99&lt;=120,200+((300-200)/(120-90))*(T99-90),IF(T99&lt;=250,300+((400-300)/(250-120))*(T99-120),IF(T99&lt;=380,400+((500-400)/(380-250))*(T99-250),500)))))))</f>
        <v>59.8333333333333</v>
      </c>
      <c r="AG99" s="4" t="n">
        <f aca="false">IF(U99="","",IF(U99&lt;=50,(50/50)*U99,IF(U99&lt;=100,50+((100-50)/(100-50))*(U99-50),IF(U99&lt;=250,100+((200-100)/(250-100))*(U99-100),IF(U99&lt;=350,200+((300-200)/(350-250))*(U99-250),IF(U99&lt;=430,300+((400-300)/(430-350))*(U99-350),IF(U99&lt;=600,400+((500-400)/(600-430))*(U99-430),500)))))))</f>
        <v>38.3</v>
      </c>
      <c r="AH99" s="4" t="n">
        <f aca="false">IF(V99="","",IF((V99/1000)&lt;=1,(50/1)*(V99/1000),IF((V99/1000)&lt;=2,50+((100-50)/(2-1))*(V99/1000-1),IF((V99/1000)&lt;=10,100+((200-100)/(10-2))*(V99/1000-2),IF((V99/1000)&lt;=17,200+((300-200)/(17-10))*(V99/1000-10),IF((V99/1000)&lt;=34,300+((400-300)/(34-17))*(V99/1000-17),IF((V99/1000)&lt;=57,400+((500-400)/(57-34))*(V99/1000-34),500)))))))</f>
        <v>48.85</v>
      </c>
      <c r="AI99" s="4" t="n">
        <f aca="false">IF(W99="","",IF(W99&lt;=40,(50/40)*W99,IF(W99&lt;=80,50+((100-50)/(80-40))*(W99-40),IF(W99&lt;=180,100+((200-100)/(180-80))*(W99-80),IF(W99&lt;=280,200+((300-200)/(280-180))*(W99-180),IF(W99&lt;=400,300+((400-300)/(400-280))*(W99-280),IF(W99&lt;=800,400+((500-400)/(800-400))*(W99-400),500)))))))</f>
        <v>49.875</v>
      </c>
      <c r="AJ99" s="4" t="n">
        <f aca="false">IF(X99="","",IF(X99&lt;=40,(50/40)*X99,IF(X99&lt;=80,50+((100-50)/(80-40))*(X99-40),IF(X99&lt;=380,100+((200-100)/(380-80))*(X99-80),IF(X99&lt;=800,200+((300-200)/(800-380))*(X99-380),IF(X99&lt;=1600,300+((400-300)/(1600-800))*(X99-800),IF(X99&lt;=2100,400+((500-400)/(2100-1600))*(X99-1600),500)))))))</f>
        <v>20.625</v>
      </c>
      <c r="AK99" s="4" t="n">
        <f aca="false">IF(Y99="","",IF(Y99&lt;=50,(50/50)*Y99,IF(Y99&lt;=100,50+((100-50)/(100-50))*(Y99-50),IF(Y99&lt;=168,100+((200-100)/(168-100))*(Y99-100),IF(Y99&lt;=208,200+((300-200)/(208-168))*(Y99-168),IF(Y99&lt;=748,300+((400-300)/(748-208))*(Y99-208),IF(Y99&lt;=1000,400+((500-400)/(1000-748))*(Y99-748),500)))))))</f>
        <v>30</v>
      </c>
      <c r="AL99" s="4" t="n">
        <f aca="false">ROUND(MAX(AF99,AG99,AH99,AI99,AJ99,AK99),0)</f>
        <v>60</v>
      </c>
      <c r="AM99" s="4" t="str">
        <f aca="false">IF(AL99="","",IF(AL99&lt;=50,"Good",IF(AL99&lt;=100,"Satisfactory",IF(AL99&lt;=200,"Moderate",IF(AL99&lt;=300,"Poor",IF(AL99&lt;=400,"Very Poor","Severe"))))))</f>
        <v>Satisfactory</v>
      </c>
    </row>
    <row r="100" customFormat="false" ht="15.75" hidden="false" customHeight="false" outlineLevel="0" collapsed="false">
      <c r="A100" s="1" t="s">
        <v>39</v>
      </c>
      <c r="B100" s="1" t="s">
        <v>40</v>
      </c>
      <c r="C100" s="1" t="n">
        <v>28.4595</v>
      </c>
      <c r="D100" s="1" t="n">
        <v>77.0266</v>
      </c>
      <c r="E100" s="5" t="n">
        <v>45905</v>
      </c>
      <c r="F100" s="6" t="s">
        <v>51</v>
      </c>
      <c r="G100" s="1" t="n">
        <v>9</v>
      </c>
      <c r="H100" s="7" t="s">
        <v>85</v>
      </c>
      <c r="I100" s="6" t="s">
        <v>43</v>
      </c>
      <c r="J100" s="7" t="s">
        <v>44</v>
      </c>
      <c r="K100" s="7" t="s">
        <v>45</v>
      </c>
      <c r="L100" s="1" t="n">
        <v>92</v>
      </c>
      <c r="M100" s="1" t="n">
        <v>24.3</v>
      </c>
      <c r="N100" s="1" t="n">
        <v>17.3</v>
      </c>
      <c r="O100" s="1" t="n">
        <v>0.1</v>
      </c>
      <c r="P100" s="6" t="s">
        <v>46</v>
      </c>
      <c r="Q100" s="6" t="s">
        <v>43</v>
      </c>
      <c r="R100" s="1" t="n">
        <v>1003.9</v>
      </c>
      <c r="S100" s="1" t="n">
        <v>21</v>
      </c>
      <c r="T100" s="1" t="n">
        <v>33.8</v>
      </c>
      <c r="U100" s="1" t="n">
        <v>35.6</v>
      </c>
      <c r="V100" s="1" t="n">
        <v>876</v>
      </c>
      <c r="W100" s="1" t="n">
        <v>36.2</v>
      </c>
      <c r="X100" s="1" t="n">
        <v>15.6</v>
      </c>
      <c r="Y100" s="1" t="n">
        <v>31</v>
      </c>
      <c r="Z100" s="1" t="n">
        <v>4</v>
      </c>
      <c r="AA100" s="1" t="n">
        <v>102</v>
      </c>
      <c r="AB100" s="7" t="s">
        <v>81</v>
      </c>
      <c r="AC100" s="7" t="s">
        <v>82</v>
      </c>
      <c r="AD100" s="7" t="s">
        <v>83</v>
      </c>
      <c r="AE100" s="7" t="s">
        <v>84</v>
      </c>
      <c r="AF100" s="4" t="n">
        <f aca="false">IF(T100="","",IF(T100&lt;=30,(50/30)*T100,IF(T100&lt;=60,50+((100-50)/(60-30))*(T100-30),IF(T100&lt;=90,100+((200-100)/(90-60))*(T100-60),IF(T100&lt;=120,200+((300-200)/(120-90))*(T100-90),IF(T100&lt;=250,300+((400-300)/(250-120))*(T100-120),IF(T100&lt;=380,400+((500-400)/(380-250))*(T100-250),500)))))))</f>
        <v>56.3333333333333</v>
      </c>
      <c r="AG100" s="4" t="n">
        <f aca="false">IF(U100="","",IF(U100&lt;=50,(50/50)*U100,IF(U100&lt;=100,50+((100-50)/(100-50))*(U100-50),IF(U100&lt;=250,100+((200-100)/(250-100))*(U100-100),IF(U100&lt;=350,200+((300-200)/(350-250))*(U100-250),IF(U100&lt;=430,300+((400-300)/(430-350))*(U100-350),IF(U100&lt;=600,400+((500-400)/(600-430))*(U100-430),500)))))))</f>
        <v>35.6</v>
      </c>
      <c r="AH100" s="4" t="n">
        <f aca="false">IF(V100="","",IF((V100/1000)&lt;=1,(50/1)*(V100/1000),IF((V100/1000)&lt;=2,50+((100-50)/(2-1))*(V100/1000-1),IF((V100/1000)&lt;=10,100+((200-100)/(10-2))*(V100/1000-2),IF((V100/1000)&lt;=17,200+((300-200)/(17-10))*(V100/1000-10),IF((V100/1000)&lt;=34,300+((400-300)/(34-17))*(V100/1000-17),IF((V100/1000)&lt;=57,400+((500-400)/(57-34))*(V100/1000-34),500)))))))</f>
        <v>43.8</v>
      </c>
      <c r="AI100" s="4" t="n">
        <f aca="false">IF(W100="","",IF(W100&lt;=40,(50/40)*W100,IF(W100&lt;=80,50+((100-50)/(80-40))*(W100-40),IF(W100&lt;=180,100+((200-100)/(180-80))*(W100-80),IF(W100&lt;=280,200+((300-200)/(280-180))*(W100-180),IF(W100&lt;=400,300+((400-300)/(400-280))*(W100-280),IF(W100&lt;=800,400+((500-400)/(800-400))*(W100-400),500)))))))</f>
        <v>45.25</v>
      </c>
      <c r="AJ100" s="4" t="n">
        <f aca="false">IF(X100="","",IF(X100&lt;=40,(50/40)*X100,IF(X100&lt;=80,50+((100-50)/(80-40))*(X100-40),IF(X100&lt;=380,100+((200-100)/(380-80))*(X100-80),IF(X100&lt;=800,200+((300-200)/(800-380))*(X100-380),IF(X100&lt;=1600,300+((400-300)/(1600-800))*(X100-800),IF(X100&lt;=2100,400+((500-400)/(2100-1600))*(X100-1600),500)))))))</f>
        <v>19.5</v>
      </c>
      <c r="AK100" s="4" t="n">
        <f aca="false">IF(Y100="","",IF(Y100&lt;=50,(50/50)*Y100,IF(Y100&lt;=100,50+((100-50)/(100-50))*(Y100-50),IF(Y100&lt;=168,100+((200-100)/(168-100))*(Y100-100),IF(Y100&lt;=208,200+((300-200)/(208-168))*(Y100-168),IF(Y100&lt;=748,300+((400-300)/(748-208))*(Y100-208),IF(Y100&lt;=1000,400+((500-400)/(1000-748))*(Y100-748),500)))))))</f>
        <v>31</v>
      </c>
      <c r="AL100" s="4" t="n">
        <f aca="false">ROUND(MAX(AF100,AG100,AH100,AI100,AJ100,AK100),0)</f>
        <v>56</v>
      </c>
      <c r="AM100" s="4" t="str">
        <f aca="false">IF(AL100="","",IF(AL100&lt;=50,"Good",IF(AL100&lt;=100,"Satisfactory",IF(AL100&lt;=200,"Moderate",IF(AL100&lt;=300,"Poor",IF(AL100&lt;=400,"Very Poor","Severe"))))))</f>
        <v>Satisfactory</v>
      </c>
    </row>
    <row r="101" customFormat="false" ht="15.75" hidden="false" customHeight="false" outlineLevel="0" collapsed="false">
      <c r="A101" s="1" t="s">
        <v>39</v>
      </c>
      <c r="B101" s="1" t="s">
        <v>40</v>
      </c>
      <c r="C101" s="1" t="n">
        <v>28.4595</v>
      </c>
      <c r="D101" s="1" t="n">
        <v>77.0266</v>
      </c>
      <c r="E101" s="5" t="n">
        <v>45905</v>
      </c>
      <c r="F101" s="6" t="s">
        <v>52</v>
      </c>
      <c r="G101" s="1" t="n">
        <v>9</v>
      </c>
      <c r="H101" s="7" t="s">
        <v>85</v>
      </c>
      <c r="I101" s="6" t="s">
        <v>43</v>
      </c>
      <c r="J101" s="7" t="s">
        <v>44</v>
      </c>
      <c r="K101" s="7" t="s">
        <v>45</v>
      </c>
      <c r="L101" s="1" t="n">
        <v>93</v>
      </c>
      <c r="M101" s="1" t="n">
        <v>24.4</v>
      </c>
      <c r="N101" s="1" t="n">
        <v>18.4</v>
      </c>
      <c r="O101" s="1" t="n">
        <v>0.1</v>
      </c>
      <c r="P101" s="6" t="s">
        <v>46</v>
      </c>
      <c r="Q101" s="6" t="s">
        <v>43</v>
      </c>
      <c r="R101" s="1" t="n">
        <v>1003.8</v>
      </c>
      <c r="S101" s="1" t="n">
        <v>25</v>
      </c>
      <c r="T101" s="1" t="n">
        <v>31.8</v>
      </c>
      <c r="U101" s="1" t="n">
        <v>34.2</v>
      </c>
      <c r="V101" s="1" t="n">
        <v>716</v>
      </c>
      <c r="W101" s="1" t="n">
        <v>33.3</v>
      </c>
      <c r="X101" s="1" t="n">
        <v>15.1</v>
      </c>
      <c r="Y101" s="1" t="n">
        <v>31</v>
      </c>
      <c r="Z101" s="1" t="n">
        <v>4</v>
      </c>
      <c r="AA101" s="1" t="n">
        <v>103</v>
      </c>
      <c r="AB101" s="7" t="s">
        <v>81</v>
      </c>
      <c r="AC101" s="7" t="s">
        <v>82</v>
      </c>
      <c r="AD101" s="7" t="s">
        <v>83</v>
      </c>
      <c r="AE101" s="7" t="s">
        <v>84</v>
      </c>
      <c r="AF101" s="4" t="n">
        <f aca="false">IF(T101="","",IF(T101&lt;=30,(50/30)*T101,IF(T101&lt;=60,50+((100-50)/(60-30))*(T101-30),IF(T101&lt;=90,100+((200-100)/(90-60))*(T101-60),IF(T101&lt;=120,200+((300-200)/(120-90))*(T101-90),IF(T101&lt;=250,300+((400-300)/(250-120))*(T101-120),IF(T101&lt;=380,400+((500-400)/(380-250))*(T101-250),500)))))))</f>
        <v>53</v>
      </c>
      <c r="AG101" s="4" t="n">
        <f aca="false">IF(U101="","",IF(U101&lt;=50,(50/50)*U101,IF(U101&lt;=100,50+((100-50)/(100-50))*(U101-50),IF(U101&lt;=250,100+((200-100)/(250-100))*(U101-100),IF(U101&lt;=350,200+((300-200)/(350-250))*(U101-250),IF(U101&lt;=430,300+((400-300)/(430-350))*(U101-350),IF(U101&lt;=600,400+((500-400)/(600-430))*(U101-430),500)))))))</f>
        <v>34.2</v>
      </c>
      <c r="AH101" s="4" t="n">
        <f aca="false">IF(V101="","",IF((V101/1000)&lt;=1,(50/1)*(V101/1000),IF((V101/1000)&lt;=2,50+((100-50)/(2-1))*(V101/1000-1),IF((V101/1000)&lt;=10,100+((200-100)/(10-2))*(V101/1000-2),IF((V101/1000)&lt;=17,200+((300-200)/(17-10))*(V101/1000-10),IF((V101/1000)&lt;=34,300+((400-300)/(34-17))*(V101/1000-17),IF((V101/1000)&lt;=57,400+((500-400)/(57-34))*(V101/1000-34),500)))))))</f>
        <v>35.8</v>
      </c>
      <c r="AI101" s="4" t="n">
        <f aca="false">IF(W101="","",IF(W101&lt;=40,(50/40)*W101,IF(W101&lt;=80,50+((100-50)/(80-40))*(W101-40),IF(W101&lt;=180,100+((200-100)/(180-80))*(W101-80),IF(W101&lt;=280,200+((300-200)/(280-180))*(W101-180),IF(W101&lt;=400,300+((400-300)/(400-280))*(W101-280),IF(W101&lt;=800,400+((500-400)/(800-400))*(W101-400),500)))))))</f>
        <v>41.625</v>
      </c>
      <c r="AJ101" s="4" t="n">
        <f aca="false">IF(X101="","",IF(X101&lt;=40,(50/40)*X101,IF(X101&lt;=80,50+((100-50)/(80-40))*(X101-40),IF(X101&lt;=380,100+((200-100)/(380-80))*(X101-80),IF(X101&lt;=800,200+((300-200)/(800-380))*(X101-380),IF(X101&lt;=1600,300+((400-300)/(1600-800))*(X101-800),IF(X101&lt;=2100,400+((500-400)/(2100-1600))*(X101-1600),500)))))))</f>
        <v>18.875</v>
      </c>
      <c r="AK101" s="4" t="n">
        <f aca="false">IF(Y101="","",IF(Y101&lt;=50,(50/50)*Y101,IF(Y101&lt;=100,50+((100-50)/(100-50))*(Y101-50),IF(Y101&lt;=168,100+((200-100)/(168-100))*(Y101-100),IF(Y101&lt;=208,200+((300-200)/(208-168))*(Y101-168),IF(Y101&lt;=748,300+((400-300)/(748-208))*(Y101-208),IF(Y101&lt;=1000,400+((500-400)/(1000-748))*(Y101-748),500)))))))</f>
        <v>31</v>
      </c>
      <c r="AL101" s="4" t="n">
        <f aca="false">ROUND(MAX(AF101,AG101,AH101,AI101,AJ101,AK101),0)</f>
        <v>53</v>
      </c>
      <c r="AM101" s="4" t="str">
        <f aca="false">IF(AL101="","",IF(AL101&lt;=50,"Good",IF(AL101&lt;=100,"Satisfactory",IF(AL101&lt;=200,"Moderate",IF(AL101&lt;=300,"Poor",IF(AL101&lt;=400,"Very Poor","Severe"))))))</f>
        <v>Satisfactory</v>
      </c>
    </row>
    <row r="102" customFormat="false" ht="15.75" hidden="false" customHeight="false" outlineLevel="0" collapsed="false">
      <c r="A102" s="1" t="s">
        <v>39</v>
      </c>
      <c r="B102" s="1" t="s">
        <v>40</v>
      </c>
      <c r="C102" s="1" t="n">
        <v>28.4595</v>
      </c>
      <c r="D102" s="1" t="n">
        <v>77.0266</v>
      </c>
      <c r="E102" s="5" t="n">
        <v>45905</v>
      </c>
      <c r="F102" s="6" t="s">
        <v>53</v>
      </c>
      <c r="G102" s="1" t="n">
        <v>9</v>
      </c>
      <c r="H102" s="7" t="s">
        <v>85</v>
      </c>
      <c r="I102" s="6" t="s">
        <v>43</v>
      </c>
      <c r="J102" s="7" t="s">
        <v>44</v>
      </c>
      <c r="K102" s="7" t="s">
        <v>45</v>
      </c>
      <c r="L102" s="1" t="n">
        <v>92</v>
      </c>
      <c r="M102" s="1" t="n">
        <v>24.1</v>
      </c>
      <c r="N102" s="1" t="n">
        <v>23</v>
      </c>
      <c r="O102" s="1" t="n">
        <v>0</v>
      </c>
      <c r="P102" s="6" t="s">
        <v>43</v>
      </c>
      <c r="Q102" s="6" t="s">
        <v>43</v>
      </c>
      <c r="R102" s="1" t="n">
        <v>1004</v>
      </c>
      <c r="S102" s="1" t="n">
        <v>4</v>
      </c>
      <c r="T102" s="1" t="n">
        <v>29.9</v>
      </c>
      <c r="U102" s="1" t="n">
        <v>32.9</v>
      </c>
      <c r="V102" s="1" t="n">
        <v>536</v>
      </c>
      <c r="W102" s="1" t="n">
        <v>30.8</v>
      </c>
      <c r="X102" s="1" t="n">
        <v>14.9</v>
      </c>
      <c r="Y102" s="1" t="n">
        <v>32</v>
      </c>
      <c r="Z102" s="1" t="n">
        <v>5</v>
      </c>
      <c r="AA102" s="1" t="n">
        <v>104</v>
      </c>
      <c r="AB102" s="7" t="s">
        <v>81</v>
      </c>
      <c r="AC102" s="7" t="s">
        <v>82</v>
      </c>
      <c r="AD102" s="7" t="s">
        <v>83</v>
      </c>
      <c r="AE102" s="7" t="s">
        <v>84</v>
      </c>
      <c r="AF102" s="4" t="n">
        <f aca="false">IF(T102="","",IF(T102&lt;=30,(50/30)*T102,IF(T102&lt;=60,50+((100-50)/(60-30))*(T102-30),IF(T102&lt;=90,100+((200-100)/(90-60))*(T102-60),IF(T102&lt;=120,200+((300-200)/(120-90))*(T102-90),IF(T102&lt;=250,300+((400-300)/(250-120))*(T102-120),IF(T102&lt;=380,400+((500-400)/(380-250))*(T102-250),500)))))))</f>
        <v>49.8333333333333</v>
      </c>
      <c r="AG102" s="4" t="n">
        <f aca="false">IF(U102="","",IF(U102&lt;=50,(50/50)*U102,IF(U102&lt;=100,50+((100-50)/(100-50))*(U102-50),IF(U102&lt;=250,100+((200-100)/(250-100))*(U102-100),IF(U102&lt;=350,200+((300-200)/(350-250))*(U102-250),IF(U102&lt;=430,300+((400-300)/(430-350))*(U102-350),IF(U102&lt;=600,400+((500-400)/(600-430))*(U102-430),500)))))))</f>
        <v>32.9</v>
      </c>
      <c r="AH102" s="4" t="n">
        <f aca="false">IF(V102="","",IF((V102/1000)&lt;=1,(50/1)*(V102/1000),IF((V102/1000)&lt;=2,50+((100-50)/(2-1))*(V102/1000-1),IF((V102/1000)&lt;=10,100+((200-100)/(10-2))*(V102/1000-2),IF((V102/1000)&lt;=17,200+((300-200)/(17-10))*(V102/1000-10),IF((V102/1000)&lt;=34,300+((400-300)/(34-17))*(V102/1000-17),IF((V102/1000)&lt;=57,400+((500-400)/(57-34))*(V102/1000-34),500)))))))</f>
        <v>26.8</v>
      </c>
      <c r="AI102" s="4" t="n">
        <f aca="false">IF(W102="","",IF(W102&lt;=40,(50/40)*W102,IF(W102&lt;=80,50+((100-50)/(80-40))*(W102-40),IF(W102&lt;=180,100+((200-100)/(180-80))*(W102-80),IF(W102&lt;=280,200+((300-200)/(280-180))*(W102-180),IF(W102&lt;=400,300+((400-300)/(400-280))*(W102-280),IF(W102&lt;=800,400+((500-400)/(800-400))*(W102-400),500)))))))</f>
        <v>38.5</v>
      </c>
      <c r="AJ102" s="4" t="n">
        <f aca="false">IF(X102="","",IF(X102&lt;=40,(50/40)*X102,IF(X102&lt;=80,50+((100-50)/(80-40))*(X102-40),IF(X102&lt;=380,100+((200-100)/(380-80))*(X102-80),IF(X102&lt;=800,200+((300-200)/(800-380))*(X102-380),IF(X102&lt;=1600,300+((400-300)/(1600-800))*(X102-800),IF(X102&lt;=2100,400+((500-400)/(2100-1600))*(X102-1600),500)))))))</f>
        <v>18.625</v>
      </c>
      <c r="AK102" s="4" t="n">
        <f aca="false">IF(Y102="","",IF(Y102&lt;=50,(50/50)*Y102,IF(Y102&lt;=100,50+((100-50)/(100-50))*(Y102-50),IF(Y102&lt;=168,100+((200-100)/(168-100))*(Y102-100),IF(Y102&lt;=208,200+((300-200)/(208-168))*(Y102-168),IF(Y102&lt;=748,300+((400-300)/(748-208))*(Y102-208),IF(Y102&lt;=1000,400+((500-400)/(1000-748))*(Y102-748),500)))))))</f>
        <v>32</v>
      </c>
      <c r="AL102" s="4" t="n">
        <f aca="false">ROUND(MAX(AF102,AG102,AH102,AI102,AJ102,AK102),0)</f>
        <v>50</v>
      </c>
      <c r="AM102" s="4" t="str">
        <f aca="false">IF(AL102="","",IF(AL102&lt;=50,"Good",IF(AL102&lt;=100,"Satisfactory",IF(AL102&lt;=200,"Moderate",IF(AL102&lt;=300,"Poor",IF(AL102&lt;=400,"Very Poor","Severe"))))))</f>
        <v>Good</v>
      </c>
    </row>
    <row r="103" customFormat="false" ht="15.75" hidden="false" customHeight="false" outlineLevel="0" collapsed="false">
      <c r="A103" s="1" t="s">
        <v>39</v>
      </c>
      <c r="B103" s="1" t="s">
        <v>40</v>
      </c>
      <c r="C103" s="1" t="n">
        <v>28.4595</v>
      </c>
      <c r="D103" s="1" t="n">
        <v>77.0266</v>
      </c>
      <c r="E103" s="5" t="n">
        <v>45905</v>
      </c>
      <c r="F103" s="6" t="s">
        <v>54</v>
      </c>
      <c r="G103" s="1" t="n">
        <v>9</v>
      </c>
      <c r="H103" s="7" t="s">
        <v>85</v>
      </c>
      <c r="I103" s="6" t="s">
        <v>43</v>
      </c>
      <c r="J103" s="7" t="s">
        <v>44</v>
      </c>
      <c r="K103" s="7" t="s">
        <v>45</v>
      </c>
      <c r="L103" s="1" t="n">
        <v>93</v>
      </c>
      <c r="M103" s="1" t="n">
        <v>24.1</v>
      </c>
      <c r="N103" s="1" t="n">
        <v>19.4</v>
      </c>
      <c r="O103" s="1" t="n">
        <v>0</v>
      </c>
      <c r="P103" s="6" t="s">
        <v>43</v>
      </c>
      <c r="Q103" s="6" t="s">
        <v>43</v>
      </c>
      <c r="R103" s="1" t="n">
        <v>1004.3</v>
      </c>
      <c r="S103" s="1" t="n">
        <v>3</v>
      </c>
      <c r="T103" s="1" t="n">
        <v>24.3</v>
      </c>
      <c r="U103" s="1" t="n">
        <v>32.6</v>
      </c>
      <c r="V103" s="1" t="n">
        <v>416</v>
      </c>
      <c r="W103" s="1" t="n">
        <v>20.7</v>
      </c>
      <c r="X103" s="1" t="n">
        <v>12.1</v>
      </c>
      <c r="Y103" s="1" t="n">
        <v>50</v>
      </c>
      <c r="Z103" s="1" t="n">
        <v>15</v>
      </c>
      <c r="AA103" s="1" t="n">
        <v>105</v>
      </c>
      <c r="AB103" s="7" t="s">
        <v>81</v>
      </c>
      <c r="AC103" s="7" t="s">
        <v>82</v>
      </c>
      <c r="AD103" s="7" t="s">
        <v>83</v>
      </c>
      <c r="AE103" s="7" t="s">
        <v>84</v>
      </c>
      <c r="AF103" s="4" t="n">
        <f aca="false">IF(T103="","",IF(T103&lt;=30,(50/30)*T103,IF(T103&lt;=60,50+((100-50)/(60-30))*(T103-30),IF(T103&lt;=90,100+((200-100)/(90-60))*(T103-60),IF(T103&lt;=120,200+((300-200)/(120-90))*(T103-90),IF(T103&lt;=250,300+((400-300)/(250-120))*(T103-120),IF(T103&lt;=380,400+((500-400)/(380-250))*(T103-250),500)))))))</f>
        <v>40.5</v>
      </c>
      <c r="AG103" s="4" t="n">
        <f aca="false">IF(U103="","",IF(U103&lt;=50,(50/50)*U103,IF(U103&lt;=100,50+((100-50)/(100-50))*(U103-50),IF(U103&lt;=250,100+((200-100)/(250-100))*(U103-100),IF(U103&lt;=350,200+((300-200)/(350-250))*(U103-250),IF(U103&lt;=430,300+((400-300)/(430-350))*(U103-350),IF(U103&lt;=600,400+((500-400)/(600-430))*(U103-430),500)))))))</f>
        <v>32.6</v>
      </c>
      <c r="AH103" s="4" t="n">
        <f aca="false">IF(V103="","",IF((V103/1000)&lt;=1,(50/1)*(V103/1000),IF((V103/1000)&lt;=2,50+((100-50)/(2-1))*(V103/1000-1),IF((V103/1000)&lt;=10,100+((200-100)/(10-2))*(V103/1000-2),IF((V103/1000)&lt;=17,200+((300-200)/(17-10))*(V103/1000-10),IF((V103/1000)&lt;=34,300+((400-300)/(34-17))*(V103/1000-17),IF((V103/1000)&lt;=57,400+((500-400)/(57-34))*(V103/1000-34),500)))))))</f>
        <v>20.8</v>
      </c>
      <c r="AI103" s="4" t="n">
        <f aca="false">IF(W103="","",IF(W103&lt;=40,(50/40)*W103,IF(W103&lt;=80,50+((100-50)/(80-40))*(W103-40),IF(W103&lt;=180,100+((200-100)/(180-80))*(W103-80),IF(W103&lt;=280,200+((300-200)/(280-180))*(W103-180),IF(W103&lt;=400,300+((400-300)/(400-280))*(W103-280),IF(W103&lt;=800,400+((500-400)/(800-400))*(W103-400),500)))))))</f>
        <v>25.875</v>
      </c>
      <c r="AJ103" s="4" t="n">
        <f aca="false">IF(X103="","",IF(X103&lt;=40,(50/40)*X103,IF(X103&lt;=80,50+((100-50)/(80-40))*(X103-40),IF(X103&lt;=380,100+((200-100)/(380-80))*(X103-80),IF(X103&lt;=800,200+((300-200)/(800-380))*(X103-380),IF(X103&lt;=1600,300+((400-300)/(1600-800))*(X103-800),IF(X103&lt;=2100,400+((500-400)/(2100-1600))*(X103-1600),500)))))))</f>
        <v>15.125</v>
      </c>
      <c r="AK103" s="4" t="n">
        <f aca="false">IF(Y103="","",IF(Y103&lt;=50,(50/50)*Y103,IF(Y103&lt;=100,50+((100-50)/(100-50))*(Y103-50),IF(Y103&lt;=168,100+((200-100)/(168-100))*(Y103-100),IF(Y103&lt;=208,200+((300-200)/(208-168))*(Y103-168),IF(Y103&lt;=748,300+((400-300)/(748-208))*(Y103-208),IF(Y103&lt;=1000,400+((500-400)/(1000-748))*(Y103-748),500)))))))</f>
        <v>50</v>
      </c>
      <c r="AL103" s="4" t="n">
        <f aca="false">ROUND(MAX(AF103,AG103,AH103,AI103,AJ103,AK103),0)</f>
        <v>50</v>
      </c>
      <c r="AM103" s="4" t="str">
        <f aca="false">IF(AL103="","",IF(AL103&lt;=50,"Good",IF(AL103&lt;=100,"Satisfactory",IF(AL103&lt;=200,"Moderate",IF(AL103&lt;=300,"Poor",IF(AL103&lt;=400,"Very Poor","Severe"))))))</f>
        <v>Good</v>
      </c>
    </row>
    <row r="104" customFormat="false" ht="15.75" hidden="false" customHeight="false" outlineLevel="0" collapsed="false">
      <c r="A104" s="1" t="s">
        <v>39</v>
      </c>
      <c r="B104" s="1" t="s">
        <v>40</v>
      </c>
      <c r="C104" s="1" t="n">
        <v>28.4595</v>
      </c>
      <c r="D104" s="1" t="n">
        <v>77.0266</v>
      </c>
      <c r="E104" s="5" t="n">
        <v>45905</v>
      </c>
      <c r="F104" s="6" t="s">
        <v>55</v>
      </c>
      <c r="G104" s="1" t="n">
        <v>9</v>
      </c>
      <c r="H104" s="7" t="s">
        <v>85</v>
      </c>
      <c r="I104" s="6" t="s">
        <v>43</v>
      </c>
      <c r="J104" s="7" t="s">
        <v>44</v>
      </c>
      <c r="K104" s="7" t="s">
        <v>56</v>
      </c>
      <c r="L104" s="1" t="n">
        <v>89</v>
      </c>
      <c r="M104" s="1" t="n">
        <v>24.4</v>
      </c>
      <c r="N104" s="1" t="n">
        <v>23.8</v>
      </c>
      <c r="O104" s="1" t="n">
        <v>0</v>
      </c>
      <c r="P104" s="6" t="s">
        <v>43</v>
      </c>
      <c r="Q104" s="6" t="s">
        <v>43</v>
      </c>
      <c r="R104" s="1" t="n">
        <v>1004.4</v>
      </c>
      <c r="S104" s="1" t="n">
        <v>100</v>
      </c>
      <c r="T104" s="1" t="n">
        <v>23.6</v>
      </c>
      <c r="U104" s="1" t="n">
        <v>29.7</v>
      </c>
      <c r="V104" s="1" t="n">
        <v>409</v>
      </c>
      <c r="W104" s="1" t="n">
        <v>19.5</v>
      </c>
      <c r="X104" s="1" t="n">
        <v>13.2</v>
      </c>
      <c r="Y104" s="1" t="n">
        <v>57</v>
      </c>
      <c r="Z104" s="1" t="n">
        <v>25</v>
      </c>
      <c r="AA104" s="1" t="n">
        <v>105</v>
      </c>
      <c r="AB104" s="7" t="s">
        <v>81</v>
      </c>
      <c r="AC104" s="7" t="s">
        <v>82</v>
      </c>
      <c r="AD104" s="7" t="s">
        <v>83</v>
      </c>
      <c r="AE104" s="7" t="s">
        <v>84</v>
      </c>
      <c r="AF104" s="4" t="n">
        <f aca="false">IF(T104="","",IF(T104&lt;=30,(50/30)*T104,IF(T104&lt;=60,50+((100-50)/(60-30))*(T104-30),IF(T104&lt;=90,100+((200-100)/(90-60))*(T104-60),IF(T104&lt;=120,200+((300-200)/(120-90))*(T104-90),IF(T104&lt;=250,300+((400-300)/(250-120))*(T104-120),IF(T104&lt;=380,400+((500-400)/(380-250))*(T104-250),500)))))))</f>
        <v>39.3333333333333</v>
      </c>
      <c r="AG104" s="4" t="n">
        <f aca="false">IF(U104="","",IF(U104&lt;=50,(50/50)*U104,IF(U104&lt;=100,50+((100-50)/(100-50))*(U104-50),IF(U104&lt;=250,100+((200-100)/(250-100))*(U104-100),IF(U104&lt;=350,200+((300-200)/(350-250))*(U104-250),IF(U104&lt;=430,300+((400-300)/(430-350))*(U104-350),IF(U104&lt;=600,400+((500-400)/(600-430))*(U104-430),500)))))))</f>
        <v>29.7</v>
      </c>
      <c r="AH104" s="4" t="n">
        <f aca="false">IF(V104="","",IF((V104/1000)&lt;=1,(50/1)*(V104/1000),IF((V104/1000)&lt;=2,50+((100-50)/(2-1))*(V104/1000-1),IF((V104/1000)&lt;=10,100+((200-100)/(10-2))*(V104/1000-2),IF((V104/1000)&lt;=17,200+((300-200)/(17-10))*(V104/1000-10),IF((V104/1000)&lt;=34,300+((400-300)/(34-17))*(V104/1000-17),IF((V104/1000)&lt;=57,400+((500-400)/(57-34))*(V104/1000-34),500)))))))</f>
        <v>20.45</v>
      </c>
      <c r="AI104" s="4" t="n">
        <f aca="false">IF(W104="","",IF(W104&lt;=40,(50/40)*W104,IF(W104&lt;=80,50+((100-50)/(80-40))*(W104-40),IF(W104&lt;=180,100+((200-100)/(180-80))*(W104-80),IF(W104&lt;=280,200+((300-200)/(280-180))*(W104-180),IF(W104&lt;=400,300+((400-300)/(400-280))*(W104-280),IF(W104&lt;=800,400+((500-400)/(800-400))*(W104-400),500)))))))</f>
        <v>24.375</v>
      </c>
      <c r="AJ104" s="4" t="n">
        <f aca="false">IF(X104="","",IF(X104&lt;=40,(50/40)*X104,IF(X104&lt;=80,50+((100-50)/(80-40))*(X104-40),IF(X104&lt;=380,100+((200-100)/(380-80))*(X104-80),IF(X104&lt;=800,200+((300-200)/(800-380))*(X104-380),IF(X104&lt;=1600,300+((400-300)/(1600-800))*(X104-800),IF(X104&lt;=2100,400+((500-400)/(2100-1600))*(X104-1600),500)))))))</f>
        <v>16.5</v>
      </c>
      <c r="AK104" s="4" t="n">
        <f aca="false">IF(Y104="","",IF(Y104&lt;=50,(50/50)*Y104,IF(Y104&lt;=100,50+((100-50)/(100-50))*(Y104-50),IF(Y104&lt;=168,100+((200-100)/(168-100))*(Y104-100),IF(Y104&lt;=208,200+((300-200)/(208-168))*(Y104-168),IF(Y104&lt;=748,300+((400-300)/(748-208))*(Y104-208),IF(Y104&lt;=1000,400+((500-400)/(1000-748))*(Y104-748),500)))))))</f>
        <v>57</v>
      </c>
      <c r="AL104" s="4" t="n">
        <f aca="false">ROUND(MAX(AF104,AG104,AH104,AI104,AJ104,AK104),0)</f>
        <v>57</v>
      </c>
      <c r="AM104" s="4" t="str">
        <f aca="false">IF(AL104="","",IF(AL104&lt;=50,"Good",IF(AL104&lt;=100,"Satisfactory",IF(AL104&lt;=200,"Moderate",IF(AL104&lt;=300,"Poor",IF(AL104&lt;=400,"Very Poor","Severe"))))))</f>
        <v>Satisfactory</v>
      </c>
    </row>
    <row r="105" customFormat="false" ht="15.75" hidden="false" customHeight="false" outlineLevel="0" collapsed="false">
      <c r="A105" s="1" t="s">
        <v>39</v>
      </c>
      <c r="B105" s="1" t="s">
        <v>40</v>
      </c>
      <c r="C105" s="1" t="n">
        <v>28.4595</v>
      </c>
      <c r="D105" s="1" t="n">
        <v>77.0266</v>
      </c>
      <c r="E105" s="5" t="n">
        <v>45905</v>
      </c>
      <c r="F105" s="6" t="s">
        <v>57</v>
      </c>
      <c r="G105" s="1" t="n">
        <v>9</v>
      </c>
      <c r="H105" s="7" t="s">
        <v>85</v>
      </c>
      <c r="I105" s="6" t="s">
        <v>43</v>
      </c>
      <c r="J105" s="7" t="s">
        <v>44</v>
      </c>
      <c r="K105" s="7" t="s">
        <v>56</v>
      </c>
      <c r="L105" s="1" t="n">
        <v>86</v>
      </c>
      <c r="M105" s="1" t="n">
        <v>24.3</v>
      </c>
      <c r="N105" s="1" t="n">
        <v>26.6</v>
      </c>
      <c r="O105" s="1" t="n">
        <v>0</v>
      </c>
      <c r="P105" s="6" t="s">
        <v>43</v>
      </c>
      <c r="Q105" s="6" t="s">
        <v>43</v>
      </c>
      <c r="R105" s="1" t="n">
        <v>1004.9</v>
      </c>
      <c r="S105" s="1" t="n">
        <v>100</v>
      </c>
      <c r="T105" s="1" t="n">
        <v>25.6</v>
      </c>
      <c r="U105" s="1" t="n">
        <v>63.1</v>
      </c>
      <c r="V105" s="1" t="n">
        <v>461</v>
      </c>
      <c r="W105" s="1" t="n">
        <v>17.7</v>
      </c>
      <c r="X105" s="1" t="n">
        <v>14.7</v>
      </c>
      <c r="Y105" s="1" t="n">
        <v>67</v>
      </c>
      <c r="Z105" s="1" t="n">
        <v>38</v>
      </c>
      <c r="AA105" s="1" t="n">
        <v>104</v>
      </c>
      <c r="AB105" s="7" t="s">
        <v>81</v>
      </c>
      <c r="AC105" s="7" t="s">
        <v>82</v>
      </c>
      <c r="AD105" s="7" t="s">
        <v>83</v>
      </c>
      <c r="AE105" s="7" t="s">
        <v>84</v>
      </c>
      <c r="AF105" s="4" t="n">
        <f aca="false">IF(T105="","",IF(T105&lt;=30,(50/30)*T105,IF(T105&lt;=60,50+((100-50)/(60-30))*(T105-30),IF(T105&lt;=90,100+((200-100)/(90-60))*(T105-60),IF(T105&lt;=120,200+((300-200)/(120-90))*(T105-90),IF(T105&lt;=250,300+((400-300)/(250-120))*(T105-120),IF(T105&lt;=380,400+((500-400)/(380-250))*(T105-250),500)))))))</f>
        <v>42.6666666666667</v>
      </c>
      <c r="AG105" s="4" t="n">
        <f aca="false">IF(U105="","",IF(U105&lt;=50,(50/50)*U105,IF(U105&lt;=100,50+((100-50)/(100-50))*(U105-50),IF(U105&lt;=250,100+((200-100)/(250-100))*(U105-100),IF(U105&lt;=350,200+((300-200)/(350-250))*(U105-250),IF(U105&lt;=430,300+((400-300)/(430-350))*(U105-350),IF(U105&lt;=600,400+((500-400)/(600-430))*(U105-430),500)))))))</f>
        <v>63.1</v>
      </c>
      <c r="AH105" s="4" t="n">
        <f aca="false">IF(V105="","",IF((V105/1000)&lt;=1,(50/1)*(V105/1000),IF((V105/1000)&lt;=2,50+((100-50)/(2-1))*(V105/1000-1),IF((V105/1000)&lt;=10,100+((200-100)/(10-2))*(V105/1000-2),IF((V105/1000)&lt;=17,200+((300-200)/(17-10))*(V105/1000-10),IF((V105/1000)&lt;=34,300+((400-300)/(34-17))*(V105/1000-17),IF((V105/1000)&lt;=57,400+((500-400)/(57-34))*(V105/1000-34),500)))))))</f>
        <v>23.05</v>
      </c>
      <c r="AI105" s="4" t="n">
        <f aca="false">IF(W105="","",IF(W105&lt;=40,(50/40)*W105,IF(W105&lt;=80,50+((100-50)/(80-40))*(W105-40),IF(W105&lt;=180,100+((200-100)/(180-80))*(W105-80),IF(W105&lt;=280,200+((300-200)/(280-180))*(W105-180),IF(W105&lt;=400,300+((400-300)/(400-280))*(W105-280),IF(W105&lt;=800,400+((500-400)/(800-400))*(W105-400),500)))))))</f>
        <v>22.125</v>
      </c>
      <c r="AJ105" s="4" t="n">
        <f aca="false">IF(X105="","",IF(X105&lt;=40,(50/40)*X105,IF(X105&lt;=80,50+((100-50)/(80-40))*(X105-40),IF(X105&lt;=380,100+((200-100)/(380-80))*(X105-80),IF(X105&lt;=800,200+((300-200)/(800-380))*(X105-380),IF(X105&lt;=1600,300+((400-300)/(1600-800))*(X105-800),IF(X105&lt;=2100,400+((500-400)/(2100-1600))*(X105-1600),500)))))))</f>
        <v>18.375</v>
      </c>
      <c r="AK105" s="4" t="n">
        <f aca="false">IF(Y105="","",IF(Y105&lt;=50,(50/50)*Y105,IF(Y105&lt;=100,50+((100-50)/(100-50))*(Y105-50),IF(Y105&lt;=168,100+((200-100)/(168-100))*(Y105-100),IF(Y105&lt;=208,200+((300-200)/(208-168))*(Y105-168),IF(Y105&lt;=748,300+((400-300)/(748-208))*(Y105-208),IF(Y105&lt;=1000,400+((500-400)/(1000-748))*(Y105-748),500)))))))</f>
        <v>67</v>
      </c>
      <c r="AL105" s="4" t="n">
        <f aca="false">ROUND(MAX(AF105,AG105,AH105,AI105,AJ105,AK105),0)</f>
        <v>67</v>
      </c>
      <c r="AM105" s="4" t="str">
        <f aca="false">IF(AL105="","",IF(AL105&lt;=50,"Good",IF(AL105&lt;=100,"Satisfactory",IF(AL105&lt;=200,"Moderate",IF(AL105&lt;=300,"Poor",IF(AL105&lt;=400,"Very Poor","Severe"))))))</f>
        <v>Satisfactory</v>
      </c>
    </row>
    <row r="106" customFormat="false" ht="15.75" hidden="false" customHeight="false" outlineLevel="0" collapsed="false">
      <c r="A106" s="1" t="s">
        <v>39</v>
      </c>
      <c r="B106" s="1" t="s">
        <v>40</v>
      </c>
      <c r="C106" s="1" t="n">
        <v>28.4595</v>
      </c>
      <c r="D106" s="1" t="n">
        <v>77.0266</v>
      </c>
      <c r="E106" s="5" t="n">
        <v>45905</v>
      </c>
      <c r="F106" s="6" t="s">
        <v>58</v>
      </c>
      <c r="G106" s="1" t="n">
        <v>9</v>
      </c>
      <c r="H106" s="7" t="s">
        <v>85</v>
      </c>
      <c r="I106" s="6" t="s">
        <v>43</v>
      </c>
      <c r="J106" s="7" t="s">
        <v>44</v>
      </c>
      <c r="K106" s="7" t="s">
        <v>56</v>
      </c>
      <c r="L106" s="1" t="n">
        <v>80</v>
      </c>
      <c r="M106" s="1" t="n">
        <v>24.1</v>
      </c>
      <c r="N106" s="1" t="n">
        <v>30.2</v>
      </c>
      <c r="O106" s="1" t="n">
        <v>0</v>
      </c>
      <c r="P106" s="6" t="s">
        <v>43</v>
      </c>
      <c r="Q106" s="6" t="s">
        <v>43</v>
      </c>
      <c r="R106" s="1" t="n">
        <v>1005.3</v>
      </c>
      <c r="S106" s="1" t="n">
        <v>100</v>
      </c>
      <c r="T106" s="1" t="n">
        <v>25.1</v>
      </c>
      <c r="U106" s="1" t="n">
        <v>47.8</v>
      </c>
      <c r="V106" s="1" t="n">
        <v>490</v>
      </c>
      <c r="W106" s="1" t="n">
        <v>15.4</v>
      </c>
      <c r="X106" s="1" t="n">
        <v>15.8</v>
      </c>
      <c r="Y106" s="1" t="n">
        <v>81</v>
      </c>
      <c r="Z106" s="1" t="n">
        <v>43</v>
      </c>
      <c r="AA106" s="1" t="n">
        <v>103</v>
      </c>
      <c r="AB106" s="7" t="s">
        <v>81</v>
      </c>
      <c r="AC106" s="7" t="s">
        <v>82</v>
      </c>
      <c r="AD106" s="7" t="s">
        <v>83</v>
      </c>
      <c r="AE106" s="7" t="s">
        <v>84</v>
      </c>
      <c r="AF106" s="4" t="n">
        <f aca="false">IF(T106="","",IF(T106&lt;=30,(50/30)*T106,IF(T106&lt;=60,50+((100-50)/(60-30))*(T106-30),IF(T106&lt;=90,100+((200-100)/(90-60))*(T106-60),IF(T106&lt;=120,200+((300-200)/(120-90))*(T106-90),IF(T106&lt;=250,300+((400-300)/(250-120))*(T106-120),IF(T106&lt;=380,400+((500-400)/(380-250))*(T106-250),500)))))))</f>
        <v>41.8333333333333</v>
      </c>
      <c r="AG106" s="4" t="n">
        <f aca="false">IF(U106="","",IF(U106&lt;=50,(50/50)*U106,IF(U106&lt;=100,50+((100-50)/(100-50))*(U106-50),IF(U106&lt;=250,100+((200-100)/(250-100))*(U106-100),IF(U106&lt;=350,200+((300-200)/(350-250))*(U106-250),IF(U106&lt;=430,300+((400-300)/(430-350))*(U106-350),IF(U106&lt;=600,400+((500-400)/(600-430))*(U106-430),500)))))))</f>
        <v>47.8</v>
      </c>
      <c r="AH106" s="4" t="n">
        <f aca="false">IF(V106="","",IF((V106/1000)&lt;=1,(50/1)*(V106/1000),IF((V106/1000)&lt;=2,50+((100-50)/(2-1))*(V106/1000-1),IF((V106/1000)&lt;=10,100+((200-100)/(10-2))*(V106/1000-2),IF((V106/1000)&lt;=17,200+((300-200)/(17-10))*(V106/1000-10),IF((V106/1000)&lt;=34,300+((400-300)/(34-17))*(V106/1000-17),IF((V106/1000)&lt;=57,400+((500-400)/(57-34))*(V106/1000-34),500)))))))</f>
        <v>24.5</v>
      </c>
      <c r="AI106" s="4" t="n">
        <f aca="false">IF(W106="","",IF(W106&lt;=40,(50/40)*W106,IF(W106&lt;=80,50+((100-50)/(80-40))*(W106-40),IF(W106&lt;=180,100+((200-100)/(180-80))*(W106-80),IF(W106&lt;=280,200+((300-200)/(280-180))*(W106-180),IF(W106&lt;=400,300+((400-300)/(400-280))*(W106-280),IF(W106&lt;=800,400+((500-400)/(800-400))*(W106-400),500)))))))</f>
        <v>19.25</v>
      </c>
      <c r="AJ106" s="4" t="n">
        <f aca="false">IF(X106="","",IF(X106&lt;=40,(50/40)*X106,IF(X106&lt;=80,50+((100-50)/(80-40))*(X106-40),IF(X106&lt;=380,100+((200-100)/(380-80))*(X106-80),IF(X106&lt;=800,200+((300-200)/(800-380))*(X106-380),IF(X106&lt;=1600,300+((400-300)/(1600-800))*(X106-800),IF(X106&lt;=2100,400+((500-400)/(2100-1600))*(X106-1600),500)))))))</f>
        <v>19.75</v>
      </c>
      <c r="AK106" s="4" t="n">
        <f aca="false">IF(Y106="","",IF(Y106&lt;=50,(50/50)*Y106,IF(Y106&lt;=100,50+((100-50)/(100-50))*(Y106-50),IF(Y106&lt;=168,100+((200-100)/(168-100))*(Y106-100),IF(Y106&lt;=208,200+((300-200)/(208-168))*(Y106-168),IF(Y106&lt;=748,300+((400-300)/(748-208))*(Y106-208),IF(Y106&lt;=1000,400+((500-400)/(1000-748))*(Y106-748),500)))))))</f>
        <v>81</v>
      </c>
      <c r="AL106" s="4" t="n">
        <f aca="false">ROUND(MAX(AF106,AG106,AH106,AI106,AJ106,AK106),0)</f>
        <v>81</v>
      </c>
      <c r="AM106" s="4" t="str">
        <f aca="false">IF(AL106="","",IF(AL106&lt;=50,"Good",IF(AL106&lt;=100,"Satisfactory",IF(AL106&lt;=200,"Moderate",IF(AL106&lt;=300,"Poor",IF(AL106&lt;=400,"Very Poor","Severe"))))))</f>
        <v>Satisfactory</v>
      </c>
    </row>
    <row r="107" customFormat="false" ht="15.75" hidden="false" customHeight="false" outlineLevel="0" collapsed="false">
      <c r="A107" s="1" t="s">
        <v>39</v>
      </c>
      <c r="B107" s="1" t="s">
        <v>40</v>
      </c>
      <c r="C107" s="1" t="n">
        <v>28.4595</v>
      </c>
      <c r="D107" s="1" t="n">
        <v>77.0266</v>
      </c>
      <c r="E107" s="5" t="n">
        <v>45905</v>
      </c>
      <c r="F107" s="6" t="s">
        <v>59</v>
      </c>
      <c r="G107" s="1" t="n">
        <v>9</v>
      </c>
      <c r="H107" s="7" t="s">
        <v>85</v>
      </c>
      <c r="I107" s="6" t="s">
        <v>43</v>
      </c>
      <c r="J107" s="7" t="s">
        <v>44</v>
      </c>
      <c r="K107" s="7" t="s">
        <v>60</v>
      </c>
      <c r="L107" s="1" t="n">
        <v>75</v>
      </c>
      <c r="M107" s="1" t="n">
        <v>24</v>
      </c>
      <c r="N107" s="1" t="n">
        <v>41</v>
      </c>
      <c r="O107" s="1" t="n">
        <v>0</v>
      </c>
      <c r="P107" s="6" t="s">
        <v>43</v>
      </c>
      <c r="Q107" s="6" t="s">
        <v>43</v>
      </c>
      <c r="R107" s="1" t="n">
        <v>1005.5</v>
      </c>
      <c r="S107" s="1" t="n">
        <v>100</v>
      </c>
      <c r="T107" s="1" t="n">
        <v>22.5</v>
      </c>
      <c r="U107" s="1" t="n">
        <v>27</v>
      </c>
      <c r="V107" s="1" t="n">
        <v>455</v>
      </c>
      <c r="W107" s="1" t="n">
        <v>12.1</v>
      </c>
      <c r="X107" s="1" t="n">
        <v>15.9</v>
      </c>
      <c r="Y107" s="1" t="n">
        <v>102</v>
      </c>
      <c r="Z107" s="1" t="n">
        <v>34</v>
      </c>
      <c r="AA107" s="1" t="n">
        <v>102</v>
      </c>
      <c r="AB107" s="7" t="s">
        <v>81</v>
      </c>
      <c r="AC107" s="7" t="s">
        <v>82</v>
      </c>
      <c r="AD107" s="7" t="s">
        <v>83</v>
      </c>
      <c r="AE107" s="7" t="s">
        <v>84</v>
      </c>
      <c r="AF107" s="4" t="n">
        <f aca="false">IF(T107="","",IF(T107&lt;=30,(50/30)*T107,IF(T107&lt;=60,50+((100-50)/(60-30))*(T107-30),IF(T107&lt;=90,100+((200-100)/(90-60))*(T107-60),IF(T107&lt;=120,200+((300-200)/(120-90))*(T107-90),IF(T107&lt;=250,300+((400-300)/(250-120))*(T107-120),IF(T107&lt;=380,400+((500-400)/(380-250))*(T107-250),500)))))))</f>
        <v>37.5</v>
      </c>
      <c r="AG107" s="4" t="n">
        <f aca="false">IF(U107="","",IF(U107&lt;=50,(50/50)*U107,IF(U107&lt;=100,50+((100-50)/(100-50))*(U107-50),IF(U107&lt;=250,100+((200-100)/(250-100))*(U107-100),IF(U107&lt;=350,200+((300-200)/(350-250))*(U107-250),IF(U107&lt;=430,300+((400-300)/(430-350))*(U107-350),IF(U107&lt;=600,400+((500-400)/(600-430))*(U107-430),500)))))))</f>
        <v>27</v>
      </c>
      <c r="AH107" s="4" t="n">
        <f aca="false">IF(V107="","",IF((V107/1000)&lt;=1,(50/1)*(V107/1000),IF((V107/1000)&lt;=2,50+((100-50)/(2-1))*(V107/1000-1),IF((V107/1000)&lt;=10,100+((200-100)/(10-2))*(V107/1000-2),IF((V107/1000)&lt;=17,200+((300-200)/(17-10))*(V107/1000-10),IF((V107/1000)&lt;=34,300+((400-300)/(34-17))*(V107/1000-17),IF((V107/1000)&lt;=57,400+((500-400)/(57-34))*(V107/1000-34),500)))))))</f>
        <v>22.75</v>
      </c>
      <c r="AI107" s="4" t="n">
        <f aca="false">IF(W107="","",IF(W107&lt;=40,(50/40)*W107,IF(W107&lt;=80,50+((100-50)/(80-40))*(W107-40),IF(W107&lt;=180,100+((200-100)/(180-80))*(W107-80),IF(W107&lt;=280,200+((300-200)/(280-180))*(W107-180),IF(W107&lt;=400,300+((400-300)/(400-280))*(W107-280),IF(W107&lt;=800,400+((500-400)/(800-400))*(W107-400),500)))))))</f>
        <v>15.125</v>
      </c>
      <c r="AJ107" s="4" t="n">
        <f aca="false">IF(X107="","",IF(X107&lt;=40,(50/40)*X107,IF(X107&lt;=80,50+((100-50)/(80-40))*(X107-40),IF(X107&lt;=380,100+((200-100)/(380-80))*(X107-80),IF(X107&lt;=800,200+((300-200)/(800-380))*(X107-380),IF(X107&lt;=1600,300+((400-300)/(1600-800))*(X107-800),IF(X107&lt;=2100,400+((500-400)/(2100-1600))*(X107-1600),500)))))))</f>
        <v>19.875</v>
      </c>
      <c r="AK107" s="4" t="n">
        <f aca="false">IF(Y107="","",IF(Y107&lt;=50,(50/50)*Y107,IF(Y107&lt;=100,50+((100-50)/(100-50))*(Y107-50),IF(Y107&lt;=168,100+((200-100)/(168-100))*(Y107-100),IF(Y107&lt;=208,200+((300-200)/(208-168))*(Y107-168),IF(Y107&lt;=748,300+((400-300)/(748-208))*(Y107-208),IF(Y107&lt;=1000,400+((500-400)/(1000-748))*(Y107-748),500)))))))</f>
        <v>102.941176470588</v>
      </c>
      <c r="AL107" s="4" t="n">
        <f aca="false">ROUND(MAX(AF107,AG107,AH107,AI107,AJ107,AK107),0)</f>
        <v>103</v>
      </c>
      <c r="AM107" s="4" t="str">
        <f aca="false">IF(AL107="","",IF(AL107&lt;=50,"Good",IF(AL107&lt;=100,"Satisfactory",IF(AL107&lt;=200,"Moderate",IF(AL107&lt;=300,"Poor",IF(AL107&lt;=400,"Very Poor","Severe"))))))</f>
        <v>Moderate</v>
      </c>
    </row>
    <row r="108" customFormat="false" ht="15.75" hidden="false" customHeight="false" outlineLevel="0" collapsed="false">
      <c r="A108" s="1" t="s">
        <v>39</v>
      </c>
      <c r="B108" s="1" t="s">
        <v>40</v>
      </c>
      <c r="C108" s="1" t="n">
        <v>28.4595</v>
      </c>
      <c r="D108" s="1" t="n">
        <v>77.0266</v>
      </c>
      <c r="E108" s="5" t="n">
        <v>45905</v>
      </c>
      <c r="F108" s="6" t="s">
        <v>61</v>
      </c>
      <c r="G108" s="1" t="n">
        <v>9</v>
      </c>
      <c r="H108" s="7" t="s">
        <v>85</v>
      </c>
      <c r="I108" s="6" t="s">
        <v>43</v>
      </c>
      <c r="J108" s="7" t="s">
        <v>44</v>
      </c>
      <c r="K108" s="7" t="s">
        <v>60</v>
      </c>
      <c r="L108" s="1" t="n">
        <v>73</v>
      </c>
      <c r="M108" s="1" t="n">
        <v>24.6</v>
      </c>
      <c r="N108" s="1" t="n">
        <v>49</v>
      </c>
      <c r="O108" s="1" t="n">
        <v>0</v>
      </c>
      <c r="P108" s="6" t="s">
        <v>43</v>
      </c>
      <c r="Q108" s="6" t="s">
        <v>43</v>
      </c>
      <c r="R108" s="1" t="n">
        <v>1005.3</v>
      </c>
      <c r="S108" s="1" t="n">
        <v>100</v>
      </c>
      <c r="T108" s="1" t="n">
        <v>24.9</v>
      </c>
      <c r="U108" s="1" t="n">
        <v>33.4</v>
      </c>
      <c r="V108" s="1" t="n">
        <v>396</v>
      </c>
      <c r="W108" s="1" t="n">
        <v>8.4</v>
      </c>
      <c r="X108" s="1" t="n">
        <v>15.6</v>
      </c>
      <c r="Y108" s="1" t="n">
        <v>127</v>
      </c>
      <c r="Z108" s="1" t="n">
        <v>18</v>
      </c>
      <c r="AA108" s="1" t="n">
        <v>102</v>
      </c>
      <c r="AB108" s="7" t="s">
        <v>81</v>
      </c>
      <c r="AC108" s="7" t="s">
        <v>82</v>
      </c>
      <c r="AD108" s="7" t="s">
        <v>83</v>
      </c>
      <c r="AE108" s="7" t="s">
        <v>84</v>
      </c>
      <c r="AF108" s="4" t="n">
        <f aca="false">IF(T108="","",IF(T108&lt;=30,(50/30)*T108,IF(T108&lt;=60,50+((100-50)/(60-30))*(T108-30),IF(T108&lt;=90,100+((200-100)/(90-60))*(T108-60),IF(T108&lt;=120,200+((300-200)/(120-90))*(T108-90),IF(T108&lt;=250,300+((400-300)/(250-120))*(T108-120),IF(T108&lt;=380,400+((500-400)/(380-250))*(T108-250),500)))))))</f>
        <v>41.5</v>
      </c>
      <c r="AG108" s="4" t="n">
        <f aca="false">IF(U108="","",IF(U108&lt;=50,(50/50)*U108,IF(U108&lt;=100,50+((100-50)/(100-50))*(U108-50),IF(U108&lt;=250,100+((200-100)/(250-100))*(U108-100),IF(U108&lt;=350,200+((300-200)/(350-250))*(U108-250),IF(U108&lt;=430,300+((400-300)/(430-350))*(U108-350),IF(U108&lt;=600,400+((500-400)/(600-430))*(U108-430),500)))))))</f>
        <v>33.4</v>
      </c>
      <c r="AH108" s="4" t="n">
        <f aca="false">IF(V108="","",IF((V108/1000)&lt;=1,(50/1)*(V108/1000),IF((V108/1000)&lt;=2,50+((100-50)/(2-1))*(V108/1000-1),IF((V108/1000)&lt;=10,100+((200-100)/(10-2))*(V108/1000-2),IF((V108/1000)&lt;=17,200+((300-200)/(17-10))*(V108/1000-10),IF((V108/1000)&lt;=34,300+((400-300)/(34-17))*(V108/1000-17),IF((V108/1000)&lt;=57,400+((500-400)/(57-34))*(V108/1000-34),500)))))))</f>
        <v>19.8</v>
      </c>
      <c r="AI108" s="4" t="n">
        <f aca="false">IF(W108="","",IF(W108&lt;=40,(50/40)*W108,IF(W108&lt;=80,50+((100-50)/(80-40))*(W108-40),IF(W108&lt;=180,100+((200-100)/(180-80))*(W108-80),IF(W108&lt;=280,200+((300-200)/(280-180))*(W108-180),IF(W108&lt;=400,300+((400-300)/(400-280))*(W108-280),IF(W108&lt;=800,400+((500-400)/(800-400))*(W108-400),500)))))))</f>
        <v>10.5</v>
      </c>
      <c r="AJ108" s="4" t="n">
        <f aca="false">IF(X108="","",IF(X108&lt;=40,(50/40)*X108,IF(X108&lt;=80,50+((100-50)/(80-40))*(X108-40),IF(X108&lt;=380,100+((200-100)/(380-80))*(X108-80),IF(X108&lt;=800,200+((300-200)/(800-380))*(X108-380),IF(X108&lt;=1600,300+((400-300)/(1600-800))*(X108-800),IF(X108&lt;=2100,400+((500-400)/(2100-1600))*(X108-1600),500)))))))</f>
        <v>19.5</v>
      </c>
      <c r="AK108" s="4" t="n">
        <f aca="false">IF(Y108="","",IF(Y108&lt;=50,(50/50)*Y108,IF(Y108&lt;=100,50+((100-50)/(100-50))*(Y108-50),IF(Y108&lt;=168,100+((200-100)/(168-100))*(Y108-100),IF(Y108&lt;=208,200+((300-200)/(208-168))*(Y108-168),IF(Y108&lt;=748,300+((400-300)/(748-208))*(Y108-208),IF(Y108&lt;=1000,400+((500-400)/(1000-748))*(Y108-748),500)))))))</f>
        <v>139.705882352941</v>
      </c>
      <c r="AL108" s="4" t="n">
        <f aca="false">ROUND(MAX(AF108,AG108,AH108,AI108,AJ108,AK108),0)</f>
        <v>140</v>
      </c>
      <c r="AM108" s="4" t="str">
        <f aca="false">IF(AL108="","",IF(AL108&lt;=50,"Good",IF(AL108&lt;=100,"Satisfactory",IF(AL108&lt;=200,"Moderate",IF(AL108&lt;=300,"Poor",IF(AL108&lt;=400,"Very Poor","Severe"))))))</f>
        <v>Moderate</v>
      </c>
    </row>
    <row r="109" customFormat="false" ht="15.75" hidden="false" customHeight="false" outlineLevel="0" collapsed="false">
      <c r="A109" s="1" t="s">
        <v>39</v>
      </c>
      <c r="B109" s="1" t="s">
        <v>40</v>
      </c>
      <c r="C109" s="1" t="n">
        <v>28.4595</v>
      </c>
      <c r="D109" s="1" t="n">
        <v>77.0266</v>
      </c>
      <c r="E109" s="5" t="n">
        <v>45905</v>
      </c>
      <c r="F109" s="6" t="s">
        <v>62</v>
      </c>
      <c r="G109" s="1" t="n">
        <v>9</v>
      </c>
      <c r="H109" s="7" t="s">
        <v>85</v>
      </c>
      <c r="I109" s="6" t="s">
        <v>43</v>
      </c>
      <c r="J109" s="7" t="s">
        <v>44</v>
      </c>
      <c r="K109" s="7" t="s">
        <v>60</v>
      </c>
      <c r="L109" s="1" t="n">
        <v>70</v>
      </c>
      <c r="M109" s="1" t="n">
        <v>24.6</v>
      </c>
      <c r="N109" s="1" t="n">
        <v>47.5</v>
      </c>
      <c r="O109" s="1" t="n">
        <v>0</v>
      </c>
      <c r="P109" s="6" t="s">
        <v>43</v>
      </c>
      <c r="Q109" s="6" t="s">
        <v>43</v>
      </c>
      <c r="R109" s="1" t="n">
        <v>1004.7</v>
      </c>
      <c r="S109" s="1" t="n">
        <v>100</v>
      </c>
      <c r="T109" s="1" t="n">
        <v>26.1</v>
      </c>
      <c r="U109" s="1" t="n">
        <v>28.7</v>
      </c>
      <c r="V109" s="1" t="n">
        <v>357</v>
      </c>
      <c r="W109" s="1" t="n">
        <v>5.6</v>
      </c>
      <c r="X109" s="1" t="n">
        <v>15.2</v>
      </c>
      <c r="Y109" s="1" t="n">
        <v>147</v>
      </c>
      <c r="Z109" s="1" t="n">
        <v>5</v>
      </c>
      <c r="AA109" s="1" t="n">
        <v>102</v>
      </c>
      <c r="AB109" s="7" t="s">
        <v>81</v>
      </c>
      <c r="AC109" s="7" t="s">
        <v>82</v>
      </c>
      <c r="AD109" s="7" t="s">
        <v>83</v>
      </c>
      <c r="AE109" s="7" t="s">
        <v>84</v>
      </c>
      <c r="AF109" s="4" t="n">
        <f aca="false">IF(T109="","",IF(T109&lt;=30,(50/30)*T109,IF(T109&lt;=60,50+((100-50)/(60-30))*(T109-30),IF(T109&lt;=90,100+((200-100)/(90-60))*(T109-60),IF(T109&lt;=120,200+((300-200)/(120-90))*(T109-90),IF(T109&lt;=250,300+((400-300)/(250-120))*(T109-120),IF(T109&lt;=380,400+((500-400)/(380-250))*(T109-250),500)))))))</f>
        <v>43.5</v>
      </c>
      <c r="AG109" s="4" t="n">
        <f aca="false">IF(U109="","",IF(U109&lt;=50,(50/50)*U109,IF(U109&lt;=100,50+((100-50)/(100-50))*(U109-50),IF(U109&lt;=250,100+((200-100)/(250-100))*(U109-100),IF(U109&lt;=350,200+((300-200)/(350-250))*(U109-250),IF(U109&lt;=430,300+((400-300)/(430-350))*(U109-350),IF(U109&lt;=600,400+((500-400)/(600-430))*(U109-430),500)))))))</f>
        <v>28.7</v>
      </c>
      <c r="AH109" s="4" t="n">
        <f aca="false">IF(V109="","",IF((V109/1000)&lt;=1,(50/1)*(V109/1000),IF((V109/1000)&lt;=2,50+((100-50)/(2-1))*(V109/1000-1),IF((V109/1000)&lt;=10,100+((200-100)/(10-2))*(V109/1000-2),IF((V109/1000)&lt;=17,200+((300-200)/(17-10))*(V109/1000-10),IF((V109/1000)&lt;=34,300+((400-300)/(34-17))*(V109/1000-17),IF((V109/1000)&lt;=57,400+((500-400)/(57-34))*(V109/1000-34),500)))))))</f>
        <v>17.85</v>
      </c>
      <c r="AI109" s="4" t="n">
        <f aca="false">IF(W109="","",IF(W109&lt;=40,(50/40)*W109,IF(W109&lt;=80,50+((100-50)/(80-40))*(W109-40),IF(W109&lt;=180,100+((200-100)/(180-80))*(W109-80),IF(W109&lt;=280,200+((300-200)/(280-180))*(W109-180),IF(W109&lt;=400,300+((400-300)/(400-280))*(W109-280),IF(W109&lt;=800,400+((500-400)/(800-400))*(W109-400),500)))))))</f>
        <v>7</v>
      </c>
      <c r="AJ109" s="4" t="n">
        <f aca="false">IF(X109="","",IF(X109&lt;=40,(50/40)*X109,IF(X109&lt;=80,50+((100-50)/(80-40))*(X109-40),IF(X109&lt;=380,100+((200-100)/(380-80))*(X109-80),IF(X109&lt;=800,200+((300-200)/(800-380))*(X109-380),IF(X109&lt;=1600,300+((400-300)/(1600-800))*(X109-800),IF(X109&lt;=2100,400+((500-400)/(2100-1600))*(X109-1600),500)))))))</f>
        <v>19</v>
      </c>
      <c r="AK109" s="4" t="n">
        <f aca="false">IF(Y109="","",IF(Y109&lt;=50,(50/50)*Y109,IF(Y109&lt;=100,50+((100-50)/(100-50))*(Y109-50),IF(Y109&lt;=168,100+((200-100)/(168-100))*(Y109-100),IF(Y109&lt;=208,200+((300-200)/(208-168))*(Y109-168),IF(Y109&lt;=748,300+((400-300)/(748-208))*(Y109-208),IF(Y109&lt;=1000,400+((500-400)/(1000-748))*(Y109-748),500)))))))</f>
        <v>169.117647058824</v>
      </c>
      <c r="AL109" s="4" t="n">
        <f aca="false">ROUND(MAX(AF109,AG109,AH109,AI109,AJ109,AK109),0)</f>
        <v>169</v>
      </c>
      <c r="AM109" s="4" t="str">
        <f aca="false">IF(AL109="","",IF(AL109&lt;=50,"Good",IF(AL109&lt;=100,"Satisfactory",IF(AL109&lt;=200,"Moderate",IF(AL109&lt;=300,"Poor",IF(AL109&lt;=400,"Very Poor","Severe"))))))</f>
        <v>Moderate</v>
      </c>
    </row>
    <row r="110" customFormat="false" ht="15.75" hidden="false" customHeight="false" outlineLevel="0" collapsed="false">
      <c r="A110" s="1" t="s">
        <v>39</v>
      </c>
      <c r="B110" s="1" t="s">
        <v>40</v>
      </c>
      <c r="C110" s="1" t="n">
        <v>28.4595</v>
      </c>
      <c r="D110" s="1" t="n">
        <v>77.0266</v>
      </c>
      <c r="E110" s="5" t="n">
        <v>45905</v>
      </c>
      <c r="F110" s="6" t="s">
        <v>63</v>
      </c>
      <c r="G110" s="1" t="n">
        <v>9</v>
      </c>
      <c r="H110" s="7" t="s">
        <v>85</v>
      </c>
      <c r="I110" s="6" t="s">
        <v>43</v>
      </c>
      <c r="J110" s="7" t="s">
        <v>44</v>
      </c>
      <c r="K110" s="7" t="s">
        <v>60</v>
      </c>
      <c r="L110" s="1" t="n">
        <v>70</v>
      </c>
      <c r="M110" s="1" t="n">
        <v>24.9</v>
      </c>
      <c r="N110" s="1" t="n">
        <v>47.2</v>
      </c>
      <c r="O110" s="1" t="n">
        <v>0</v>
      </c>
      <c r="P110" s="6" t="s">
        <v>43</v>
      </c>
      <c r="Q110" s="6" t="s">
        <v>43</v>
      </c>
      <c r="R110" s="1" t="n">
        <v>1003.8</v>
      </c>
      <c r="S110" s="1" t="n">
        <v>96</v>
      </c>
      <c r="T110" s="1" t="n">
        <v>26.7</v>
      </c>
      <c r="U110" s="1" t="n">
        <v>29.9</v>
      </c>
      <c r="V110" s="1" t="n">
        <v>347</v>
      </c>
      <c r="W110" s="1" t="n">
        <v>4.1</v>
      </c>
      <c r="X110" s="1" t="n">
        <v>15</v>
      </c>
      <c r="Y110" s="1" t="n">
        <v>163</v>
      </c>
      <c r="Z110" s="1" t="n">
        <v>1</v>
      </c>
      <c r="AA110" s="1" t="n">
        <v>102</v>
      </c>
      <c r="AB110" s="7" t="s">
        <v>81</v>
      </c>
      <c r="AC110" s="7" t="s">
        <v>82</v>
      </c>
      <c r="AD110" s="7" t="s">
        <v>83</v>
      </c>
      <c r="AE110" s="7" t="s">
        <v>84</v>
      </c>
      <c r="AF110" s="4" t="n">
        <f aca="false">IF(T110="","",IF(T110&lt;=30,(50/30)*T110,IF(T110&lt;=60,50+((100-50)/(60-30))*(T110-30),IF(T110&lt;=90,100+((200-100)/(90-60))*(T110-60),IF(T110&lt;=120,200+((300-200)/(120-90))*(T110-90),IF(T110&lt;=250,300+((400-300)/(250-120))*(T110-120),IF(T110&lt;=380,400+((500-400)/(380-250))*(T110-250),500)))))))</f>
        <v>44.5</v>
      </c>
      <c r="AG110" s="4" t="n">
        <f aca="false">IF(U110="","",IF(U110&lt;=50,(50/50)*U110,IF(U110&lt;=100,50+((100-50)/(100-50))*(U110-50),IF(U110&lt;=250,100+((200-100)/(250-100))*(U110-100),IF(U110&lt;=350,200+((300-200)/(350-250))*(U110-250),IF(U110&lt;=430,300+((400-300)/(430-350))*(U110-350),IF(U110&lt;=600,400+((500-400)/(600-430))*(U110-430),500)))))))</f>
        <v>29.9</v>
      </c>
      <c r="AH110" s="4" t="n">
        <f aca="false">IF(V110="","",IF((V110/1000)&lt;=1,(50/1)*(V110/1000),IF((V110/1000)&lt;=2,50+((100-50)/(2-1))*(V110/1000-1),IF((V110/1000)&lt;=10,100+((200-100)/(10-2))*(V110/1000-2),IF((V110/1000)&lt;=17,200+((300-200)/(17-10))*(V110/1000-10),IF((V110/1000)&lt;=34,300+((400-300)/(34-17))*(V110/1000-17),IF((V110/1000)&lt;=57,400+((500-400)/(57-34))*(V110/1000-34),500)))))))</f>
        <v>17.35</v>
      </c>
      <c r="AI110" s="4" t="n">
        <f aca="false">IF(W110="","",IF(W110&lt;=40,(50/40)*W110,IF(W110&lt;=80,50+((100-50)/(80-40))*(W110-40),IF(W110&lt;=180,100+((200-100)/(180-80))*(W110-80),IF(W110&lt;=280,200+((300-200)/(280-180))*(W110-180),IF(W110&lt;=400,300+((400-300)/(400-280))*(W110-280),IF(W110&lt;=800,400+((500-400)/(800-400))*(W110-400),500)))))))</f>
        <v>5.125</v>
      </c>
      <c r="AJ110" s="4" t="n">
        <f aca="false">IF(X110="","",IF(X110&lt;=40,(50/40)*X110,IF(X110&lt;=80,50+((100-50)/(80-40))*(X110-40),IF(X110&lt;=380,100+((200-100)/(380-80))*(X110-80),IF(X110&lt;=800,200+((300-200)/(800-380))*(X110-380),IF(X110&lt;=1600,300+((400-300)/(1600-800))*(X110-800),IF(X110&lt;=2100,400+((500-400)/(2100-1600))*(X110-1600),500)))))))</f>
        <v>18.75</v>
      </c>
      <c r="AK110" s="4" t="n">
        <f aca="false">IF(Y110="","",IF(Y110&lt;=50,(50/50)*Y110,IF(Y110&lt;=100,50+((100-50)/(100-50))*(Y110-50),IF(Y110&lt;=168,100+((200-100)/(168-100))*(Y110-100),IF(Y110&lt;=208,200+((300-200)/(208-168))*(Y110-168),IF(Y110&lt;=748,300+((400-300)/(748-208))*(Y110-208),IF(Y110&lt;=1000,400+((500-400)/(1000-748))*(Y110-748),500)))))))</f>
        <v>192.647058823529</v>
      </c>
      <c r="AL110" s="4" t="n">
        <f aca="false">ROUND(MAX(AF110,AG110,AH110,AI110,AJ110,AK110),0)</f>
        <v>193</v>
      </c>
      <c r="AM110" s="4" t="str">
        <f aca="false">IF(AL110="","",IF(AL110&lt;=50,"Good",IF(AL110&lt;=100,"Satisfactory",IF(AL110&lt;=200,"Moderate",IF(AL110&lt;=300,"Poor",IF(AL110&lt;=400,"Very Poor","Severe"))))))</f>
        <v>Moderate</v>
      </c>
    </row>
    <row r="111" customFormat="false" ht="15.75" hidden="false" customHeight="false" outlineLevel="0" collapsed="false">
      <c r="A111" s="1" t="s">
        <v>39</v>
      </c>
      <c r="B111" s="1" t="s">
        <v>40</v>
      </c>
      <c r="C111" s="1" t="n">
        <v>28.4595</v>
      </c>
      <c r="D111" s="1" t="n">
        <v>77.0266</v>
      </c>
      <c r="E111" s="5" t="n">
        <v>45905</v>
      </c>
      <c r="F111" s="6" t="s">
        <v>64</v>
      </c>
      <c r="G111" s="1" t="n">
        <v>9</v>
      </c>
      <c r="H111" s="7" t="s">
        <v>85</v>
      </c>
      <c r="I111" s="6" t="s">
        <v>43</v>
      </c>
      <c r="J111" s="7" t="s">
        <v>44</v>
      </c>
      <c r="K111" s="7" t="s">
        <v>65</v>
      </c>
      <c r="L111" s="1" t="n">
        <v>67</v>
      </c>
      <c r="M111" s="1" t="n">
        <v>24.6</v>
      </c>
      <c r="N111" s="1" t="n">
        <v>45</v>
      </c>
      <c r="O111" s="1" t="n">
        <v>0.1</v>
      </c>
      <c r="P111" s="6" t="s">
        <v>46</v>
      </c>
      <c r="Q111" s="6" t="s">
        <v>43</v>
      </c>
      <c r="R111" s="1" t="n">
        <v>1002.6</v>
      </c>
      <c r="S111" s="1" t="n">
        <v>64</v>
      </c>
      <c r="T111" s="1" t="n">
        <v>27</v>
      </c>
      <c r="U111" s="1" t="n">
        <v>28.4</v>
      </c>
      <c r="V111" s="1" t="n">
        <v>357</v>
      </c>
      <c r="W111" s="1" t="n">
        <v>3.7</v>
      </c>
      <c r="X111" s="1" t="n">
        <v>14.8</v>
      </c>
      <c r="Y111" s="1" t="n">
        <v>174</v>
      </c>
      <c r="Z111" s="1" t="n">
        <v>2</v>
      </c>
      <c r="AA111" s="1" t="n">
        <v>103</v>
      </c>
      <c r="AB111" s="7" t="s">
        <v>81</v>
      </c>
      <c r="AC111" s="7" t="s">
        <v>82</v>
      </c>
      <c r="AD111" s="7" t="s">
        <v>83</v>
      </c>
      <c r="AE111" s="7" t="s">
        <v>84</v>
      </c>
      <c r="AF111" s="4" t="n">
        <f aca="false">IF(T111="","",IF(T111&lt;=30,(50/30)*T111,IF(T111&lt;=60,50+((100-50)/(60-30))*(T111-30),IF(T111&lt;=90,100+((200-100)/(90-60))*(T111-60),IF(T111&lt;=120,200+((300-200)/(120-90))*(T111-90),IF(T111&lt;=250,300+((400-300)/(250-120))*(T111-120),IF(T111&lt;=380,400+((500-400)/(380-250))*(T111-250),500)))))))</f>
        <v>45</v>
      </c>
      <c r="AG111" s="4" t="n">
        <f aca="false">IF(U111="","",IF(U111&lt;=50,(50/50)*U111,IF(U111&lt;=100,50+((100-50)/(100-50))*(U111-50),IF(U111&lt;=250,100+((200-100)/(250-100))*(U111-100),IF(U111&lt;=350,200+((300-200)/(350-250))*(U111-250),IF(U111&lt;=430,300+((400-300)/(430-350))*(U111-350),IF(U111&lt;=600,400+((500-400)/(600-430))*(U111-430),500)))))))</f>
        <v>28.4</v>
      </c>
      <c r="AH111" s="4" t="n">
        <f aca="false">IF(V111="","",IF((V111/1000)&lt;=1,(50/1)*(V111/1000),IF((V111/1000)&lt;=2,50+((100-50)/(2-1))*(V111/1000-1),IF((V111/1000)&lt;=10,100+((200-100)/(10-2))*(V111/1000-2),IF((V111/1000)&lt;=17,200+((300-200)/(17-10))*(V111/1000-10),IF((V111/1000)&lt;=34,300+((400-300)/(34-17))*(V111/1000-17),IF((V111/1000)&lt;=57,400+((500-400)/(57-34))*(V111/1000-34),500)))))))</f>
        <v>17.85</v>
      </c>
      <c r="AI111" s="4" t="n">
        <f aca="false">IF(W111="","",IF(W111&lt;=40,(50/40)*W111,IF(W111&lt;=80,50+((100-50)/(80-40))*(W111-40),IF(W111&lt;=180,100+((200-100)/(180-80))*(W111-80),IF(W111&lt;=280,200+((300-200)/(280-180))*(W111-180),IF(W111&lt;=400,300+((400-300)/(400-280))*(W111-280),IF(W111&lt;=800,400+((500-400)/(800-400))*(W111-400),500)))))))</f>
        <v>4.625</v>
      </c>
      <c r="AJ111" s="4" t="n">
        <f aca="false">IF(X111="","",IF(X111&lt;=40,(50/40)*X111,IF(X111&lt;=80,50+((100-50)/(80-40))*(X111-40),IF(X111&lt;=380,100+((200-100)/(380-80))*(X111-80),IF(X111&lt;=800,200+((300-200)/(800-380))*(X111-380),IF(X111&lt;=1600,300+((400-300)/(1600-800))*(X111-800),IF(X111&lt;=2100,400+((500-400)/(2100-1600))*(X111-1600),500)))))))</f>
        <v>18.5</v>
      </c>
      <c r="AK111" s="4" t="n">
        <f aca="false">IF(Y111="","",IF(Y111&lt;=50,(50/50)*Y111,IF(Y111&lt;=100,50+((100-50)/(100-50))*(Y111-50),IF(Y111&lt;=168,100+((200-100)/(168-100))*(Y111-100),IF(Y111&lt;=208,200+((300-200)/(208-168))*(Y111-168),IF(Y111&lt;=748,300+((400-300)/(748-208))*(Y111-208),IF(Y111&lt;=1000,400+((500-400)/(1000-748))*(Y111-748),500)))))))</f>
        <v>215</v>
      </c>
      <c r="AL111" s="4" t="n">
        <f aca="false">ROUND(MAX(AF111,AG111,AH111,AI111,AJ111,AK111),0)</f>
        <v>215</v>
      </c>
      <c r="AM111" s="4" t="str">
        <f aca="false">IF(AL111="","",IF(AL111&lt;=50,"Good",IF(AL111&lt;=100,"Satisfactory",IF(AL111&lt;=200,"Moderate",IF(AL111&lt;=300,"Poor",IF(AL111&lt;=400,"Very Poor","Severe"))))))</f>
        <v>Poor</v>
      </c>
    </row>
    <row r="112" customFormat="false" ht="15.75" hidden="false" customHeight="false" outlineLevel="0" collapsed="false">
      <c r="A112" s="1" t="s">
        <v>39</v>
      </c>
      <c r="B112" s="1" t="s">
        <v>40</v>
      </c>
      <c r="C112" s="1" t="n">
        <v>28.4595</v>
      </c>
      <c r="D112" s="1" t="n">
        <v>77.0266</v>
      </c>
      <c r="E112" s="5" t="n">
        <v>45905</v>
      </c>
      <c r="F112" s="6" t="s">
        <v>66</v>
      </c>
      <c r="G112" s="1" t="n">
        <v>9</v>
      </c>
      <c r="H112" s="7" t="s">
        <v>85</v>
      </c>
      <c r="I112" s="6" t="s">
        <v>43</v>
      </c>
      <c r="J112" s="7" t="s">
        <v>44</v>
      </c>
      <c r="K112" s="7" t="s">
        <v>65</v>
      </c>
      <c r="L112" s="1" t="n">
        <v>78</v>
      </c>
      <c r="M112" s="1" t="n">
        <v>25.1</v>
      </c>
      <c r="N112" s="1" t="n">
        <v>47.5</v>
      </c>
      <c r="O112" s="1" t="n">
        <v>0.8</v>
      </c>
      <c r="P112" s="6" t="s">
        <v>46</v>
      </c>
      <c r="Q112" s="6" t="s">
        <v>43</v>
      </c>
      <c r="R112" s="1" t="n">
        <v>1001.7</v>
      </c>
      <c r="S112" s="1" t="n">
        <v>48</v>
      </c>
      <c r="T112" s="1" t="n">
        <v>28.6</v>
      </c>
      <c r="U112" s="1" t="n">
        <v>29.7</v>
      </c>
      <c r="V112" s="1" t="n">
        <v>397</v>
      </c>
      <c r="W112" s="1" t="n">
        <v>5</v>
      </c>
      <c r="X112" s="1" t="n">
        <v>14.5</v>
      </c>
      <c r="Y112" s="1" t="n">
        <v>175</v>
      </c>
      <c r="Z112" s="1" t="n">
        <v>2</v>
      </c>
      <c r="AA112" s="1" t="n">
        <v>103</v>
      </c>
      <c r="AB112" s="7" t="s">
        <v>81</v>
      </c>
      <c r="AC112" s="7" t="s">
        <v>82</v>
      </c>
      <c r="AD112" s="7" t="s">
        <v>83</v>
      </c>
      <c r="AE112" s="7" t="s">
        <v>84</v>
      </c>
      <c r="AF112" s="4" t="n">
        <f aca="false">IF(T112="","",IF(T112&lt;=30,(50/30)*T112,IF(T112&lt;=60,50+((100-50)/(60-30))*(T112-30),IF(T112&lt;=90,100+((200-100)/(90-60))*(T112-60),IF(T112&lt;=120,200+((300-200)/(120-90))*(T112-90),IF(T112&lt;=250,300+((400-300)/(250-120))*(T112-120),IF(T112&lt;=380,400+((500-400)/(380-250))*(T112-250),500)))))))</f>
        <v>47.6666666666667</v>
      </c>
      <c r="AG112" s="4" t="n">
        <f aca="false">IF(U112="","",IF(U112&lt;=50,(50/50)*U112,IF(U112&lt;=100,50+((100-50)/(100-50))*(U112-50),IF(U112&lt;=250,100+((200-100)/(250-100))*(U112-100),IF(U112&lt;=350,200+((300-200)/(350-250))*(U112-250),IF(U112&lt;=430,300+((400-300)/(430-350))*(U112-350),IF(U112&lt;=600,400+((500-400)/(600-430))*(U112-430),500)))))))</f>
        <v>29.7</v>
      </c>
      <c r="AH112" s="4" t="n">
        <f aca="false">IF(V112="","",IF((V112/1000)&lt;=1,(50/1)*(V112/1000),IF((V112/1000)&lt;=2,50+((100-50)/(2-1))*(V112/1000-1),IF((V112/1000)&lt;=10,100+((200-100)/(10-2))*(V112/1000-2),IF((V112/1000)&lt;=17,200+((300-200)/(17-10))*(V112/1000-10),IF((V112/1000)&lt;=34,300+((400-300)/(34-17))*(V112/1000-17),IF((V112/1000)&lt;=57,400+((500-400)/(57-34))*(V112/1000-34),500)))))))</f>
        <v>19.85</v>
      </c>
      <c r="AI112" s="4" t="n">
        <f aca="false">IF(W112="","",IF(W112&lt;=40,(50/40)*W112,IF(W112&lt;=80,50+((100-50)/(80-40))*(W112-40),IF(W112&lt;=180,100+((200-100)/(180-80))*(W112-80),IF(W112&lt;=280,200+((300-200)/(280-180))*(W112-180),IF(W112&lt;=400,300+((400-300)/(400-280))*(W112-280),IF(W112&lt;=800,400+((500-400)/(800-400))*(W112-400),500)))))))</f>
        <v>6.25</v>
      </c>
      <c r="AJ112" s="4" t="n">
        <f aca="false">IF(X112="","",IF(X112&lt;=40,(50/40)*X112,IF(X112&lt;=80,50+((100-50)/(80-40))*(X112-40),IF(X112&lt;=380,100+((200-100)/(380-80))*(X112-80),IF(X112&lt;=800,200+((300-200)/(800-380))*(X112-380),IF(X112&lt;=1600,300+((400-300)/(1600-800))*(X112-800),IF(X112&lt;=2100,400+((500-400)/(2100-1600))*(X112-1600),500)))))))</f>
        <v>18.125</v>
      </c>
      <c r="AK112" s="4" t="n">
        <f aca="false">IF(Y112="","",IF(Y112&lt;=50,(50/50)*Y112,IF(Y112&lt;=100,50+((100-50)/(100-50))*(Y112-50),IF(Y112&lt;=168,100+((200-100)/(168-100))*(Y112-100),IF(Y112&lt;=208,200+((300-200)/(208-168))*(Y112-168),IF(Y112&lt;=748,300+((400-300)/(748-208))*(Y112-208),IF(Y112&lt;=1000,400+((500-400)/(1000-748))*(Y112-748),500)))))))</f>
        <v>217.5</v>
      </c>
      <c r="AL112" s="4" t="n">
        <f aca="false">ROUND(MAX(AF112,AG112,AH112,AI112,AJ112,AK112),0)</f>
        <v>218</v>
      </c>
      <c r="AM112" s="4" t="str">
        <f aca="false">IF(AL112="","",IF(AL112&lt;=50,"Good",IF(AL112&lt;=100,"Satisfactory",IF(AL112&lt;=200,"Moderate",IF(AL112&lt;=300,"Poor",IF(AL112&lt;=400,"Very Poor","Severe"))))))</f>
        <v>Poor</v>
      </c>
    </row>
    <row r="113" customFormat="false" ht="15.75" hidden="false" customHeight="false" outlineLevel="0" collapsed="false">
      <c r="A113" s="1" t="s">
        <v>39</v>
      </c>
      <c r="B113" s="1" t="s">
        <v>40</v>
      </c>
      <c r="C113" s="1" t="n">
        <v>28.4595</v>
      </c>
      <c r="D113" s="1" t="n">
        <v>77.0266</v>
      </c>
      <c r="E113" s="5" t="n">
        <v>45905</v>
      </c>
      <c r="F113" s="6" t="s">
        <v>67</v>
      </c>
      <c r="G113" s="1" t="n">
        <v>9</v>
      </c>
      <c r="H113" s="7" t="s">
        <v>85</v>
      </c>
      <c r="I113" s="6" t="s">
        <v>43</v>
      </c>
      <c r="J113" s="7" t="s">
        <v>44</v>
      </c>
      <c r="K113" s="7" t="s">
        <v>65</v>
      </c>
      <c r="L113" s="1" t="n">
        <v>72</v>
      </c>
      <c r="M113" s="1" t="n">
        <v>25.5</v>
      </c>
      <c r="N113" s="1" t="n">
        <v>28.1</v>
      </c>
      <c r="O113" s="1" t="n">
        <v>0</v>
      </c>
      <c r="P113" s="6" t="s">
        <v>43</v>
      </c>
      <c r="Q113" s="6" t="s">
        <v>43</v>
      </c>
      <c r="R113" s="1" t="n">
        <v>1000.7</v>
      </c>
      <c r="S113" s="1" t="n">
        <v>59</v>
      </c>
      <c r="T113" s="1" t="n">
        <v>30.9</v>
      </c>
      <c r="U113" s="1" t="n">
        <v>31.4</v>
      </c>
      <c r="V113" s="1" t="n">
        <v>492</v>
      </c>
      <c r="W113" s="1" t="n">
        <v>8.9</v>
      </c>
      <c r="X113" s="1" t="n">
        <v>13.6</v>
      </c>
      <c r="Y113" s="1" t="n">
        <v>160</v>
      </c>
      <c r="Z113" s="1" t="n">
        <v>1</v>
      </c>
      <c r="AA113" s="1" t="n">
        <v>103</v>
      </c>
      <c r="AB113" s="7" t="s">
        <v>81</v>
      </c>
      <c r="AC113" s="7" t="s">
        <v>82</v>
      </c>
      <c r="AD113" s="7" t="s">
        <v>83</v>
      </c>
      <c r="AE113" s="7" t="s">
        <v>84</v>
      </c>
      <c r="AF113" s="4" t="n">
        <f aca="false">IF(T113="","",IF(T113&lt;=30,(50/30)*T113,IF(T113&lt;=60,50+((100-50)/(60-30))*(T113-30),IF(T113&lt;=90,100+((200-100)/(90-60))*(T113-60),IF(T113&lt;=120,200+((300-200)/(120-90))*(T113-90),IF(T113&lt;=250,300+((400-300)/(250-120))*(T113-120),IF(T113&lt;=380,400+((500-400)/(380-250))*(T113-250),500)))))))</f>
        <v>51.5</v>
      </c>
      <c r="AG113" s="4" t="n">
        <f aca="false">IF(U113="","",IF(U113&lt;=50,(50/50)*U113,IF(U113&lt;=100,50+((100-50)/(100-50))*(U113-50),IF(U113&lt;=250,100+((200-100)/(250-100))*(U113-100),IF(U113&lt;=350,200+((300-200)/(350-250))*(U113-250),IF(U113&lt;=430,300+((400-300)/(430-350))*(U113-350),IF(U113&lt;=600,400+((500-400)/(600-430))*(U113-430),500)))))))</f>
        <v>31.4</v>
      </c>
      <c r="AH113" s="4" t="n">
        <f aca="false">IF(V113="","",IF((V113/1000)&lt;=1,(50/1)*(V113/1000),IF((V113/1000)&lt;=2,50+((100-50)/(2-1))*(V113/1000-1),IF((V113/1000)&lt;=10,100+((200-100)/(10-2))*(V113/1000-2),IF((V113/1000)&lt;=17,200+((300-200)/(17-10))*(V113/1000-10),IF((V113/1000)&lt;=34,300+((400-300)/(34-17))*(V113/1000-17),IF((V113/1000)&lt;=57,400+((500-400)/(57-34))*(V113/1000-34),500)))))))</f>
        <v>24.6</v>
      </c>
      <c r="AI113" s="4" t="n">
        <f aca="false">IF(W113="","",IF(W113&lt;=40,(50/40)*W113,IF(W113&lt;=80,50+((100-50)/(80-40))*(W113-40),IF(W113&lt;=180,100+((200-100)/(180-80))*(W113-80),IF(W113&lt;=280,200+((300-200)/(280-180))*(W113-180),IF(W113&lt;=400,300+((400-300)/(400-280))*(W113-280),IF(W113&lt;=800,400+((500-400)/(800-400))*(W113-400),500)))))))</f>
        <v>11.125</v>
      </c>
      <c r="AJ113" s="4" t="n">
        <f aca="false">IF(X113="","",IF(X113&lt;=40,(50/40)*X113,IF(X113&lt;=80,50+((100-50)/(80-40))*(X113-40),IF(X113&lt;=380,100+((200-100)/(380-80))*(X113-80),IF(X113&lt;=800,200+((300-200)/(800-380))*(X113-380),IF(X113&lt;=1600,300+((400-300)/(1600-800))*(X113-800),IF(X113&lt;=2100,400+((500-400)/(2100-1600))*(X113-1600),500)))))))</f>
        <v>17</v>
      </c>
      <c r="AK113" s="4" t="n">
        <f aca="false">IF(Y113="","",IF(Y113&lt;=50,(50/50)*Y113,IF(Y113&lt;=100,50+((100-50)/(100-50))*(Y113-50),IF(Y113&lt;=168,100+((200-100)/(168-100))*(Y113-100),IF(Y113&lt;=208,200+((300-200)/(208-168))*(Y113-168),IF(Y113&lt;=748,300+((400-300)/(748-208))*(Y113-208),IF(Y113&lt;=1000,400+((500-400)/(1000-748))*(Y113-748),500)))))))</f>
        <v>188.235294117647</v>
      </c>
      <c r="AL113" s="4" t="n">
        <f aca="false">ROUND(MAX(AF113,AG113,AH113,AI113,AJ113,AK113),0)</f>
        <v>188</v>
      </c>
      <c r="AM113" s="4" t="str">
        <f aca="false">IF(AL113="","",IF(AL113&lt;=50,"Good",IF(AL113&lt;=100,"Satisfactory",IF(AL113&lt;=200,"Moderate",IF(AL113&lt;=300,"Poor",IF(AL113&lt;=400,"Very Poor","Severe"))))))</f>
        <v>Moderate</v>
      </c>
    </row>
    <row r="114" customFormat="false" ht="15.75" hidden="false" customHeight="false" outlineLevel="0" collapsed="false">
      <c r="A114" s="1" t="s">
        <v>39</v>
      </c>
      <c r="B114" s="1" t="s">
        <v>40</v>
      </c>
      <c r="C114" s="1" t="n">
        <v>28.4595</v>
      </c>
      <c r="D114" s="1" t="n">
        <v>77.0266</v>
      </c>
      <c r="E114" s="5" t="n">
        <v>45905</v>
      </c>
      <c r="F114" s="6" t="s">
        <v>68</v>
      </c>
      <c r="G114" s="1" t="n">
        <v>9</v>
      </c>
      <c r="H114" s="7" t="s">
        <v>85</v>
      </c>
      <c r="I114" s="6" t="s">
        <v>43</v>
      </c>
      <c r="J114" s="7" t="s">
        <v>44</v>
      </c>
      <c r="K114" s="7" t="s">
        <v>65</v>
      </c>
      <c r="L114" s="1" t="n">
        <v>77</v>
      </c>
      <c r="M114" s="1" t="n">
        <v>25.1</v>
      </c>
      <c r="N114" s="1" t="n">
        <v>37.8</v>
      </c>
      <c r="O114" s="1" t="n">
        <v>0.7</v>
      </c>
      <c r="P114" s="6" t="s">
        <v>46</v>
      </c>
      <c r="Q114" s="6" t="s">
        <v>43</v>
      </c>
      <c r="R114" s="1" t="n">
        <v>1000.9</v>
      </c>
      <c r="S114" s="1" t="n">
        <v>96</v>
      </c>
      <c r="T114" s="1" t="n">
        <v>30.9</v>
      </c>
      <c r="U114" s="1" t="n">
        <v>31</v>
      </c>
      <c r="V114" s="1" t="n">
        <v>617</v>
      </c>
      <c r="W114" s="1" t="n">
        <v>14.6</v>
      </c>
      <c r="X114" s="1" t="n">
        <v>12.6</v>
      </c>
      <c r="Y114" s="1" t="n">
        <v>134</v>
      </c>
      <c r="Z114" s="1" t="n">
        <v>0</v>
      </c>
      <c r="AA114" s="1" t="n">
        <v>107</v>
      </c>
      <c r="AB114" s="7" t="s">
        <v>81</v>
      </c>
      <c r="AC114" s="7" t="s">
        <v>82</v>
      </c>
      <c r="AD114" s="7" t="s">
        <v>83</v>
      </c>
      <c r="AE114" s="7" t="s">
        <v>84</v>
      </c>
      <c r="AF114" s="4" t="n">
        <f aca="false">IF(T114="","",IF(T114&lt;=30,(50/30)*T114,IF(T114&lt;=60,50+((100-50)/(60-30))*(T114-30),IF(T114&lt;=90,100+((200-100)/(90-60))*(T114-60),IF(T114&lt;=120,200+((300-200)/(120-90))*(T114-90),IF(T114&lt;=250,300+((400-300)/(250-120))*(T114-120),IF(T114&lt;=380,400+((500-400)/(380-250))*(T114-250),500)))))))</f>
        <v>51.5</v>
      </c>
      <c r="AG114" s="4" t="n">
        <f aca="false">IF(U114="","",IF(U114&lt;=50,(50/50)*U114,IF(U114&lt;=100,50+((100-50)/(100-50))*(U114-50),IF(U114&lt;=250,100+((200-100)/(250-100))*(U114-100),IF(U114&lt;=350,200+((300-200)/(350-250))*(U114-250),IF(U114&lt;=430,300+((400-300)/(430-350))*(U114-350),IF(U114&lt;=600,400+((500-400)/(600-430))*(U114-430),500)))))))</f>
        <v>31</v>
      </c>
      <c r="AH114" s="4" t="n">
        <f aca="false">IF(V114="","",IF((V114/1000)&lt;=1,(50/1)*(V114/1000),IF((V114/1000)&lt;=2,50+((100-50)/(2-1))*(V114/1000-1),IF((V114/1000)&lt;=10,100+((200-100)/(10-2))*(V114/1000-2),IF((V114/1000)&lt;=17,200+((300-200)/(17-10))*(V114/1000-10),IF((V114/1000)&lt;=34,300+((400-300)/(34-17))*(V114/1000-17),IF((V114/1000)&lt;=57,400+((500-400)/(57-34))*(V114/1000-34),500)))))))</f>
        <v>30.85</v>
      </c>
      <c r="AI114" s="4" t="n">
        <f aca="false">IF(W114="","",IF(W114&lt;=40,(50/40)*W114,IF(W114&lt;=80,50+((100-50)/(80-40))*(W114-40),IF(W114&lt;=180,100+((200-100)/(180-80))*(W114-80),IF(W114&lt;=280,200+((300-200)/(280-180))*(W114-180),IF(W114&lt;=400,300+((400-300)/(400-280))*(W114-280),IF(W114&lt;=800,400+((500-400)/(800-400))*(W114-400),500)))))))</f>
        <v>18.25</v>
      </c>
      <c r="AJ114" s="4" t="n">
        <f aca="false">IF(X114="","",IF(X114&lt;=40,(50/40)*X114,IF(X114&lt;=80,50+((100-50)/(80-40))*(X114-40),IF(X114&lt;=380,100+((200-100)/(380-80))*(X114-80),IF(X114&lt;=800,200+((300-200)/(800-380))*(X114-380),IF(X114&lt;=1600,300+((400-300)/(1600-800))*(X114-800),IF(X114&lt;=2100,400+((500-400)/(2100-1600))*(X114-1600),500)))))))</f>
        <v>15.75</v>
      </c>
      <c r="AK114" s="4" t="n">
        <f aca="false">IF(Y114="","",IF(Y114&lt;=50,(50/50)*Y114,IF(Y114&lt;=100,50+((100-50)/(100-50))*(Y114-50),IF(Y114&lt;=168,100+((200-100)/(168-100))*(Y114-100),IF(Y114&lt;=208,200+((300-200)/(208-168))*(Y114-168),IF(Y114&lt;=748,300+((400-300)/(748-208))*(Y114-208),IF(Y114&lt;=1000,400+((500-400)/(1000-748))*(Y114-748),500)))))))</f>
        <v>150</v>
      </c>
      <c r="AL114" s="4" t="n">
        <f aca="false">ROUND(MAX(AF114,AG114,AH114,AI114,AJ114,AK114),0)</f>
        <v>150</v>
      </c>
      <c r="AM114" s="4" t="str">
        <f aca="false">IF(AL114="","",IF(AL114&lt;=50,"Good",IF(AL114&lt;=100,"Satisfactory",IF(AL114&lt;=200,"Moderate",IF(AL114&lt;=300,"Poor",IF(AL114&lt;=400,"Very Poor","Severe"))))))</f>
        <v>Moderate</v>
      </c>
    </row>
    <row r="115" customFormat="false" ht="15.75" hidden="false" customHeight="false" outlineLevel="0" collapsed="false">
      <c r="A115" s="1" t="s">
        <v>39</v>
      </c>
      <c r="B115" s="1" t="s">
        <v>40</v>
      </c>
      <c r="C115" s="1" t="n">
        <v>28.4595</v>
      </c>
      <c r="D115" s="1" t="n">
        <v>77.0266</v>
      </c>
      <c r="E115" s="5" t="n">
        <v>45905</v>
      </c>
      <c r="F115" s="6" t="s">
        <v>69</v>
      </c>
      <c r="G115" s="1" t="n">
        <v>9</v>
      </c>
      <c r="H115" s="7" t="s">
        <v>85</v>
      </c>
      <c r="I115" s="6" t="s">
        <v>43</v>
      </c>
      <c r="J115" s="7" t="s">
        <v>44</v>
      </c>
      <c r="K115" s="7" t="s">
        <v>65</v>
      </c>
      <c r="L115" s="1" t="n">
        <v>84</v>
      </c>
      <c r="M115" s="1" t="n">
        <v>24.5</v>
      </c>
      <c r="N115" s="1" t="n">
        <v>38.2</v>
      </c>
      <c r="O115" s="1" t="n">
        <v>0.1</v>
      </c>
      <c r="P115" s="6" t="s">
        <v>46</v>
      </c>
      <c r="Q115" s="6" t="s">
        <v>43</v>
      </c>
      <c r="R115" s="1" t="n">
        <v>1001.7</v>
      </c>
      <c r="S115" s="1" t="n">
        <v>100</v>
      </c>
      <c r="T115" s="1" t="n">
        <v>35.4</v>
      </c>
      <c r="U115" s="1" t="n">
        <v>35.5</v>
      </c>
      <c r="V115" s="1" t="n">
        <v>712</v>
      </c>
      <c r="W115" s="1" t="n">
        <v>18.8</v>
      </c>
      <c r="X115" s="1" t="n">
        <v>17.8</v>
      </c>
      <c r="Y115" s="1" t="n">
        <v>126</v>
      </c>
      <c r="Z115" s="1" t="n">
        <v>0</v>
      </c>
      <c r="AA115" s="1" t="n">
        <v>118</v>
      </c>
      <c r="AB115" s="7" t="s">
        <v>81</v>
      </c>
      <c r="AC115" s="7" t="s">
        <v>82</v>
      </c>
      <c r="AD115" s="7" t="s">
        <v>83</v>
      </c>
      <c r="AE115" s="7" t="s">
        <v>84</v>
      </c>
      <c r="AF115" s="4" t="n">
        <f aca="false">IF(T115="","",IF(T115&lt;=30,(50/30)*T115,IF(T115&lt;=60,50+((100-50)/(60-30))*(T115-30),IF(T115&lt;=90,100+((200-100)/(90-60))*(T115-60),IF(T115&lt;=120,200+((300-200)/(120-90))*(T115-90),IF(T115&lt;=250,300+((400-300)/(250-120))*(T115-120),IF(T115&lt;=380,400+((500-400)/(380-250))*(T115-250),500)))))))</f>
        <v>59</v>
      </c>
      <c r="AG115" s="4" t="n">
        <f aca="false">IF(U115="","",IF(U115&lt;=50,(50/50)*U115,IF(U115&lt;=100,50+((100-50)/(100-50))*(U115-50),IF(U115&lt;=250,100+((200-100)/(250-100))*(U115-100),IF(U115&lt;=350,200+((300-200)/(350-250))*(U115-250),IF(U115&lt;=430,300+((400-300)/(430-350))*(U115-350),IF(U115&lt;=600,400+((500-400)/(600-430))*(U115-430),500)))))))</f>
        <v>35.5</v>
      </c>
      <c r="AH115" s="4" t="n">
        <f aca="false">IF(V115="","",IF((V115/1000)&lt;=1,(50/1)*(V115/1000),IF((V115/1000)&lt;=2,50+((100-50)/(2-1))*(V115/1000-1),IF((V115/1000)&lt;=10,100+((200-100)/(10-2))*(V115/1000-2),IF((V115/1000)&lt;=17,200+((300-200)/(17-10))*(V115/1000-10),IF((V115/1000)&lt;=34,300+((400-300)/(34-17))*(V115/1000-17),IF((V115/1000)&lt;=57,400+((500-400)/(57-34))*(V115/1000-34),500)))))))</f>
        <v>35.6</v>
      </c>
      <c r="AI115" s="4" t="n">
        <f aca="false">IF(W115="","",IF(W115&lt;=40,(50/40)*W115,IF(W115&lt;=80,50+((100-50)/(80-40))*(W115-40),IF(W115&lt;=180,100+((200-100)/(180-80))*(W115-80),IF(W115&lt;=280,200+((300-200)/(280-180))*(W115-180),IF(W115&lt;=400,300+((400-300)/(400-280))*(W115-280),IF(W115&lt;=800,400+((500-400)/(800-400))*(W115-400),500)))))))</f>
        <v>23.5</v>
      </c>
      <c r="AJ115" s="4" t="n">
        <f aca="false">IF(X115="","",IF(X115&lt;=40,(50/40)*X115,IF(X115&lt;=80,50+((100-50)/(80-40))*(X115-40),IF(X115&lt;=380,100+((200-100)/(380-80))*(X115-80),IF(X115&lt;=800,200+((300-200)/(800-380))*(X115-380),IF(X115&lt;=1600,300+((400-300)/(1600-800))*(X115-800),IF(X115&lt;=2100,400+((500-400)/(2100-1600))*(X115-1600),500)))))))</f>
        <v>22.25</v>
      </c>
      <c r="AK115" s="4" t="n">
        <f aca="false">IF(Y115="","",IF(Y115&lt;=50,(50/50)*Y115,IF(Y115&lt;=100,50+((100-50)/(100-50))*(Y115-50),IF(Y115&lt;=168,100+((200-100)/(168-100))*(Y115-100),IF(Y115&lt;=208,200+((300-200)/(208-168))*(Y115-168),IF(Y115&lt;=748,300+((400-300)/(748-208))*(Y115-208),IF(Y115&lt;=1000,400+((500-400)/(1000-748))*(Y115-748),500)))))))</f>
        <v>138.235294117647</v>
      </c>
      <c r="AL115" s="4" t="n">
        <f aca="false">ROUND(MAX(AF115,AG115,AH115,AI115,AJ115,AK115),0)</f>
        <v>138</v>
      </c>
      <c r="AM115" s="4" t="str">
        <f aca="false">IF(AL115="","",IF(AL115&lt;=50,"Good",IF(AL115&lt;=100,"Satisfactory",IF(AL115&lt;=200,"Moderate",IF(AL115&lt;=300,"Poor",IF(AL115&lt;=400,"Very Poor","Severe"))))))</f>
        <v>Moderate</v>
      </c>
    </row>
    <row r="116" customFormat="false" ht="15.75" hidden="false" customHeight="false" outlineLevel="0" collapsed="false">
      <c r="A116" s="1" t="s">
        <v>39</v>
      </c>
      <c r="B116" s="1" t="s">
        <v>40</v>
      </c>
      <c r="C116" s="1" t="n">
        <v>28.4595</v>
      </c>
      <c r="D116" s="1" t="n">
        <v>77.0266</v>
      </c>
      <c r="E116" s="5" t="n">
        <v>45905</v>
      </c>
      <c r="F116" s="6" t="s">
        <v>70</v>
      </c>
      <c r="G116" s="1" t="n">
        <v>9</v>
      </c>
      <c r="H116" s="7" t="s">
        <v>85</v>
      </c>
      <c r="I116" s="6" t="s">
        <v>43</v>
      </c>
      <c r="J116" s="7" t="s">
        <v>44</v>
      </c>
      <c r="K116" s="7" t="s">
        <v>71</v>
      </c>
      <c r="L116" s="1" t="n">
        <v>92</v>
      </c>
      <c r="M116" s="1" t="n">
        <v>24.9</v>
      </c>
      <c r="N116" s="1" t="n">
        <v>30.2</v>
      </c>
      <c r="O116" s="1" t="n">
        <v>6.8</v>
      </c>
      <c r="P116" s="6" t="s">
        <v>46</v>
      </c>
      <c r="Q116" s="6" t="s">
        <v>43</v>
      </c>
      <c r="R116" s="1" t="n">
        <v>1003.2</v>
      </c>
      <c r="S116" s="1" t="n">
        <v>99</v>
      </c>
      <c r="T116" s="1" t="n">
        <v>37.4</v>
      </c>
      <c r="U116" s="1" t="n">
        <v>37.6</v>
      </c>
      <c r="V116" s="1" t="n">
        <v>757</v>
      </c>
      <c r="W116" s="1" t="n">
        <v>20.1</v>
      </c>
      <c r="X116" s="1" t="n">
        <v>17.4</v>
      </c>
      <c r="Y116" s="1" t="n">
        <v>116</v>
      </c>
      <c r="Z116" s="1" t="n">
        <v>0</v>
      </c>
      <c r="AA116" s="1" t="n">
        <v>123</v>
      </c>
      <c r="AB116" s="7" t="s">
        <v>81</v>
      </c>
      <c r="AC116" s="7" t="s">
        <v>82</v>
      </c>
      <c r="AD116" s="7" t="s">
        <v>83</v>
      </c>
      <c r="AE116" s="7" t="s">
        <v>84</v>
      </c>
      <c r="AF116" s="4" t="n">
        <f aca="false">IF(T116="","",IF(T116&lt;=30,(50/30)*T116,IF(T116&lt;=60,50+((100-50)/(60-30))*(T116-30),IF(T116&lt;=90,100+((200-100)/(90-60))*(T116-60),IF(T116&lt;=120,200+((300-200)/(120-90))*(T116-90),IF(T116&lt;=250,300+((400-300)/(250-120))*(T116-120),IF(T116&lt;=380,400+((500-400)/(380-250))*(T116-250),500)))))))</f>
        <v>62.3333333333333</v>
      </c>
      <c r="AG116" s="4" t="n">
        <f aca="false">IF(U116="","",IF(U116&lt;=50,(50/50)*U116,IF(U116&lt;=100,50+((100-50)/(100-50))*(U116-50),IF(U116&lt;=250,100+((200-100)/(250-100))*(U116-100),IF(U116&lt;=350,200+((300-200)/(350-250))*(U116-250),IF(U116&lt;=430,300+((400-300)/(430-350))*(U116-350),IF(U116&lt;=600,400+((500-400)/(600-430))*(U116-430),500)))))))</f>
        <v>37.6</v>
      </c>
      <c r="AH116" s="4" t="n">
        <f aca="false">IF(V116="","",IF((V116/1000)&lt;=1,(50/1)*(V116/1000),IF((V116/1000)&lt;=2,50+((100-50)/(2-1))*(V116/1000-1),IF((V116/1000)&lt;=10,100+((200-100)/(10-2))*(V116/1000-2),IF((V116/1000)&lt;=17,200+((300-200)/(17-10))*(V116/1000-10),IF((V116/1000)&lt;=34,300+((400-300)/(34-17))*(V116/1000-17),IF((V116/1000)&lt;=57,400+((500-400)/(57-34))*(V116/1000-34),500)))))))</f>
        <v>37.85</v>
      </c>
      <c r="AI116" s="4" t="n">
        <f aca="false">IF(W116="","",IF(W116&lt;=40,(50/40)*W116,IF(W116&lt;=80,50+((100-50)/(80-40))*(W116-40),IF(W116&lt;=180,100+((200-100)/(180-80))*(W116-80),IF(W116&lt;=280,200+((300-200)/(280-180))*(W116-180),IF(W116&lt;=400,300+((400-300)/(400-280))*(W116-280),IF(W116&lt;=800,400+((500-400)/(800-400))*(W116-400),500)))))))</f>
        <v>25.125</v>
      </c>
      <c r="AJ116" s="4" t="n">
        <f aca="false">IF(X116="","",IF(X116&lt;=40,(50/40)*X116,IF(X116&lt;=80,50+((100-50)/(80-40))*(X116-40),IF(X116&lt;=380,100+((200-100)/(380-80))*(X116-80),IF(X116&lt;=800,200+((300-200)/(800-380))*(X116-380),IF(X116&lt;=1600,300+((400-300)/(1600-800))*(X116-800),IF(X116&lt;=2100,400+((500-400)/(2100-1600))*(X116-1600),500)))))))</f>
        <v>21.75</v>
      </c>
      <c r="AK116" s="4" t="n">
        <f aca="false">IF(Y116="","",IF(Y116&lt;=50,(50/50)*Y116,IF(Y116&lt;=100,50+((100-50)/(100-50))*(Y116-50),IF(Y116&lt;=168,100+((200-100)/(168-100))*(Y116-100),IF(Y116&lt;=208,200+((300-200)/(208-168))*(Y116-168),IF(Y116&lt;=748,300+((400-300)/(748-208))*(Y116-208),IF(Y116&lt;=1000,400+((500-400)/(1000-748))*(Y116-748),500)))))))</f>
        <v>123.529411764706</v>
      </c>
      <c r="AL116" s="4" t="n">
        <f aca="false">ROUND(MAX(AF116,AG116,AH116,AI116,AJ116,AK116),0)</f>
        <v>124</v>
      </c>
      <c r="AM116" s="4" t="str">
        <f aca="false">IF(AL116="","",IF(AL116&lt;=50,"Good",IF(AL116&lt;=100,"Satisfactory",IF(AL116&lt;=200,"Moderate",IF(AL116&lt;=300,"Poor",IF(AL116&lt;=400,"Very Poor","Severe"))))))</f>
        <v>Moderate</v>
      </c>
    </row>
    <row r="117" customFormat="false" ht="15.75" hidden="false" customHeight="false" outlineLevel="0" collapsed="false">
      <c r="A117" s="1" t="s">
        <v>39</v>
      </c>
      <c r="B117" s="1" t="s">
        <v>40</v>
      </c>
      <c r="C117" s="1" t="n">
        <v>28.4595</v>
      </c>
      <c r="D117" s="1" t="n">
        <v>77.0266</v>
      </c>
      <c r="E117" s="5" t="n">
        <v>45905</v>
      </c>
      <c r="F117" s="6" t="s">
        <v>72</v>
      </c>
      <c r="G117" s="1" t="n">
        <v>9</v>
      </c>
      <c r="H117" s="7" t="s">
        <v>85</v>
      </c>
      <c r="I117" s="6" t="s">
        <v>43</v>
      </c>
      <c r="J117" s="7" t="s">
        <v>44</v>
      </c>
      <c r="K117" s="7" t="s">
        <v>71</v>
      </c>
      <c r="L117" s="1" t="n">
        <v>94</v>
      </c>
      <c r="M117" s="1" t="n">
        <v>25</v>
      </c>
      <c r="N117" s="1" t="n">
        <v>22</v>
      </c>
      <c r="O117" s="1" t="n">
        <v>0.2</v>
      </c>
      <c r="P117" s="6" t="s">
        <v>46</v>
      </c>
      <c r="Q117" s="6" t="s">
        <v>43</v>
      </c>
      <c r="R117" s="1" t="n">
        <v>1004</v>
      </c>
      <c r="S117" s="1" t="n">
        <v>100</v>
      </c>
      <c r="T117" s="1" t="n">
        <v>35.6</v>
      </c>
      <c r="U117" s="1" t="n">
        <v>35.9</v>
      </c>
      <c r="V117" s="1" t="n">
        <v>772</v>
      </c>
      <c r="W117" s="1" t="n">
        <v>21.8</v>
      </c>
      <c r="X117" s="1" t="n">
        <v>16.9</v>
      </c>
      <c r="Y117" s="1" t="n">
        <v>102</v>
      </c>
      <c r="Z117" s="1" t="n">
        <v>0</v>
      </c>
      <c r="AA117" s="1" t="n">
        <v>121</v>
      </c>
      <c r="AB117" s="7" t="s">
        <v>81</v>
      </c>
      <c r="AC117" s="7" t="s">
        <v>82</v>
      </c>
      <c r="AD117" s="7" t="s">
        <v>83</v>
      </c>
      <c r="AE117" s="7" t="s">
        <v>84</v>
      </c>
      <c r="AF117" s="4" t="n">
        <f aca="false">IF(T117="","",IF(T117&lt;=30,(50/30)*T117,IF(T117&lt;=60,50+((100-50)/(60-30))*(T117-30),IF(T117&lt;=90,100+((200-100)/(90-60))*(T117-60),IF(T117&lt;=120,200+((300-200)/(120-90))*(T117-90),IF(T117&lt;=250,300+((400-300)/(250-120))*(T117-120),IF(T117&lt;=380,400+((500-400)/(380-250))*(T117-250),500)))))))</f>
        <v>59.3333333333333</v>
      </c>
      <c r="AG117" s="4" t="n">
        <f aca="false">IF(U117="","",IF(U117&lt;=50,(50/50)*U117,IF(U117&lt;=100,50+((100-50)/(100-50))*(U117-50),IF(U117&lt;=250,100+((200-100)/(250-100))*(U117-100),IF(U117&lt;=350,200+((300-200)/(350-250))*(U117-250),IF(U117&lt;=430,300+((400-300)/(430-350))*(U117-350),IF(U117&lt;=600,400+((500-400)/(600-430))*(U117-430),500)))))))</f>
        <v>35.9</v>
      </c>
      <c r="AH117" s="4" t="n">
        <f aca="false">IF(V117="","",IF((V117/1000)&lt;=1,(50/1)*(V117/1000),IF((V117/1000)&lt;=2,50+((100-50)/(2-1))*(V117/1000-1),IF((V117/1000)&lt;=10,100+((200-100)/(10-2))*(V117/1000-2),IF((V117/1000)&lt;=17,200+((300-200)/(17-10))*(V117/1000-10),IF((V117/1000)&lt;=34,300+((400-300)/(34-17))*(V117/1000-17),IF((V117/1000)&lt;=57,400+((500-400)/(57-34))*(V117/1000-34),500)))))))</f>
        <v>38.6</v>
      </c>
      <c r="AI117" s="4" t="n">
        <f aca="false">IF(W117="","",IF(W117&lt;=40,(50/40)*W117,IF(W117&lt;=80,50+((100-50)/(80-40))*(W117-40),IF(W117&lt;=180,100+((200-100)/(180-80))*(W117-80),IF(W117&lt;=280,200+((300-200)/(280-180))*(W117-180),IF(W117&lt;=400,300+((400-300)/(400-280))*(W117-280),IF(W117&lt;=800,400+((500-400)/(800-400))*(W117-400),500)))))))</f>
        <v>27.25</v>
      </c>
      <c r="AJ117" s="4" t="n">
        <f aca="false">IF(X117="","",IF(X117&lt;=40,(50/40)*X117,IF(X117&lt;=80,50+((100-50)/(80-40))*(X117-40),IF(X117&lt;=380,100+((200-100)/(380-80))*(X117-80),IF(X117&lt;=800,200+((300-200)/(800-380))*(X117-380),IF(X117&lt;=1600,300+((400-300)/(1600-800))*(X117-800),IF(X117&lt;=2100,400+((500-400)/(2100-1600))*(X117-1600),500)))))))</f>
        <v>21.125</v>
      </c>
      <c r="AK117" s="4" t="n">
        <f aca="false">IF(Y117="","",IF(Y117&lt;=50,(50/50)*Y117,IF(Y117&lt;=100,50+((100-50)/(100-50))*(Y117-50),IF(Y117&lt;=168,100+((200-100)/(168-100))*(Y117-100),IF(Y117&lt;=208,200+((300-200)/(208-168))*(Y117-168),IF(Y117&lt;=748,300+((400-300)/(748-208))*(Y117-208),IF(Y117&lt;=1000,400+((500-400)/(1000-748))*(Y117-748),500)))))))</f>
        <v>102.941176470588</v>
      </c>
      <c r="AL117" s="4" t="n">
        <f aca="false">ROUND(MAX(AF117,AG117,AH117,AI117,AJ117,AK117),0)</f>
        <v>103</v>
      </c>
      <c r="AM117" s="4" t="str">
        <f aca="false">IF(AL117="","",IF(AL117&lt;=50,"Good",IF(AL117&lt;=100,"Satisfactory",IF(AL117&lt;=200,"Moderate",IF(AL117&lt;=300,"Poor",IF(AL117&lt;=400,"Very Poor","Severe"))))))</f>
        <v>Moderate</v>
      </c>
    </row>
    <row r="118" customFormat="false" ht="15.75" hidden="false" customHeight="false" outlineLevel="0" collapsed="false">
      <c r="A118" s="1" t="s">
        <v>39</v>
      </c>
      <c r="B118" s="1" t="s">
        <v>40</v>
      </c>
      <c r="C118" s="1" t="n">
        <v>28.4595</v>
      </c>
      <c r="D118" s="1" t="n">
        <v>77.0266</v>
      </c>
      <c r="E118" s="5" t="n">
        <v>45905</v>
      </c>
      <c r="F118" s="6" t="s">
        <v>73</v>
      </c>
      <c r="G118" s="1" t="n">
        <v>9</v>
      </c>
      <c r="H118" s="7" t="s">
        <v>85</v>
      </c>
      <c r="I118" s="6" t="s">
        <v>43</v>
      </c>
      <c r="J118" s="7" t="s">
        <v>44</v>
      </c>
      <c r="K118" s="7" t="s">
        <v>71</v>
      </c>
      <c r="L118" s="1" t="n">
        <v>95</v>
      </c>
      <c r="M118" s="1" t="n">
        <v>25.2</v>
      </c>
      <c r="N118" s="1" t="n">
        <v>14.4</v>
      </c>
      <c r="O118" s="1" t="n">
        <v>0</v>
      </c>
      <c r="P118" s="6" t="s">
        <v>43</v>
      </c>
      <c r="Q118" s="6" t="s">
        <v>43</v>
      </c>
      <c r="R118" s="1" t="n">
        <v>1004.5</v>
      </c>
      <c r="S118" s="1" t="n">
        <v>100</v>
      </c>
      <c r="T118" s="1" t="n">
        <v>32.1</v>
      </c>
      <c r="U118" s="1" t="n">
        <v>32.2</v>
      </c>
      <c r="V118" s="1" t="n">
        <v>750</v>
      </c>
      <c r="W118" s="1" t="n">
        <v>22.7</v>
      </c>
      <c r="X118" s="1" t="n">
        <v>16.4</v>
      </c>
      <c r="Y118" s="1" t="n">
        <v>90</v>
      </c>
      <c r="Z118" s="1" t="n">
        <v>0</v>
      </c>
      <c r="AA118" s="1" t="n">
        <v>111</v>
      </c>
      <c r="AB118" s="7" t="s">
        <v>81</v>
      </c>
      <c r="AC118" s="7" t="s">
        <v>82</v>
      </c>
      <c r="AD118" s="7" t="s">
        <v>83</v>
      </c>
      <c r="AE118" s="7" t="s">
        <v>84</v>
      </c>
      <c r="AF118" s="4" t="n">
        <f aca="false">IF(T118="","",IF(T118&lt;=30,(50/30)*T118,IF(T118&lt;=60,50+((100-50)/(60-30))*(T118-30),IF(T118&lt;=90,100+((200-100)/(90-60))*(T118-60),IF(T118&lt;=120,200+((300-200)/(120-90))*(T118-90),IF(T118&lt;=250,300+((400-300)/(250-120))*(T118-120),IF(T118&lt;=380,400+((500-400)/(380-250))*(T118-250),500)))))))</f>
        <v>53.5</v>
      </c>
      <c r="AG118" s="4" t="n">
        <f aca="false">IF(U118="","",IF(U118&lt;=50,(50/50)*U118,IF(U118&lt;=100,50+((100-50)/(100-50))*(U118-50),IF(U118&lt;=250,100+((200-100)/(250-100))*(U118-100),IF(U118&lt;=350,200+((300-200)/(350-250))*(U118-250),IF(U118&lt;=430,300+((400-300)/(430-350))*(U118-350),IF(U118&lt;=600,400+((500-400)/(600-430))*(U118-430),500)))))))</f>
        <v>32.2</v>
      </c>
      <c r="AH118" s="4" t="n">
        <f aca="false">IF(V118="","",IF((V118/1000)&lt;=1,(50/1)*(V118/1000),IF((V118/1000)&lt;=2,50+((100-50)/(2-1))*(V118/1000-1),IF((V118/1000)&lt;=10,100+((200-100)/(10-2))*(V118/1000-2),IF((V118/1000)&lt;=17,200+((300-200)/(17-10))*(V118/1000-10),IF((V118/1000)&lt;=34,300+((400-300)/(34-17))*(V118/1000-17),IF((V118/1000)&lt;=57,400+((500-400)/(57-34))*(V118/1000-34),500)))))))</f>
        <v>37.5</v>
      </c>
      <c r="AI118" s="4" t="n">
        <f aca="false">IF(W118="","",IF(W118&lt;=40,(50/40)*W118,IF(W118&lt;=80,50+((100-50)/(80-40))*(W118-40),IF(W118&lt;=180,100+((200-100)/(180-80))*(W118-80),IF(W118&lt;=280,200+((300-200)/(280-180))*(W118-180),IF(W118&lt;=400,300+((400-300)/(400-280))*(W118-280),IF(W118&lt;=800,400+((500-400)/(800-400))*(W118-400),500)))))))</f>
        <v>28.375</v>
      </c>
      <c r="AJ118" s="4" t="n">
        <f aca="false">IF(X118="","",IF(X118&lt;=40,(50/40)*X118,IF(X118&lt;=80,50+((100-50)/(80-40))*(X118-40),IF(X118&lt;=380,100+((200-100)/(380-80))*(X118-80),IF(X118&lt;=800,200+((300-200)/(800-380))*(X118-380),IF(X118&lt;=1600,300+((400-300)/(1600-800))*(X118-800),IF(X118&lt;=2100,400+((500-400)/(2100-1600))*(X118-1600),500)))))))</f>
        <v>20.5</v>
      </c>
      <c r="AK118" s="4" t="n">
        <f aca="false">IF(Y118="","",IF(Y118&lt;=50,(50/50)*Y118,IF(Y118&lt;=100,50+((100-50)/(100-50))*(Y118-50),IF(Y118&lt;=168,100+((200-100)/(168-100))*(Y118-100),IF(Y118&lt;=208,200+((300-200)/(208-168))*(Y118-168),IF(Y118&lt;=748,300+((400-300)/(748-208))*(Y118-208),IF(Y118&lt;=1000,400+((500-400)/(1000-748))*(Y118-748),500)))))))</f>
        <v>90</v>
      </c>
      <c r="AL118" s="4" t="n">
        <f aca="false">ROUND(MAX(AF118,AG118,AH118,AI118,AJ118,AK118),0)</f>
        <v>90</v>
      </c>
      <c r="AM118" s="4" t="str">
        <f aca="false">IF(AL118="","",IF(AL118&lt;=50,"Good",IF(AL118&lt;=100,"Satisfactory",IF(AL118&lt;=200,"Moderate",IF(AL118&lt;=300,"Poor",IF(AL118&lt;=400,"Very Poor","Severe"))))))</f>
        <v>Satisfactory</v>
      </c>
    </row>
    <row r="119" customFormat="false" ht="15.75" hidden="false" customHeight="false" outlineLevel="0" collapsed="false">
      <c r="A119" s="1" t="s">
        <v>39</v>
      </c>
      <c r="B119" s="1" t="s">
        <v>40</v>
      </c>
      <c r="C119" s="1" t="n">
        <v>28.4595</v>
      </c>
      <c r="D119" s="1" t="n">
        <v>77.0266</v>
      </c>
      <c r="E119" s="5" t="n">
        <v>45905</v>
      </c>
      <c r="F119" s="6" t="s">
        <v>74</v>
      </c>
      <c r="G119" s="1" t="n">
        <v>9</v>
      </c>
      <c r="H119" s="7" t="s">
        <v>85</v>
      </c>
      <c r="I119" s="6" t="s">
        <v>43</v>
      </c>
      <c r="J119" s="7" t="s">
        <v>44</v>
      </c>
      <c r="K119" s="7" t="s">
        <v>75</v>
      </c>
      <c r="L119" s="1" t="n">
        <v>95</v>
      </c>
      <c r="M119" s="1" t="n">
        <v>25.4</v>
      </c>
      <c r="N119" s="1" t="n">
        <v>17.6</v>
      </c>
      <c r="O119" s="1" t="n">
        <v>0</v>
      </c>
      <c r="P119" s="6" t="s">
        <v>43</v>
      </c>
      <c r="Q119" s="6" t="s">
        <v>43</v>
      </c>
      <c r="R119" s="1" t="n">
        <v>1005.2</v>
      </c>
      <c r="S119" s="1" t="n">
        <v>100</v>
      </c>
      <c r="T119" s="1" t="n">
        <v>28.8</v>
      </c>
      <c r="U119" s="1" t="n">
        <v>28.9</v>
      </c>
      <c r="V119" s="1" t="n">
        <v>672</v>
      </c>
      <c r="W119" s="1" t="n">
        <v>22</v>
      </c>
      <c r="X119" s="1" t="n">
        <v>16.1</v>
      </c>
      <c r="Y119" s="1" t="n">
        <v>84</v>
      </c>
      <c r="Z119" s="1" t="n">
        <v>0</v>
      </c>
      <c r="AA119" s="1" t="n">
        <v>96</v>
      </c>
      <c r="AB119" s="7" t="s">
        <v>47</v>
      </c>
      <c r="AC119" s="7" t="s">
        <v>50</v>
      </c>
      <c r="AD119" s="6" t="s">
        <v>43</v>
      </c>
      <c r="AE119" s="6" t="s">
        <v>43</v>
      </c>
      <c r="AF119" s="4" t="n">
        <f aca="false">IF(T119="","",IF(T119&lt;=30,(50/30)*T119,IF(T119&lt;=60,50+((100-50)/(60-30))*(T119-30),IF(T119&lt;=90,100+((200-100)/(90-60))*(T119-60),IF(T119&lt;=120,200+((300-200)/(120-90))*(T119-90),IF(T119&lt;=250,300+((400-300)/(250-120))*(T119-120),IF(T119&lt;=380,400+((500-400)/(380-250))*(T119-250),500)))))))</f>
        <v>48</v>
      </c>
      <c r="AG119" s="4" t="n">
        <f aca="false">IF(U119="","",IF(U119&lt;=50,(50/50)*U119,IF(U119&lt;=100,50+((100-50)/(100-50))*(U119-50),IF(U119&lt;=250,100+((200-100)/(250-100))*(U119-100),IF(U119&lt;=350,200+((300-200)/(350-250))*(U119-250),IF(U119&lt;=430,300+((400-300)/(430-350))*(U119-350),IF(U119&lt;=600,400+((500-400)/(600-430))*(U119-430),500)))))))</f>
        <v>28.9</v>
      </c>
      <c r="AH119" s="4" t="n">
        <f aca="false">IF(V119="","",IF((V119/1000)&lt;=1,(50/1)*(V119/1000),IF((V119/1000)&lt;=2,50+((100-50)/(2-1))*(V119/1000-1),IF((V119/1000)&lt;=10,100+((200-100)/(10-2))*(V119/1000-2),IF((V119/1000)&lt;=17,200+((300-200)/(17-10))*(V119/1000-10),IF((V119/1000)&lt;=34,300+((400-300)/(34-17))*(V119/1000-17),IF((V119/1000)&lt;=57,400+((500-400)/(57-34))*(V119/1000-34),500)))))))</f>
        <v>33.6</v>
      </c>
      <c r="AI119" s="4" t="n">
        <f aca="false">IF(W119="","",IF(W119&lt;=40,(50/40)*W119,IF(W119&lt;=80,50+((100-50)/(80-40))*(W119-40),IF(W119&lt;=180,100+((200-100)/(180-80))*(W119-80),IF(W119&lt;=280,200+((300-200)/(280-180))*(W119-180),IF(W119&lt;=400,300+((400-300)/(400-280))*(W119-280),IF(W119&lt;=800,400+((500-400)/(800-400))*(W119-400),500)))))))</f>
        <v>27.5</v>
      </c>
      <c r="AJ119" s="4" t="n">
        <f aca="false">IF(X119="","",IF(X119&lt;=40,(50/40)*X119,IF(X119&lt;=80,50+((100-50)/(80-40))*(X119-40),IF(X119&lt;=380,100+((200-100)/(380-80))*(X119-80),IF(X119&lt;=800,200+((300-200)/(800-380))*(X119-380),IF(X119&lt;=1600,300+((400-300)/(1600-800))*(X119-800),IF(X119&lt;=2100,400+((500-400)/(2100-1600))*(X119-1600),500)))))))</f>
        <v>20.125</v>
      </c>
      <c r="AK119" s="4" t="n">
        <f aca="false">IF(Y119="","",IF(Y119&lt;=50,(50/50)*Y119,IF(Y119&lt;=100,50+((100-50)/(100-50))*(Y119-50),IF(Y119&lt;=168,100+((200-100)/(168-100))*(Y119-100),IF(Y119&lt;=208,200+((300-200)/(208-168))*(Y119-168),IF(Y119&lt;=748,300+((400-300)/(748-208))*(Y119-208),IF(Y119&lt;=1000,400+((500-400)/(1000-748))*(Y119-748),500)))))))</f>
        <v>84</v>
      </c>
      <c r="AL119" s="4" t="n">
        <f aca="false">ROUND(MAX(AF119,AG119,AH119,AI119,AJ119,AK119),0)</f>
        <v>84</v>
      </c>
      <c r="AM119" s="4" t="str">
        <f aca="false">IF(AL119="","",IF(AL119&lt;=50,"Good",IF(AL119&lt;=100,"Satisfactory",IF(AL119&lt;=200,"Moderate",IF(AL119&lt;=300,"Poor",IF(AL119&lt;=400,"Very Poor","Severe"))))))</f>
        <v>Satisfactory</v>
      </c>
    </row>
    <row r="120" customFormat="false" ht="15.75" hidden="false" customHeight="false" outlineLevel="0" collapsed="false">
      <c r="A120" s="1" t="s">
        <v>39</v>
      </c>
      <c r="B120" s="1" t="s">
        <v>40</v>
      </c>
      <c r="C120" s="1" t="n">
        <v>28.4595</v>
      </c>
      <c r="D120" s="1" t="n">
        <v>77.0266</v>
      </c>
      <c r="E120" s="5" t="n">
        <v>45905</v>
      </c>
      <c r="F120" s="6" t="s">
        <v>76</v>
      </c>
      <c r="G120" s="1" t="n">
        <v>9</v>
      </c>
      <c r="H120" s="7" t="s">
        <v>85</v>
      </c>
      <c r="I120" s="6" t="s">
        <v>43</v>
      </c>
      <c r="J120" s="7" t="s">
        <v>44</v>
      </c>
      <c r="K120" s="7" t="s">
        <v>75</v>
      </c>
      <c r="L120" s="1" t="n">
        <v>95</v>
      </c>
      <c r="M120" s="1" t="n">
        <v>25.3</v>
      </c>
      <c r="N120" s="1" t="n">
        <v>18.4</v>
      </c>
      <c r="O120" s="1" t="n">
        <v>0</v>
      </c>
      <c r="P120" s="6" t="s">
        <v>43</v>
      </c>
      <c r="Q120" s="6" t="s">
        <v>43</v>
      </c>
      <c r="R120" s="1" t="n">
        <v>1005.3</v>
      </c>
      <c r="S120" s="1" t="n">
        <v>100</v>
      </c>
      <c r="T120" s="1" t="n">
        <v>27</v>
      </c>
      <c r="U120" s="1" t="n">
        <v>27.1</v>
      </c>
      <c r="V120" s="1" t="n">
        <v>558</v>
      </c>
      <c r="W120" s="1" t="n">
        <v>20.6</v>
      </c>
      <c r="X120" s="1" t="n">
        <v>15.9</v>
      </c>
      <c r="Y120" s="1" t="n">
        <v>79</v>
      </c>
      <c r="Z120" s="1" t="n">
        <v>0</v>
      </c>
      <c r="AA120" s="1" t="n">
        <v>90</v>
      </c>
      <c r="AB120" s="7" t="s">
        <v>47</v>
      </c>
      <c r="AC120" s="7" t="s">
        <v>50</v>
      </c>
      <c r="AD120" s="6" t="s">
        <v>43</v>
      </c>
      <c r="AE120" s="6" t="s">
        <v>43</v>
      </c>
      <c r="AF120" s="4" t="n">
        <f aca="false">IF(T120="","",IF(T120&lt;=30,(50/30)*T120,IF(T120&lt;=60,50+((100-50)/(60-30))*(T120-30),IF(T120&lt;=90,100+((200-100)/(90-60))*(T120-60),IF(T120&lt;=120,200+((300-200)/(120-90))*(T120-90),IF(T120&lt;=250,300+((400-300)/(250-120))*(T120-120),IF(T120&lt;=380,400+((500-400)/(380-250))*(T120-250),500)))))))</f>
        <v>45</v>
      </c>
      <c r="AG120" s="4" t="n">
        <f aca="false">IF(U120="","",IF(U120&lt;=50,(50/50)*U120,IF(U120&lt;=100,50+((100-50)/(100-50))*(U120-50),IF(U120&lt;=250,100+((200-100)/(250-100))*(U120-100),IF(U120&lt;=350,200+((300-200)/(350-250))*(U120-250),IF(U120&lt;=430,300+((400-300)/(430-350))*(U120-350),IF(U120&lt;=600,400+((500-400)/(600-430))*(U120-430),500)))))))</f>
        <v>27.1</v>
      </c>
      <c r="AH120" s="4" t="n">
        <f aca="false">IF(V120="","",IF((V120/1000)&lt;=1,(50/1)*(V120/1000),IF((V120/1000)&lt;=2,50+((100-50)/(2-1))*(V120/1000-1),IF((V120/1000)&lt;=10,100+((200-100)/(10-2))*(V120/1000-2),IF((V120/1000)&lt;=17,200+((300-200)/(17-10))*(V120/1000-10),IF((V120/1000)&lt;=34,300+((400-300)/(34-17))*(V120/1000-17),IF((V120/1000)&lt;=57,400+((500-400)/(57-34))*(V120/1000-34),500)))))))</f>
        <v>27.9</v>
      </c>
      <c r="AI120" s="4" t="n">
        <f aca="false">IF(W120="","",IF(W120&lt;=40,(50/40)*W120,IF(W120&lt;=80,50+((100-50)/(80-40))*(W120-40),IF(W120&lt;=180,100+((200-100)/(180-80))*(W120-80),IF(W120&lt;=280,200+((300-200)/(280-180))*(W120-180),IF(W120&lt;=400,300+((400-300)/(400-280))*(W120-280),IF(W120&lt;=800,400+((500-400)/(800-400))*(W120-400),500)))))))</f>
        <v>25.75</v>
      </c>
      <c r="AJ120" s="4" t="n">
        <f aca="false">IF(X120="","",IF(X120&lt;=40,(50/40)*X120,IF(X120&lt;=80,50+((100-50)/(80-40))*(X120-40),IF(X120&lt;=380,100+((200-100)/(380-80))*(X120-80),IF(X120&lt;=800,200+((300-200)/(800-380))*(X120-380),IF(X120&lt;=1600,300+((400-300)/(1600-800))*(X120-800),IF(X120&lt;=2100,400+((500-400)/(2100-1600))*(X120-1600),500)))))))</f>
        <v>19.875</v>
      </c>
      <c r="AK120" s="4" t="n">
        <f aca="false">IF(Y120="","",IF(Y120&lt;=50,(50/50)*Y120,IF(Y120&lt;=100,50+((100-50)/(100-50))*(Y120-50),IF(Y120&lt;=168,100+((200-100)/(168-100))*(Y120-100),IF(Y120&lt;=208,200+((300-200)/(208-168))*(Y120-168),IF(Y120&lt;=748,300+((400-300)/(748-208))*(Y120-208),IF(Y120&lt;=1000,400+((500-400)/(1000-748))*(Y120-748),500)))))))</f>
        <v>79</v>
      </c>
      <c r="AL120" s="4" t="n">
        <f aca="false">ROUND(MAX(AF120,AG120,AH120,AI120,AJ120,AK120),0)</f>
        <v>79</v>
      </c>
      <c r="AM120" s="4" t="str">
        <f aca="false">IF(AL120="","",IF(AL120&lt;=50,"Good",IF(AL120&lt;=100,"Satisfactory",IF(AL120&lt;=200,"Moderate",IF(AL120&lt;=300,"Poor",IF(AL120&lt;=400,"Very Poor","Severe"))))))</f>
        <v>Satisfactory</v>
      </c>
    </row>
    <row r="121" customFormat="false" ht="15.75" hidden="false" customHeight="false" outlineLevel="0" collapsed="false">
      <c r="A121" s="1" t="s">
        <v>39</v>
      </c>
      <c r="B121" s="1" t="s">
        <v>40</v>
      </c>
      <c r="C121" s="1" t="n">
        <v>28.4595</v>
      </c>
      <c r="D121" s="1" t="n">
        <v>77.0266</v>
      </c>
      <c r="E121" s="5" t="n">
        <v>45905</v>
      </c>
      <c r="F121" s="6" t="s">
        <v>77</v>
      </c>
      <c r="G121" s="1" t="n">
        <v>9</v>
      </c>
      <c r="H121" s="7" t="s">
        <v>85</v>
      </c>
      <c r="I121" s="6" t="s">
        <v>43</v>
      </c>
      <c r="J121" s="7" t="s">
        <v>44</v>
      </c>
      <c r="K121" s="7" t="s">
        <v>75</v>
      </c>
      <c r="L121" s="1" t="n">
        <v>95</v>
      </c>
      <c r="M121" s="1" t="n">
        <v>25.1</v>
      </c>
      <c r="N121" s="1" t="n">
        <v>20.9</v>
      </c>
      <c r="O121" s="1" t="n">
        <v>0</v>
      </c>
      <c r="P121" s="6" t="s">
        <v>43</v>
      </c>
      <c r="Q121" s="6" t="s">
        <v>43</v>
      </c>
      <c r="R121" s="1" t="n">
        <v>1005.4</v>
      </c>
      <c r="S121" s="1" t="n">
        <v>100</v>
      </c>
      <c r="T121" s="1" t="n">
        <v>25.4</v>
      </c>
      <c r="U121" s="1" t="n">
        <v>25.6</v>
      </c>
      <c r="V121" s="1" t="n">
        <v>462</v>
      </c>
      <c r="W121" s="1" t="n">
        <v>19</v>
      </c>
      <c r="X121" s="1" t="n">
        <v>15.6</v>
      </c>
      <c r="Y121" s="1" t="n">
        <v>76</v>
      </c>
      <c r="Z121" s="1" t="n">
        <v>0</v>
      </c>
      <c r="AA121" s="1" t="n">
        <v>89</v>
      </c>
      <c r="AB121" s="7" t="s">
        <v>47</v>
      </c>
      <c r="AC121" s="7" t="s">
        <v>50</v>
      </c>
      <c r="AD121" s="6" t="s">
        <v>43</v>
      </c>
      <c r="AE121" s="6" t="s">
        <v>43</v>
      </c>
      <c r="AF121" s="4" t="n">
        <f aca="false">IF(T121="","",IF(T121&lt;=30,(50/30)*T121,IF(T121&lt;=60,50+((100-50)/(60-30))*(T121-30),IF(T121&lt;=90,100+((200-100)/(90-60))*(T121-60),IF(T121&lt;=120,200+((300-200)/(120-90))*(T121-90),IF(T121&lt;=250,300+((400-300)/(250-120))*(T121-120),IF(T121&lt;=380,400+((500-400)/(380-250))*(T121-250),500)))))))</f>
        <v>42.3333333333333</v>
      </c>
      <c r="AG121" s="4" t="n">
        <f aca="false">IF(U121="","",IF(U121&lt;=50,(50/50)*U121,IF(U121&lt;=100,50+((100-50)/(100-50))*(U121-50),IF(U121&lt;=250,100+((200-100)/(250-100))*(U121-100),IF(U121&lt;=350,200+((300-200)/(350-250))*(U121-250),IF(U121&lt;=430,300+((400-300)/(430-350))*(U121-350),IF(U121&lt;=600,400+((500-400)/(600-430))*(U121-430),500)))))))</f>
        <v>25.6</v>
      </c>
      <c r="AH121" s="4" t="n">
        <f aca="false">IF(V121="","",IF((V121/1000)&lt;=1,(50/1)*(V121/1000),IF((V121/1000)&lt;=2,50+((100-50)/(2-1))*(V121/1000-1),IF((V121/1000)&lt;=10,100+((200-100)/(10-2))*(V121/1000-2),IF((V121/1000)&lt;=17,200+((300-200)/(17-10))*(V121/1000-10),IF((V121/1000)&lt;=34,300+((400-300)/(34-17))*(V121/1000-17),IF((V121/1000)&lt;=57,400+((500-400)/(57-34))*(V121/1000-34),500)))))))</f>
        <v>23.1</v>
      </c>
      <c r="AI121" s="4" t="n">
        <f aca="false">IF(W121="","",IF(W121&lt;=40,(50/40)*W121,IF(W121&lt;=80,50+((100-50)/(80-40))*(W121-40),IF(W121&lt;=180,100+((200-100)/(180-80))*(W121-80),IF(W121&lt;=280,200+((300-200)/(280-180))*(W121-180),IF(W121&lt;=400,300+((400-300)/(400-280))*(W121-280),IF(W121&lt;=800,400+((500-400)/(800-400))*(W121-400),500)))))))</f>
        <v>23.75</v>
      </c>
      <c r="AJ121" s="4" t="n">
        <f aca="false">IF(X121="","",IF(X121&lt;=40,(50/40)*X121,IF(X121&lt;=80,50+((100-50)/(80-40))*(X121-40),IF(X121&lt;=380,100+((200-100)/(380-80))*(X121-80),IF(X121&lt;=800,200+((300-200)/(800-380))*(X121-380),IF(X121&lt;=1600,300+((400-300)/(1600-800))*(X121-800),IF(X121&lt;=2100,400+((500-400)/(2100-1600))*(X121-1600),500)))))))</f>
        <v>19.5</v>
      </c>
      <c r="AK121" s="4" t="n">
        <f aca="false">IF(Y121="","",IF(Y121&lt;=50,(50/50)*Y121,IF(Y121&lt;=100,50+((100-50)/(100-50))*(Y121-50),IF(Y121&lt;=168,100+((200-100)/(168-100))*(Y121-100),IF(Y121&lt;=208,200+((300-200)/(208-168))*(Y121-168),IF(Y121&lt;=748,300+((400-300)/(748-208))*(Y121-208),IF(Y121&lt;=1000,400+((500-400)/(1000-748))*(Y121-748),500)))))))</f>
        <v>76</v>
      </c>
      <c r="AL121" s="4" t="n">
        <f aca="false">ROUND(MAX(AF121,AG121,AH121,AI121,AJ121,AK121),0)</f>
        <v>76</v>
      </c>
      <c r="AM121" s="4" t="str">
        <f aca="false">IF(AL121="","",IF(AL121&lt;=50,"Good",IF(AL121&lt;=100,"Satisfactory",IF(AL121&lt;=200,"Moderate",IF(AL121&lt;=300,"Poor",IF(AL121&lt;=400,"Very Poor","Severe"))))))</f>
        <v>Satisfactory</v>
      </c>
    </row>
    <row r="122" customFormat="false" ht="15.75" hidden="false" customHeight="false" outlineLevel="0" collapsed="false">
      <c r="A122" s="1" t="s">
        <v>39</v>
      </c>
      <c r="B122" s="1" t="s">
        <v>40</v>
      </c>
      <c r="C122" s="1" t="n">
        <v>28.4595</v>
      </c>
      <c r="D122" s="1" t="n">
        <v>77.0266</v>
      </c>
      <c r="E122" s="5" t="n">
        <v>45906</v>
      </c>
      <c r="F122" s="6" t="s">
        <v>41</v>
      </c>
      <c r="G122" s="1" t="n">
        <v>9</v>
      </c>
      <c r="H122" s="7" t="s">
        <v>86</v>
      </c>
      <c r="I122" s="6" t="s">
        <v>46</v>
      </c>
      <c r="J122" s="7" t="s">
        <v>44</v>
      </c>
      <c r="K122" s="7" t="s">
        <v>45</v>
      </c>
      <c r="L122" s="1" t="n">
        <v>98</v>
      </c>
      <c r="M122" s="1" t="n">
        <v>24.4</v>
      </c>
      <c r="N122" s="1" t="n">
        <v>21.6</v>
      </c>
      <c r="O122" s="1" t="n">
        <v>2.7</v>
      </c>
      <c r="P122" s="6" t="s">
        <v>46</v>
      </c>
      <c r="Q122" s="6" t="s">
        <v>43</v>
      </c>
      <c r="R122" s="1" t="n">
        <v>1005.2</v>
      </c>
      <c r="S122" s="1" t="n">
        <v>100</v>
      </c>
      <c r="T122" s="1" t="n">
        <v>24.5</v>
      </c>
      <c r="U122" s="1" t="n">
        <v>24.6</v>
      </c>
      <c r="V122" s="1" t="n">
        <v>404</v>
      </c>
      <c r="W122" s="1" t="n">
        <v>17.5</v>
      </c>
      <c r="X122" s="1" t="n">
        <v>15.2</v>
      </c>
      <c r="Y122" s="1" t="n">
        <v>73</v>
      </c>
      <c r="Z122" s="1" t="n">
        <v>0</v>
      </c>
      <c r="AA122" s="1" t="n">
        <v>87</v>
      </c>
      <c r="AB122" s="7" t="s">
        <v>47</v>
      </c>
      <c r="AC122" s="7" t="s">
        <v>50</v>
      </c>
      <c r="AD122" s="6" t="s">
        <v>43</v>
      </c>
      <c r="AE122" s="6" t="s">
        <v>43</v>
      </c>
      <c r="AF122" s="4" t="n">
        <f aca="false">IF(T122="","",IF(T122&lt;=30,(50/30)*T122,IF(T122&lt;=60,50+((100-50)/(60-30))*(T122-30),IF(T122&lt;=90,100+((200-100)/(90-60))*(T122-60),IF(T122&lt;=120,200+((300-200)/(120-90))*(T122-90),IF(T122&lt;=250,300+((400-300)/(250-120))*(T122-120),IF(T122&lt;=380,400+((500-400)/(380-250))*(T122-250),500)))))))</f>
        <v>40.8333333333333</v>
      </c>
      <c r="AG122" s="4" t="n">
        <f aca="false">IF(U122="","",IF(U122&lt;=50,(50/50)*U122,IF(U122&lt;=100,50+((100-50)/(100-50))*(U122-50),IF(U122&lt;=250,100+((200-100)/(250-100))*(U122-100),IF(U122&lt;=350,200+((300-200)/(350-250))*(U122-250),IF(U122&lt;=430,300+((400-300)/(430-350))*(U122-350),IF(U122&lt;=600,400+((500-400)/(600-430))*(U122-430),500)))))))</f>
        <v>24.6</v>
      </c>
      <c r="AH122" s="4" t="n">
        <f aca="false">IF(V122="","",IF((V122/1000)&lt;=1,(50/1)*(V122/1000),IF((V122/1000)&lt;=2,50+((100-50)/(2-1))*(V122/1000-1),IF((V122/1000)&lt;=10,100+((200-100)/(10-2))*(V122/1000-2),IF((V122/1000)&lt;=17,200+((300-200)/(17-10))*(V122/1000-10),IF((V122/1000)&lt;=34,300+((400-300)/(34-17))*(V122/1000-17),IF((V122/1000)&lt;=57,400+((500-400)/(57-34))*(V122/1000-34),500)))))))</f>
        <v>20.2</v>
      </c>
      <c r="AI122" s="4" t="n">
        <f aca="false">IF(W122="","",IF(W122&lt;=40,(50/40)*W122,IF(W122&lt;=80,50+((100-50)/(80-40))*(W122-40),IF(W122&lt;=180,100+((200-100)/(180-80))*(W122-80),IF(W122&lt;=280,200+((300-200)/(280-180))*(W122-180),IF(W122&lt;=400,300+((400-300)/(400-280))*(W122-280),IF(W122&lt;=800,400+((500-400)/(800-400))*(W122-400),500)))))))</f>
        <v>21.875</v>
      </c>
      <c r="AJ122" s="4" t="n">
        <f aca="false">IF(X122="","",IF(X122&lt;=40,(50/40)*X122,IF(X122&lt;=80,50+((100-50)/(80-40))*(X122-40),IF(X122&lt;=380,100+((200-100)/(380-80))*(X122-80),IF(X122&lt;=800,200+((300-200)/(800-380))*(X122-380),IF(X122&lt;=1600,300+((400-300)/(1600-800))*(X122-800),IF(X122&lt;=2100,400+((500-400)/(2100-1600))*(X122-1600),500)))))))</f>
        <v>19</v>
      </c>
      <c r="AK122" s="4" t="n">
        <f aca="false">IF(Y122="","",IF(Y122&lt;=50,(50/50)*Y122,IF(Y122&lt;=100,50+((100-50)/(100-50))*(Y122-50),IF(Y122&lt;=168,100+((200-100)/(168-100))*(Y122-100),IF(Y122&lt;=208,200+((300-200)/(208-168))*(Y122-168),IF(Y122&lt;=748,300+((400-300)/(748-208))*(Y122-208),IF(Y122&lt;=1000,400+((500-400)/(1000-748))*(Y122-748),500)))))))</f>
        <v>73</v>
      </c>
      <c r="AL122" s="4" t="n">
        <f aca="false">ROUND(MAX(AF122,AG122,AH122,AI122,AJ122,AK122),0)</f>
        <v>73</v>
      </c>
      <c r="AM122" s="4" t="str">
        <f aca="false">IF(AL122="","",IF(AL122&lt;=50,"Good",IF(AL122&lt;=100,"Satisfactory",IF(AL122&lt;=200,"Moderate",IF(AL122&lt;=300,"Poor",IF(AL122&lt;=400,"Very Poor","Severe"))))))</f>
        <v>Satisfactory</v>
      </c>
    </row>
    <row r="123" customFormat="false" ht="15.75" hidden="false" customHeight="false" outlineLevel="0" collapsed="false">
      <c r="A123" s="1" t="s">
        <v>39</v>
      </c>
      <c r="B123" s="1" t="s">
        <v>40</v>
      </c>
      <c r="C123" s="1" t="n">
        <v>28.4595</v>
      </c>
      <c r="D123" s="1" t="n">
        <v>77.0266</v>
      </c>
      <c r="E123" s="5" t="n">
        <v>45906</v>
      </c>
      <c r="F123" s="6" t="s">
        <v>49</v>
      </c>
      <c r="G123" s="1" t="n">
        <v>9</v>
      </c>
      <c r="H123" s="7" t="s">
        <v>86</v>
      </c>
      <c r="I123" s="6" t="s">
        <v>46</v>
      </c>
      <c r="J123" s="7" t="s">
        <v>44</v>
      </c>
      <c r="K123" s="7" t="s">
        <v>45</v>
      </c>
      <c r="L123" s="1" t="n">
        <v>97</v>
      </c>
      <c r="M123" s="1" t="n">
        <v>23.9</v>
      </c>
      <c r="N123" s="1" t="n">
        <v>25.2</v>
      </c>
      <c r="O123" s="1" t="n">
        <v>5.1</v>
      </c>
      <c r="P123" s="6" t="s">
        <v>46</v>
      </c>
      <c r="Q123" s="6" t="s">
        <v>43</v>
      </c>
      <c r="R123" s="1" t="n">
        <v>1004.9</v>
      </c>
      <c r="S123" s="1" t="n">
        <v>100</v>
      </c>
      <c r="T123" s="1" t="n">
        <v>23.9</v>
      </c>
      <c r="U123" s="1" t="n">
        <v>23.9</v>
      </c>
      <c r="V123" s="1" t="n">
        <v>364</v>
      </c>
      <c r="W123" s="1" t="n">
        <v>16</v>
      </c>
      <c r="X123" s="1" t="n">
        <v>14.7</v>
      </c>
      <c r="Y123" s="1" t="n">
        <v>70</v>
      </c>
      <c r="Z123" s="1" t="n">
        <v>0</v>
      </c>
      <c r="AA123" s="1" t="n">
        <v>86</v>
      </c>
      <c r="AB123" s="7" t="s">
        <v>47</v>
      </c>
      <c r="AC123" s="7" t="s">
        <v>50</v>
      </c>
      <c r="AD123" s="6" t="s">
        <v>43</v>
      </c>
      <c r="AE123" s="6" t="s">
        <v>43</v>
      </c>
      <c r="AF123" s="4" t="n">
        <f aca="false">IF(T123="","",IF(T123&lt;=30,(50/30)*T123,IF(T123&lt;=60,50+((100-50)/(60-30))*(T123-30),IF(T123&lt;=90,100+((200-100)/(90-60))*(T123-60),IF(T123&lt;=120,200+((300-200)/(120-90))*(T123-90),IF(T123&lt;=250,300+((400-300)/(250-120))*(T123-120),IF(T123&lt;=380,400+((500-400)/(380-250))*(T123-250),500)))))))</f>
        <v>39.8333333333333</v>
      </c>
      <c r="AG123" s="4" t="n">
        <f aca="false">IF(U123="","",IF(U123&lt;=50,(50/50)*U123,IF(U123&lt;=100,50+((100-50)/(100-50))*(U123-50),IF(U123&lt;=250,100+((200-100)/(250-100))*(U123-100),IF(U123&lt;=350,200+((300-200)/(350-250))*(U123-250),IF(U123&lt;=430,300+((400-300)/(430-350))*(U123-350),IF(U123&lt;=600,400+((500-400)/(600-430))*(U123-430),500)))))))</f>
        <v>23.9</v>
      </c>
      <c r="AH123" s="4" t="n">
        <f aca="false">IF(V123="","",IF((V123/1000)&lt;=1,(50/1)*(V123/1000),IF((V123/1000)&lt;=2,50+((100-50)/(2-1))*(V123/1000-1),IF((V123/1000)&lt;=10,100+((200-100)/(10-2))*(V123/1000-2),IF((V123/1000)&lt;=17,200+((300-200)/(17-10))*(V123/1000-10),IF((V123/1000)&lt;=34,300+((400-300)/(34-17))*(V123/1000-17),IF((V123/1000)&lt;=57,400+((500-400)/(57-34))*(V123/1000-34),500)))))))</f>
        <v>18.2</v>
      </c>
      <c r="AI123" s="4" t="n">
        <f aca="false">IF(W123="","",IF(W123&lt;=40,(50/40)*W123,IF(W123&lt;=80,50+((100-50)/(80-40))*(W123-40),IF(W123&lt;=180,100+((200-100)/(180-80))*(W123-80),IF(W123&lt;=280,200+((300-200)/(280-180))*(W123-180),IF(W123&lt;=400,300+((400-300)/(400-280))*(W123-280),IF(W123&lt;=800,400+((500-400)/(800-400))*(W123-400),500)))))))</f>
        <v>20</v>
      </c>
      <c r="AJ123" s="4" t="n">
        <f aca="false">IF(X123="","",IF(X123&lt;=40,(50/40)*X123,IF(X123&lt;=80,50+((100-50)/(80-40))*(X123-40),IF(X123&lt;=380,100+((200-100)/(380-80))*(X123-80),IF(X123&lt;=800,200+((300-200)/(800-380))*(X123-380),IF(X123&lt;=1600,300+((400-300)/(1600-800))*(X123-800),IF(X123&lt;=2100,400+((500-400)/(2100-1600))*(X123-1600),500)))))))</f>
        <v>18.375</v>
      </c>
      <c r="AK123" s="4" t="n">
        <f aca="false">IF(Y123="","",IF(Y123&lt;=50,(50/50)*Y123,IF(Y123&lt;=100,50+((100-50)/(100-50))*(Y123-50),IF(Y123&lt;=168,100+((200-100)/(168-100))*(Y123-100),IF(Y123&lt;=208,200+((300-200)/(208-168))*(Y123-168),IF(Y123&lt;=748,300+((400-300)/(748-208))*(Y123-208),IF(Y123&lt;=1000,400+((500-400)/(1000-748))*(Y123-748),500)))))))</f>
        <v>70</v>
      </c>
      <c r="AL123" s="4" t="n">
        <f aca="false">ROUND(MAX(AF123,AG123,AH123,AI123,AJ123,AK123),0)</f>
        <v>70</v>
      </c>
      <c r="AM123" s="4" t="str">
        <f aca="false">IF(AL123="","",IF(AL123&lt;=50,"Good",IF(AL123&lt;=100,"Satisfactory",IF(AL123&lt;=200,"Moderate",IF(AL123&lt;=300,"Poor",IF(AL123&lt;=400,"Very Poor","Severe"))))))</f>
        <v>Satisfactory</v>
      </c>
    </row>
    <row r="124" customFormat="false" ht="15.75" hidden="false" customHeight="false" outlineLevel="0" collapsed="false">
      <c r="A124" s="1" t="s">
        <v>39</v>
      </c>
      <c r="B124" s="1" t="s">
        <v>40</v>
      </c>
      <c r="C124" s="1" t="n">
        <v>28.4595</v>
      </c>
      <c r="D124" s="1" t="n">
        <v>77.0266</v>
      </c>
      <c r="E124" s="5" t="n">
        <v>45906</v>
      </c>
      <c r="F124" s="6" t="s">
        <v>51</v>
      </c>
      <c r="G124" s="1" t="n">
        <v>9</v>
      </c>
      <c r="H124" s="7" t="s">
        <v>86</v>
      </c>
      <c r="I124" s="6" t="s">
        <v>46</v>
      </c>
      <c r="J124" s="7" t="s">
        <v>44</v>
      </c>
      <c r="K124" s="7" t="s">
        <v>45</v>
      </c>
      <c r="L124" s="1" t="n">
        <v>98</v>
      </c>
      <c r="M124" s="1" t="n">
        <v>24</v>
      </c>
      <c r="N124" s="1" t="n">
        <v>27.7</v>
      </c>
      <c r="O124" s="1" t="n">
        <v>0.4</v>
      </c>
      <c r="P124" s="6" t="s">
        <v>46</v>
      </c>
      <c r="Q124" s="6" t="s">
        <v>43</v>
      </c>
      <c r="R124" s="1" t="n">
        <v>1004.6</v>
      </c>
      <c r="S124" s="1" t="n">
        <v>100</v>
      </c>
      <c r="T124" s="1" t="n">
        <v>23.6</v>
      </c>
      <c r="U124" s="1" t="n">
        <v>23.7</v>
      </c>
      <c r="V124" s="1" t="n">
        <v>339</v>
      </c>
      <c r="W124" s="1" t="n">
        <v>14.8</v>
      </c>
      <c r="X124" s="1" t="n">
        <v>14.2</v>
      </c>
      <c r="Y124" s="1" t="n">
        <v>67</v>
      </c>
      <c r="Z124" s="1" t="n">
        <v>0</v>
      </c>
      <c r="AA124" s="1" t="n">
        <v>85</v>
      </c>
      <c r="AB124" s="7" t="s">
        <v>47</v>
      </c>
      <c r="AC124" s="7" t="s">
        <v>50</v>
      </c>
      <c r="AD124" s="6" t="s">
        <v>43</v>
      </c>
      <c r="AE124" s="6" t="s">
        <v>43</v>
      </c>
      <c r="AF124" s="4" t="n">
        <f aca="false">IF(T124="","",IF(T124&lt;=30,(50/30)*T124,IF(T124&lt;=60,50+((100-50)/(60-30))*(T124-30),IF(T124&lt;=90,100+((200-100)/(90-60))*(T124-60),IF(T124&lt;=120,200+((300-200)/(120-90))*(T124-90),IF(T124&lt;=250,300+((400-300)/(250-120))*(T124-120),IF(T124&lt;=380,400+((500-400)/(380-250))*(T124-250),500)))))))</f>
        <v>39.3333333333333</v>
      </c>
      <c r="AG124" s="4" t="n">
        <f aca="false">IF(U124="","",IF(U124&lt;=50,(50/50)*U124,IF(U124&lt;=100,50+((100-50)/(100-50))*(U124-50),IF(U124&lt;=250,100+((200-100)/(250-100))*(U124-100),IF(U124&lt;=350,200+((300-200)/(350-250))*(U124-250),IF(U124&lt;=430,300+((400-300)/(430-350))*(U124-350),IF(U124&lt;=600,400+((500-400)/(600-430))*(U124-430),500)))))))</f>
        <v>23.7</v>
      </c>
      <c r="AH124" s="4" t="n">
        <f aca="false">IF(V124="","",IF((V124/1000)&lt;=1,(50/1)*(V124/1000),IF((V124/1000)&lt;=2,50+((100-50)/(2-1))*(V124/1000-1),IF((V124/1000)&lt;=10,100+((200-100)/(10-2))*(V124/1000-2),IF((V124/1000)&lt;=17,200+((300-200)/(17-10))*(V124/1000-10),IF((V124/1000)&lt;=34,300+((400-300)/(34-17))*(V124/1000-17),IF((V124/1000)&lt;=57,400+((500-400)/(57-34))*(V124/1000-34),500)))))))</f>
        <v>16.95</v>
      </c>
      <c r="AI124" s="4" t="n">
        <f aca="false">IF(W124="","",IF(W124&lt;=40,(50/40)*W124,IF(W124&lt;=80,50+((100-50)/(80-40))*(W124-40),IF(W124&lt;=180,100+((200-100)/(180-80))*(W124-80),IF(W124&lt;=280,200+((300-200)/(280-180))*(W124-180),IF(W124&lt;=400,300+((400-300)/(400-280))*(W124-280),IF(W124&lt;=800,400+((500-400)/(800-400))*(W124-400),500)))))))</f>
        <v>18.5</v>
      </c>
      <c r="AJ124" s="4" t="n">
        <f aca="false">IF(X124="","",IF(X124&lt;=40,(50/40)*X124,IF(X124&lt;=80,50+((100-50)/(80-40))*(X124-40),IF(X124&lt;=380,100+((200-100)/(380-80))*(X124-80),IF(X124&lt;=800,200+((300-200)/(800-380))*(X124-380),IF(X124&lt;=1600,300+((400-300)/(1600-800))*(X124-800),IF(X124&lt;=2100,400+((500-400)/(2100-1600))*(X124-1600),500)))))))</f>
        <v>17.75</v>
      </c>
      <c r="AK124" s="4" t="n">
        <f aca="false">IF(Y124="","",IF(Y124&lt;=50,(50/50)*Y124,IF(Y124&lt;=100,50+((100-50)/(100-50))*(Y124-50),IF(Y124&lt;=168,100+((200-100)/(168-100))*(Y124-100),IF(Y124&lt;=208,200+((300-200)/(208-168))*(Y124-168),IF(Y124&lt;=748,300+((400-300)/(748-208))*(Y124-208),IF(Y124&lt;=1000,400+((500-400)/(1000-748))*(Y124-748),500)))))))</f>
        <v>67</v>
      </c>
      <c r="AL124" s="4" t="n">
        <f aca="false">ROUND(MAX(AF124,AG124,AH124,AI124,AJ124,AK124),0)</f>
        <v>67</v>
      </c>
      <c r="AM124" s="4" t="str">
        <f aca="false">IF(AL124="","",IF(AL124&lt;=50,"Good",IF(AL124&lt;=100,"Satisfactory",IF(AL124&lt;=200,"Moderate",IF(AL124&lt;=300,"Poor",IF(AL124&lt;=400,"Very Poor","Severe"))))))</f>
        <v>Satisfactory</v>
      </c>
    </row>
    <row r="125" customFormat="false" ht="15.75" hidden="false" customHeight="false" outlineLevel="0" collapsed="false">
      <c r="A125" s="1" t="s">
        <v>39</v>
      </c>
      <c r="B125" s="1" t="s">
        <v>40</v>
      </c>
      <c r="C125" s="1" t="n">
        <v>28.4595</v>
      </c>
      <c r="D125" s="1" t="n">
        <v>77.0266</v>
      </c>
      <c r="E125" s="5" t="n">
        <v>45906</v>
      </c>
      <c r="F125" s="6" t="s">
        <v>52</v>
      </c>
      <c r="G125" s="1" t="n">
        <v>9</v>
      </c>
      <c r="H125" s="7" t="s">
        <v>86</v>
      </c>
      <c r="I125" s="6" t="s">
        <v>46</v>
      </c>
      <c r="J125" s="7" t="s">
        <v>44</v>
      </c>
      <c r="K125" s="7" t="s">
        <v>45</v>
      </c>
      <c r="L125" s="1" t="n">
        <v>97</v>
      </c>
      <c r="M125" s="1" t="n">
        <v>24</v>
      </c>
      <c r="N125" s="1" t="n">
        <v>25.9</v>
      </c>
      <c r="O125" s="1" t="n">
        <v>0.1</v>
      </c>
      <c r="P125" s="6" t="s">
        <v>46</v>
      </c>
      <c r="Q125" s="6" t="s">
        <v>43</v>
      </c>
      <c r="R125" s="1" t="n">
        <v>1004.4</v>
      </c>
      <c r="S125" s="1" t="n">
        <v>100</v>
      </c>
      <c r="T125" s="1" t="n">
        <v>23.2</v>
      </c>
      <c r="U125" s="1" t="n">
        <v>23.2</v>
      </c>
      <c r="V125" s="1" t="n">
        <v>323</v>
      </c>
      <c r="W125" s="1" t="n">
        <v>14.1</v>
      </c>
      <c r="X125" s="1" t="n">
        <v>13.4</v>
      </c>
      <c r="Y125" s="1" t="n">
        <v>64</v>
      </c>
      <c r="Z125" s="1" t="n">
        <v>0</v>
      </c>
      <c r="AA125" s="1" t="n">
        <v>84</v>
      </c>
      <c r="AB125" s="7" t="s">
        <v>47</v>
      </c>
      <c r="AC125" s="7" t="s">
        <v>50</v>
      </c>
      <c r="AD125" s="6" t="s">
        <v>43</v>
      </c>
      <c r="AE125" s="6" t="s">
        <v>43</v>
      </c>
      <c r="AF125" s="4" t="n">
        <f aca="false">IF(T125="","",IF(T125&lt;=30,(50/30)*T125,IF(T125&lt;=60,50+((100-50)/(60-30))*(T125-30),IF(T125&lt;=90,100+((200-100)/(90-60))*(T125-60),IF(T125&lt;=120,200+((300-200)/(120-90))*(T125-90),IF(T125&lt;=250,300+((400-300)/(250-120))*(T125-120),IF(T125&lt;=380,400+((500-400)/(380-250))*(T125-250),500)))))))</f>
        <v>38.6666666666667</v>
      </c>
      <c r="AG125" s="4" t="n">
        <f aca="false">IF(U125="","",IF(U125&lt;=50,(50/50)*U125,IF(U125&lt;=100,50+((100-50)/(100-50))*(U125-50),IF(U125&lt;=250,100+((200-100)/(250-100))*(U125-100),IF(U125&lt;=350,200+((300-200)/(350-250))*(U125-250),IF(U125&lt;=430,300+((400-300)/(430-350))*(U125-350),IF(U125&lt;=600,400+((500-400)/(600-430))*(U125-430),500)))))))</f>
        <v>23.2</v>
      </c>
      <c r="AH125" s="4" t="n">
        <f aca="false">IF(V125="","",IF((V125/1000)&lt;=1,(50/1)*(V125/1000),IF((V125/1000)&lt;=2,50+((100-50)/(2-1))*(V125/1000-1),IF((V125/1000)&lt;=10,100+((200-100)/(10-2))*(V125/1000-2),IF((V125/1000)&lt;=17,200+((300-200)/(17-10))*(V125/1000-10),IF((V125/1000)&lt;=34,300+((400-300)/(34-17))*(V125/1000-17),IF((V125/1000)&lt;=57,400+((500-400)/(57-34))*(V125/1000-34),500)))))))</f>
        <v>16.15</v>
      </c>
      <c r="AI125" s="4" t="n">
        <f aca="false">IF(W125="","",IF(W125&lt;=40,(50/40)*W125,IF(W125&lt;=80,50+((100-50)/(80-40))*(W125-40),IF(W125&lt;=180,100+((200-100)/(180-80))*(W125-80),IF(W125&lt;=280,200+((300-200)/(280-180))*(W125-180),IF(W125&lt;=400,300+((400-300)/(400-280))*(W125-280),IF(W125&lt;=800,400+((500-400)/(800-400))*(W125-400),500)))))))</f>
        <v>17.625</v>
      </c>
      <c r="AJ125" s="4" t="n">
        <f aca="false">IF(X125="","",IF(X125&lt;=40,(50/40)*X125,IF(X125&lt;=80,50+((100-50)/(80-40))*(X125-40),IF(X125&lt;=380,100+((200-100)/(380-80))*(X125-80),IF(X125&lt;=800,200+((300-200)/(800-380))*(X125-380),IF(X125&lt;=1600,300+((400-300)/(1600-800))*(X125-800),IF(X125&lt;=2100,400+((500-400)/(2100-1600))*(X125-1600),500)))))))</f>
        <v>16.75</v>
      </c>
      <c r="AK125" s="4" t="n">
        <f aca="false">IF(Y125="","",IF(Y125&lt;=50,(50/50)*Y125,IF(Y125&lt;=100,50+((100-50)/(100-50))*(Y125-50),IF(Y125&lt;=168,100+((200-100)/(168-100))*(Y125-100),IF(Y125&lt;=208,200+((300-200)/(208-168))*(Y125-168),IF(Y125&lt;=748,300+((400-300)/(748-208))*(Y125-208),IF(Y125&lt;=1000,400+((500-400)/(1000-748))*(Y125-748),500)))))))</f>
        <v>64</v>
      </c>
      <c r="AL125" s="4" t="n">
        <f aca="false">ROUND(MAX(AF125,AG125,AH125,AI125,AJ125,AK125),0)</f>
        <v>64</v>
      </c>
      <c r="AM125" s="4" t="str">
        <f aca="false">IF(AL125="","",IF(AL125&lt;=50,"Good",IF(AL125&lt;=100,"Satisfactory",IF(AL125&lt;=200,"Moderate",IF(AL125&lt;=300,"Poor",IF(AL125&lt;=400,"Very Poor","Severe"))))))</f>
        <v>Satisfactory</v>
      </c>
    </row>
    <row r="126" customFormat="false" ht="15.75" hidden="false" customHeight="false" outlineLevel="0" collapsed="false">
      <c r="A126" s="1" t="s">
        <v>39</v>
      </c>
      <c r="B126" s="1" t="s">
        <v>40</v>
      </c>
      <c r="C126" s="1" t="n">
        <v>28.4595</v>
      </c>
      <c r="D126" s="1" t="n">
        <v>77.0266</v>
      </c>
      <c r="E126" s="5" t="n">
        <v>45906</v>
      </c>
      <c r="F126" s="6" t="s">
        <v>53</v>
      </c>
      <c r="G126" s="1" t="n">
        <v>9</v>
      </c>
      <c r="H126" s="7" t="s">
        <v>86</v>
      </c>
      <c r="I126" s="6" t="s">
        <v>46</v>
      </c>
      <c r="J126" s="7" t="s">
        <v>44</v>
      </c>
      <c r="K126" s="7" t="s">
        <v>45</v>
      </c>
      <c r="L126" s="1" t="n">
        <v>96</v>
      </c>
      <c r="M126" s="1" t="n">
        <v>23.9</v>
      </c>
      <c r="N126" s="1" t="n">
        <v>28.1</v>
      </c>
      <c r="O126" s="1" t="n">
        <v>0.1</v>
      </c>
      <c r="P126" s="6" t="s">
        <v>46</v>
      </c>
      <c r="Q126" s="6" t="s">
        <v>43</v>
      </c>
      <c r="R126" s="1" t="n">
        <v>1004.7</v>
      </c>
      <c r="S126" s="1" t="n">
        <v>100</v>
      </c>
      <c r="T126" s="1" t="n">
        <v>20.8</v>
      </c>
      <c r="U126" s="1" t="n">
        <v>20.9</v>
      </c>
      <c r="V126" s="1" t="n">
        <v>322</v>
      </c>
      <c r="W126" s="1" t="n">
        <v>13.8</v>
      </c>
      <c r="X126" s="1" t="n">
        <v>12.7</v>
      </c>
      <c r="Y126" s="1" t="n">
        <v>61</v>
      </c>
      <c r="Z126" s="1" t="n">
        <v>0</v>
      </c>
      <c r="AA126" s="1" t="n">
        <v>83</v>
      </c>
      <c r="AB126" s="7" t="s">
        <v>47</v>
      </c>
      <c r="AC126" s="7" t="s">
        <v>50</v>
      </c>
      <c r="AD126" s="6" t="s">
        <v>43</v>
      </c>
      <c r="AE126" s="6" t="s">
        <v>43</v>
      </c>
      <c r="AF126" s="4" t="n">
        <f aca="false">IF(T126="","",IF(T126&lt;=30,(50/30)*T126,IF(T126&lt;=60,50+((100-50)/(60-30))*(T126-30),IF(T126&lt;=90,100+((200-100)/(90-60))*(T126-60),IF(T126&lt;=120,200+((300-200)/(120-90))*(T126-90),IF(T126&lt;=250,300+((400-300)/(250-120))*(T126-120),IF(T126&lt;=380,400+((500-400)/(380-250))*(T126-250),500)))))))</f>
        <v>34.6666666666667</v>
      </c>
      <c r="AG126" s="4" t="n">
        <f aca="false">IF(U126="","",IF(U126&lt;=50,(50/50)*U126,IF(U126&lt;=100,50+((100-50)/(100-50))*(U126-50),IF(U126&lt;=250,100+((200-100)/(250-100))*(U126-100),IF(U126&lt;=350,200+((300-200)/(350-250))*(U126-250),IF(U126&lt;=430,300+((400-300)/(430-350))*(U126-350),IF(U126&lt;=600,400+((500-400)/(600-430))*(U126-430),500)))))))</f>
        <v>20.9</v>
      </c>
      <c r="AH126" s="4" t="n">
        <f aca="false">IF(V126="","",IF((V126/1000)&lt;=1,(50/1)*(V126/1000),IF((V126/1000)&lt;=2,50+((100-50)/(2-1))*(V126/1000-1),IF((V126/1000)&lt;=10,100+((200-100)/(10-2))*(V126/1000-2),IF((V126/1000)&lt;=17,200+((300-200)/(17-10))*(V126/1000-10),IF((V126/1000)&lt;=34,300+((400-300)/(34-17))*(V126/1000-17),IF((V126/1000)&lt;=57,400+((500-400)/(57-34))*(V126/1000-34),500)))))))</f>
        <v>16.1</v>
      </c>
      <c r="AI126" s="4" t="n">
        <f aca="false">IF(W126="","",IF(W126&lt;=40,(50/40)*W126,IF(W126&lt;=80,50+((100-50)/(80-40))*(W126-40),IF(W126&lt;=180,100+((200-100)/(180-80))*(W126-80),IF(W126&lt;=280,200+((300-200)/(280-180))*(W126-180),IF(W126&lt;=400,300+((400-300)/(400-280))*(W126-280),IF(W126&lt;=800,400+((500-400)/(800-400))*(W126-400),500)))))))</f>
        <v>17.25</v>
      </c>
      <c r="AJ126" s="4" t="n">
        <f aca="false">IF(X126="","",IF(X126&lt;=40,(50/40)*X126,IF(X126&lt;=80,50+((100-50)/(80-40))*(X126-40),IF(X126&lt;=380,100+((200-100)/(380-80))*(X126-80),IF(X126&lt;=800,200+((300-200)/(800-380))*(X126-380),IF(X126&lt;=1600,300+((400-300)/(1600-800))*(X126-800),IF(X126&lt;=2100,400+((500-400)/(2100-1600))*(X126-1600),500)))))))</f>
        <v>15.875</v>
      </c>
      <c r="AK126" s="4" t="n">
        <f aca="false">IF(Y126="","",IF(Y126&lt;=50,(50/50)*Y126,IF(Y126&lt;=100,50+((100-50)/(100-50))*(Y126-50),IF(Y126&lt;=168,100+((200-100)/(168-100))*(Y126-100),IF(Y126&lt;=208,200+((300-200)/(208-168))*(Y126-168),IF(Y126&lt;=748,300+((400-300)/(748-208))*(Y126-208),IF(Y126&lt;=1000,400+((500-400)/(1000-748))*(Y126-748),500)))))))</f>
        <v>61</v>
      </c>
      <c r="AL126" s="4" t="n">
        <f aca="false">ROUND(MAX(AF126,AG126,AH126,AI126,AJ126,AK126),0)</f>
        <v>61</v>
      </c>
      <c r="AM126" s="4" t="str">
        <f aca="false">IF(AL126="","",IF(AL126&lt;=50,"Good",IF(AL126&lt;=100,"Satisfactory",IF(AL126&lt;=200,"Moderate",IF(AL126&lt;=300,"Poor",IF(AL126&lt;=400,"Very Poor","Severe"))))))</f>
        <v>Satisfactory</v>
      </c>
    </row>
    <row r="127" customFormat="false" ht="15.75" hidden="false" customHeight="false" outlineLevel="0" collapsed="false">
      <c r="A127" s="1" t="s">
        <v>39</v>
      </c>
      <c r="B127" s="1" t="s">
        <v>40</v>
      </c>
      <c r="C127" s="1" t="n">
        <v>28.4595</v>
      </c>
      <c r="D127" s="1" t="n">
        <v>77.0266</v>
      </c>
      <c r="E127" s="5" t="n">
        <v>45906</v>
      </c>
      <c r="F127" s="6" t="s">
        <v>54</v>
      </c>
      <c r="G127" s="1" t="n">
        <v>9</v>
      </c>
      <c r="H127" s="7" t="s">
        <v>86</v>
      </c>
      <c r="I127" s="6" t="s">
        <v>46</v>
      </c>
      <c r="J127" s="7" t="s">
        <v>44</v>
      </c>
      <c r="K127" s="7" t="s">
        <v>45</v>
      </c>
      <c r="L127" s="1" t="n">
        <v>96</v>
      </c>
      <c r="M127" s="1" t="n">
        <v>23.9</v>
      </c>
      <c r="N127" s="1" t="n">
        <v>27.7</v>
      </c>
      <c r="O127" s="1" t="n">
        <v>0.1</v>
      </c>
      <c r="P127" s="6" t="s">
        <v>46</v>
      </c>
      <c r="Q127" s="6" t="s">
        <v>43</v>
      </c>
      <c r="R127" s="1" t="n">
        <v>1005.1</v>
      </c>
      <c r="S127" s="1" t="n">
        <v>100</v>
      </c>
      <c r="T127" s="1" t="n">
        <v>20.4</v>
      </c>
      <c r="U127" s="1" t="n">
        <v>20.5</v>
      </c>
      <c r="V127" s="1" t="n">
        <v>348</v>
      </c>
      <c r="W127" s="1" t="n">
        <v>13.9</v>
      </c>
      <c r="X127" s="1" t="n">
        <v>11.9</v>
      </c>
      <c r="Y127" s="1" t="n">
        <v>63</v>
      </c>
      <c r="Z127" s="1" t="n">
        <v>0</v>
      </c>
      <c r="AA127" s="1" t="n">
        <v>82</v>
      </c>
      <c r="AB127" s="7" t="s">
        <v>47</v>
      </c>
      <c r="AC127" s="7" t="s">
        <v>50</v>
      </c>
      <c r="AD127" s="6" t="s">
        <v>43</v>
      </c>
      <c r="AE127" s="6" t="s">
        <v>43</v>
      </c>
      <c r="AF127" s="4" t="n">
        <f aca="false">IF(T127="","",IF(T127&lt;=30,(50/30)*T127,IF(T127&lt;=60,50+((100-50)/(60-30))*(T127-30),IF(T127&lt;=90,100+((200-100)/(90-60))*(T127-60),IF(T127&lt;=120,200+((300-200)/(120-90))*(T127-90),IF(T127&lt;=250,300+((400-300)/(250-120))*(T127-120),IF(T127&lt;=380,400+((500-400)/(380-250))*(T127-250),500)))))))</f>
        <v>34</v>
      </c>
      <c r="AG127" s="4" t="n">
        <f aca="false">IF(U127="","",IF(U127&lt;=50,(50/50)*U127,IF(U127&lt;=100,50+((100-50)/(100-50))*(U127-50),IF(U127&lt;=250,100+((200-100)/(250-100))*(U127-100),IF(U127&lt;=350,200+((300-200)/(350-250))*(U127-250),IF(U127&lt;=430,300+((400-300)/(430-350))*(U127-350),IF(U127&lt;=600,400+((500-400)/(600-430))*(U127-430),500)))))))</f>
        <v>20.5</v>
      </c>
      <c r="AH127" s="4" t="n">
        <f aca="false">IF(V127="","",IF((V127/1000)&lt;=1,(50/1)*(V127/1000),IF((V127/1000)&lt;=2,50+((100-50)/(2-1))*(V127/1000-1),IF((V127/1000)&lt;=10,100+((200-100)/(10-2))*(V127/1000-2),IF((V127/1000)&lt;=17,200+((300-200)/(17-10))*(V127/1000-10),IF((V127/1000)&lt;=34,300+((400-300)/(34-17))*(V127/1000-17),IF((V127/1000)&lt;=57,400+((500-400)/(57-34))*(V127/1000-34),500)))))))</f>
        <v>17.4</v>
      </c>
      <c r="AI127" s="4" t="n">
        <f aca="false">IF(W127="","",IF(W127&lt;=40,(50/40)*W127,IF(W127&lt;=80,50+((100-50)/(80-40))*(W127-40),IF(W127&lt;=180,100+((200-100)/(180-80))*(W127-80),IF(W127&lt;=280,200+((300-200)/(280-180))*(W127-180),IF(W127&lt;=400,300+((400-300)/(400-280))*(W127-280),IF(W127&lt;=800,400+((500-400)/(800-400))*(W127-400),500)))))))</f>
        <v>17.375</v>
      </c>
      <c r="AJ127" s="4" t="n">
        <f aca="false">IF(X127="","",IF(X127&lt;=40,(50/40)*X127,IF(X127&lt;=80,50+((100-50)/(80-40))*(X127-40),IF(X127&lt;=380,100+((200-100)/(380-80))*(X127-80),IF(X127&lt;=800,200+((300-200)/(800-380))*(X127-380),IF(X127&lt;=1600,300+((400-300)/(1600-800))*(X127-800),IF(X127&lt;=2100,400+((500-400)/(2100-1600))*(X127-1600),500)))))))</f>
        <v>14.875</v>
      </c>
      <c r="AK127" s="4" t="n">
        <f aca="false">IF(Y127="","",IF(Y127&lt;=50,(50/50)*Y127,IF(Y127&lt;=100,50+((100-50)/(100-50))*(Y127-50),IF(Y127&lt;=168,100+((200-100)/(168-100))*(Y127-100),IF(Y127&lt;=208,200+((300-200)/(208-168))*(Y127-168),IF(Y127&lt;=748,300+((400-300)/(748-208))*(Y127-208),IF(Y127&lt;=1000,400+((500-400)/(1000-748))*(Y127-748),500)))))))</f>
        <v>63</v>
      </c>
      <c r="AL127" s="4" t="n">
        <f aca="false">ROUND(MAX(AF127,AG127,AH127,AI127,AJ127,AK127),0)</f>
        <v>63</v>
      </c>
      <c r="AM127" s="4" t="str">
        <f aca="false">IF(AL127="","",IF(AL127&lt;=50,"Good",IF(AL127&lt;=100,"Satisfactory",IF(AL127&lt;=200,"Moderate",IF(AL127&lt;=300,"Poor",IF(AL127&lt;=400,"Very Poor","Severe"))))))</f>
        <v>Satisfactory</v>
      </c>
    </row>
    <row r="128" customFormat="false" ht="15.75" hidden="false" customHeight="false" outlineLevel="0" collapsed="false">
      <c r="A128" s="1" t="s">
        <v>39</v>
      </c>
      <c r="B128" s="1" t="s">
        <v>40</v>
      </c>
      <c r="C128" s="1" t="n">
        <v>28.4595</v>
      </c>
      <c r="D128" s="1" t="n">
        <v>77.0266</v>
      </c>
      <c r="E128" s="5" t="n">
        <v>45906</v>
      </c>
      <c r="F128" s="6" t="s">
        <v>55</v>
      </c>
      <c r="G128" s="1" t="n">
        <v>9</v>
      </c>
      <c r="H128" s="7" t="s">
        <v>86</v>
      </c>
      <c r="I128" s="6" t="s">
        <v>46</v>
      </c>
      <c r="J128" s="7" t="s">
        <v>44</v>
      </c>
      <c r="K128" s="7" t="s">
        <v>56</v>
      </c>
      <c r="L128" s="1" t="n">
        <v>94</v>
      </c>
      <c r="M128" s="1" t="n">
        <v>24.5</v>
      </c>
      <c r="N128" s="1" t="n">
        <v>19.8</v>
      </c>
      <c r="O128" s="1" t="n">
        <v>0</v>
      </c>
      <c r="P128" s="6" t="s">
        <v>43</v>
      </c>
      <c r="Q128" s="6" t="s">
        <v>43</v>
      </c>
      <c r="R128" s="1" t="n">
        <v>1005</v>
      </c>
      <c r="S128" s="1" t="n">
        <v>100</v>
      </c>
      <c r="T128" s="1" t="n">
        <v>21.6</v>
      </c>
      <c r="U128" s="1" t="n">
        <v>21.7</v>
      </c>
      <c r="V128" s="1" t="n">
        <v>431</v>
      </c>
      <c r="W128" s="1" t="n">
        <v>15.5</v>
      </c>
      <c r="X128" s="1" t="n">
        <v>13.6</v>
      </c>
      <c r="Y128" s="1" t="n">
        <v>64</v>
      </c>
      <c r="Z128" s="1" t="n">
        <v>0</v>
      </c>
      <c r="AA128" s="1" t="n">
        <v>82</v>
      </c>
      <c r="AB128" s="7" t="s">
        <v>47</v>
      </c>
      <c r="AC128" s="7" t="s">
        <v>50</v>
      </c>
      <c r="AD128" s="6" t="s">
        <v>43</v>
      </c>
      <c r="AE128" s="6" t="s">
        <v>43</v>
      </c>
      <c r="AF128" s="4" t="n">
        <f aca="false">IF(T128="","",IF(T128&lt;=30,(50/30)*T128,IF(T128&lt;=60,50+((100-50)/(60-30))*(T128-30),IF(T128&lt;=90,100+((200-100)/(90-60))*(T128-60),IF(T128&lt;=120,200+((300-200)/(120-90))*(T128-90),IF(T128&lt;=250,300+((400-300)/(250-120))*(T128-120),IF(T128&lt;=380,400+((500-400)/(380-250))*(T128-250),500)))))))</f>
        <v>36</v>
      </c>
      <c r="AG128" s="4" t="n">
        <f aca="false">IF(U128="","",IF(U128&lt;=50,(50/50)*U128,IF(U128&lt;=100,50+((100-50)/(100-50))*(U128-50),IF(U128&lt;=250,100+((200-100)/(250-100))*(U128-100),IF(U128&lt;=350,200+((300-200)/(350-250))*(U128-250),IF(U128&lt;=430,300+((400-300)/(430-350))*(U128-350),IF(U128&lt;=600,400+((500-400)/(600-430))*(U128-430),500)))))))</f>
        <v>21.7</v>
      </c>
      <c r="AH128" s="4" t="n">
        <f aca="false">IF(V128="","",IF((V128/1000)&lt;=1,(50/1)*(V128/1000),IF((V128/1000)&lt;=2,50+((100-50)/(2-1))*(V128/1000-1),IF((V128/1000)&lt;=10,100+((200-100)/(10-2))*(V128/1000-2),IF((V128/1000)&lt;=17,200+((300-200)/(17-10))*(V128/1000-10),IF((V128/1000)&lt;=34,300+((400-300)/(34-17))*(V128/1000-17),IF((V128/1000)&lt;=57,400+((500-400)/(57-34))*(V128/1000-34),500)))))))</f>
        <v>21.55</v>
      </c>
      <c r="AI128" s="4" t="n">
        <f aca="false">IF(W128="","",IF(W128&lt;=40,(50/40)*W128,IF(W128&lt;=80,50+((100-50)/(80-40))*(W128-40),IF(W128&lt;=180,100+((200-100)/(180-80))*(W128-80),IF(W128&lt;=280,200+((300-200)/(280-180))*(W128-180),IF(W128&lt;=400,300+((400-300)/(400-280))*(W128-280),IF(W128&lt;=800,400+((500-400)/(800-400))*(W128-400),500)))))))</f>
        <v>19.375</v>
      </c>
      <c r="AJ128" s="4" t="n">
        <f aca="false">IF(X128="","",IF(X128&lt;=40,(50/40)*X128,IF(X128&lt;=80,50+((100-50)/(80-40))*(X128-40),IF(X128&lt;=380,100+((200-100)/(380-80))*(X128-80),IF(X128&lt;=800,200+((300-200)/(800-380))*(X128-380),IF(X128&lt;=1600,300+((400-300)/(1600-800))*(X128-800),IF(X128&lt;=2100,400+((500-400)/(2100-1600))*(X128-1600),500)))))))</f>
        <v>17</v>
      </c>
      <c r="AK128" s="4" t="n">
        <f aca="false">IF(Y128="","",IF(Y128&lt;=50,(50/50)*Y128,IF(Y128&lt;=100,50+((100-50)/(100-50))*(Y128-50),IF(Y128&lt;=168,100+((200-100)/(168-100))*(Y128-100),IF(Y128&lt;=208,200+((300-200)/(208-168))*(Y128-168),IF(Y128&lt;=748,300+((400-300)/(748-208))*(Y128-208),IF(Y128&lt;=1000,400+((500-400)/(1000-748))*(Y128-748),500)))))))</f>
        <v>64</v>
      </c>
      <c r="AL128" s="4" t="n">
        <f aca="false">ROUND(MAX(AF128,AG128,AH128,AI128,AJ128,AK128),0)</f>
        <v>64</v>
      </c>
      <c r="AM128" s="4" t="str">
        <f aca="false">IF(AL128="","",IF(AL128&lt;=50,"Good",IF(AL128&lt;=100,"Satisfactory",IF(AL128&lt;=200,"Moderate",IF(AL128&lt;=300,"Poor",IF(AL128&lt;=400,"Very Poor","Severe"))))))</f>
        <v>Satisfactory</v>
      </c>
    </row>
    <row r="129" customFormat="false" ht="15.75" hidden="false" customHeight="false" outlineLevel="0" collapsed="false">
      <c r="A129" s="1" t="s">
        <v>39</v>
      </c>
      <c r="B129" s="1" t="s">
        <v>40</v>
      </c>
      <c r="C129" s="1" t="n">
        <v>28.4595</v>
      </c>
      <c r="D129" s="1" t="n">
        <v>77.0266</v>
      </c>
      <c r="E129" s="5" t="n">
        <v>45906</v>
      </c>
      <c r="F129" s="6" t="s">
        <v>57</v>
      </c>
      <c r="G129" s="1" t="n">
        <v>9</v>
      </c>
      <c r="H129" s="7" t="s">
        <v>86</v>
      </c>
      <c r="I129" s="6" t="s">
        <v>46</v>
      </c>
      <c r="J129" s="7" t="s">
        <v>44</v>
      </c>
      <c r="K129" s="7" t="s">
        <v>56</v>
      </c>
      <c r="L129" s="1" t="n">
        <v>91</v>
      </c>
      <c r="M129" s="1" t="n">
        <v>24.7</v>
      </c>
      <c r="N129" s="1" t="n">
        <v>24.5</v>
      </c>
      <c r="O129" s="1" t="n">
        <v>0</v>
      </c>
      <c r="P129" s="6" t="s">
        <v>43</v>
      </c>
      <c r="Q129" s="6" t="s">
        <v>43</v>
      </c>
      <c r="R129" s="1" t="n">
        <v>1005.4</v>
      </c>
      <c r="S129" s="1" t="n">
        <v>100</v>
      </c>
      <c r="T129" s="1" t="n">
        <v>25.9</v>
      </c>
      <c r="U129" s="1" t="n">
        <v>26.1</v>
      </c>
      <c r="V129" s="1" t="n">
        <v>541</v>
      </c>
      <c r="W129" s="1" t="n">
        <v>17.6</v>
      </c>
      <c r="X129" s="1" t="n">
        <v>15.9</v>
      </c>
      <c r="Y129" s="1" t="n">
        <v>67</v>
      </c>
      <c r="Z129" s="1" t="n">
        <v>0</v>
      </c>
      <c r="AA129" s="1" t="n">
        <v>82</v>
      </c>
      <c r="AB129" s="7" t="s">
        <v>47</v>
      </c>
      <c r="AC129" s="7" t="s">
        <v>50</v>
      </c>
      <c r="AD129" s="6" t="s">
        <v>43</v>
      </c>
      <c r="AE129" s="6" t="s">
        <v>43</v>
      </c>
      <c r="AF129" s="4" t="n">
        <f aca="false">IF(T129="","",IF(T129&lt;=30,(50/30)*T129,IF(T129&lt;=60,50+((100-50)/(60-30))*(T129-30),IF(T129&lt;=90,100+((200-100)/(90-60))*(T129-60),IF(T129&lt;=120,200+((300-200)/(120-90))*(T129-90),IF(T129&lt;=250,300+((400-300)/(250-120))*(T129-120),IF(T129&lt;=380,400+((500-400)/(380-250))*(T129-250),500)))))))</f>
        <v>43.1666666666667</v>
      </c>
      <c r="AG129" s="4" t="n">
        <f aca="false">IF(U129="","",IF(U129&lt;=50,(50/50)*U129,IF(U129&lt;=100,50+((100-50)/(100-50))*(U129-50),IF(U129&lt;=250,100+((200-100)/(250-100))*(U129-100),IF(U129&lt;=350,200+((300-200)/(350-250))*(U129-250),IF(U129&lt;=430,300+((400-300)/(430-350))*(U129-350),IF(U129&lt;=600,400+((500-400)/(600-430))*(U129-430),500)))))))</f>
        <v>26.1</v>
      </c>
      <c r="AH129" s="4" t="n">
        <f aca="false">IF(V129="","",IF((V129/1000)&lt;=1,(50/1)*(V129/1000),IF((V129/1000)&lt;=2,50+((100-50)/(2-1))*(V129/1000-1),IF((V129/1000)&lt;=10,100+((200-100)/(10-2))*(V129/1000-2),IF((V129/1000)&lt;=17,200+((300-200)/(17-10))*(V129/1000-10),IF((V129/1000)&lt;=34,300+((400-300)/(34-17))*(V129/1000-17),IF((V129/1000)&lt;=57,400+((500-400)/(57-34))*(V129/1000-34),500)))))))</f>
        <v>27.05</v>
      </c>
      <c r="AI129" s="4" t="n">
        <f aca="false">IF(W129="","",IF(W129&lt;=40,(50/40)*W129,IF(W129&lt;=80,50+((100-50)/(80-40))*(W129-40),IF(W129&lt;=180,100+((200-100)/(180-80))*(W129-80),IF(W129&lt;=280,200+((300-200)/(280-180))*(W129-180),IF(W129&lt;=400,300+((400-300)/(400-280))*(W129-280),IF(W129&lt;=800,400+((500-400)/(800-400))*(W129-400),500)))))))</f>
        <v>22</v>
      </c>
      <c r="AJ129" s="4" t="n">
        <f aca="false">IF(X129="","",IF(X129&lt;=40,(50/40)*X129,IF(X129&lt;=80,50+((100-50)/(80-40))*(X129-40),IF(X129&lt;=380,100+((200-100)/(380-80))*(X129-80),IF(X129&lt;=800,200+((300-200)/(800-380))*(X129-380),IF(X129&lt;=1600,300+((400-300)/(1600-800))*(X129-800),IF(X129&lt;=2100,400+((500-400)/(2100-1600))*(X129-1600),500)))))))</f>
        <v>19.875</v>
      </c>
      <c r="AK129" s="4" t="n">
        <f aca="false">IF(Y129="","",IF(Y129&lt;=50,(50/50)*Y129,IF(Y129&lt;=100,50+((100-50)/(100-50))*(Y129-50),IF(Y129&lt;=168,100+((200-100)/(168-100))*(Y129-100),IF(Y129&lt;=208,200+((300-200)/(208-168))*(Y129-168),IF(Y129&lt;=748,300+((400-300)/(748-208))*(Y129-208),IF(Y129&lt;=1000,400+((500-400)/(1000-748))*(Y129-748),500)))))))</f>
        <v>67</v>
      </c>
      <c r="AL129" s="4" t="n">
        <f aca="false">ROUND(MAX(AF129,AG129,AH129,AI129,AJ129,AK129),0)</f>
        <v>67</v>
      </c>
      <c r="AM129" s="4" t="str">
        <f aca="false">IF(AL129="","",IF(AL129&lt;=50,"Good",IF(AL129&lt;=100,"Satisfactory",IF(AL129&lt;=200,"Moderate",IF(AL129&lt;=300,"Poor",IF(AL129&lt;=400,"Very Poor","Severe"))))))</f>
        <v>Satisfactory</v>
      </c>
    </row>
    <row r="130" customFormat="false" ht="15.75" hidden="false" customHeight="false" outlineLevel="0" collapsed="false">
      <c r="A130" s="1" t="s">
        <v>39</v>
      </c>
      <c r="B130" s="1" t="s">
        <v>40</v>
      </c>
      <c r="C130" s="1" t="n">
        <v>28.4595</v>
      </c>
      <c r="D130" s="1" t="n">
        <v>77.0266</v>
      </c>
      <c r="E130" s="5" t="n">
        <v>45906</v>
      </c>
      <c r="F130" s="6" t="s">
        <v>58</v>
      </c>
      <c r="G130" s="1" t="n">
        <v>9</v>
      </c>
      <c r="H130" s="7" t="s">
        <v>86</v>
      </c>
      <c r="I130" s="6" t="s">
        <v>46</v>
      </c>
      <c r="J130" s="7" t="s">
        <v>44</v>
      </c>
      <c r="K130" s="7" t="s">
        <v>56</v>
      </c>
      <c r="L130" s="1" t="n">
        <v>87</v>
      </c>
      <c r="M130" s="1" t="n">
        <v>25.1</v>
      </c>
      <c r="N130" s="1" t="n">
        <v>25.6</v>
      </c>
      <c r="O130" s="1" t="n">
        <v>0</v>
      </c>
      <c r="P130" s="6" t="s">
        <v>43</v>
      </c>
      <c r="Q130" s="6" t="s">
        <v>43</v>
      </c>
      <c r="R130" s="1" t="n">
        <v>1005.9</v>
      </c>
      <c r="S130" s="1" t="n">
        <v>99</v>
      </c>
      <c r="T130" s="1" t="n">
        <v>30</v>
      </c>
      <c r="U130" s="1" t="n">
        <v>30.3</v>
      </c>
      <c r="V130" s="1" t="n">
        <v>595</v>
      </c>
      <c r="W130" s="1" t="n">
        <v>17.8</v>
      </c>
      <c r="X130" s="1" t="n">
        <v>17.3</v>
      </c>
      <c r="Y130" s="1" t="n">
        <v>76</v>
      </c>
      <c r="Z130" s="1" t="n">
        <v>0</v>
      </c>
      <c r="AA130" s="1" t="n">
        <v>82</v>
      </c>
      <c r="AB130" s="7" t="s">
        <v>47</v>
      </c>
      <c r="AC130" s="7" t="s">
        <v>50</v>
      </c>
      <c r="AD130" s="6" t="s">
        <v>43</v>
      </c>
      <c r="AE130" s="6" t="s">
        <v>43</v>
      </c>
      <c r="AF130" s="4" t="n">
        <f aca="false">IF(T130="","",IF(T130&lt;=30,(50/30)*T130,IF(T130&lt;=60,50+((100-50)/(60-30))*(T130-30),IF(T130&lt;=90,100+((200-100)/(90-60))*(T130-60),IF(T130&lt;=120,200+((300-200)/(120-90))*(T130-90),IF(T130&lt;=250,300+((400-300)/(250-120))*(T130-120),IF(T130&lt;=380,400+((500-400)/(380-250))*(T130-250),500)))))))</f>
        <v>50</v>
      </c>
      <c r="AG130" s="4" t="n">
        <f aca="false">IF(U130="","",IF(U130&lt;=50,(50/50)*U130,IF(U130&lt;=100,50+((100-50)/(100-50))*(U130-50),IF(U130&lt;=250,100+((200-100)/(250-100))*(U130-100),IF(U130&lt;=350,200+((300-200)/(350-250))*(U130-250),IF(U130&lt;=430,300+((400-300)/(430-350))*(U130-350),IF(U130&lt;=600,400+((500-400)/(600-430))*(U130-430),500)))))))</f>
        <v>30.3</v>
      </c>
      <c r="AH130" s="4" t="n">
        <f aca="false">IF(V130="","",IF((V130/1000)&lt;=1,(50/1)*(V130/1000),IF((V130/1000)&lt;=2,50+((100-50)/(2-1))*(V130/1000-1),IF((V130/1000)&lt;=10,100+((200-100)/(10-2))*(V130/1000-2),IF((V130/1000)&lt;=17,200+((300-200)/(17-10))*(V130/1000-10),IF((V130/1000)&lt;=34,300+((400-300)/(34-17))*(V130/1000-17),IF((V130/1000)&lt;=57,400+((500-400)/(57-34))*(V130/1000-34),500)))))))</f>
        <v>29.75</v>
      </c>
      <c r="AI130" s="4" t="n">
        <f aca="false">IF(W130="","",IF(W130&lt;=40,(50/40)*W130,IF(W130&lt;=80,50+((100-50)/(80-40))*(W130-40),IF(W130&lt;=180,100+((200-100)/(180-80))*(W130-80),IF(W130&lt;=280,200+((300-200)/(280-180))*(W130-180),IF(W130&lt;=400,300+((400-300)/(400-280))*(W130-280),IF(W130&lt;=800,400+((500-400)/(800-400))*(W130-400),500)))))))</f>
        <v>22.25</v>
      </c>
      <c r="AJ130" s="4" t="n">
        <f aca="false">IF(X130="","",IF(X130&lt;=40,(50/40)*X130,IF(X130&lt;=80,50+((100-50)/(80-40))*(X130-40),IF(X130&lt;=380,100+((200-100)/(380-80))*(X130-80),IF(X130&lt;=800,200+((300-200)/(800-380))*(X130-380),IF(X130&lt;=1600,300+((400-300)/(1600-800))*(X130-800),IF(X130&lt;=2100,400+((500-400)/(2100-1600))*(X130-1600),500)))))))</f>
        <v>21.625</v>
      </c>
      <c r="AK130" s="4" t="n">
        <f aca="false">IF(Y130="","",IF(Y130&lt;=50,(50/50)*Y130,IF(Y130&lt;=100,50+((100-50)/(100-50))*(Y130-50),IF(Y130&lt;=168,100+((200-100)/(168-100))*(Y130-100),IF(Y130&lt;=208,200+((300-200)/(208-168))*(Y130-168),IF(Y130&lt;=748,300+((400-300)/(748-208))*(Y130-208),IF(Y130&lt;=1000,400+((500-400)/(1000-748))*(Y130-748),500)))))))</f>
        <v>76</v>
      </c>
      <c r="AL130" s="4" t="n">
        <f aca="false">ROUND(MAX(AF130,AG130,AH130,AI130,AJ130,AK130),0)</f>
        <v>76</v>
      </c>
      <c r="AM130" s="4" t="str">
        <f aca="false">IF(AL130="","",IF(AL130&lt;=50,"Good",IF(AL130&lt;=100,"Satisfactory",IF(AL130&lt;=200,"Moderate",IF(AL130&lt;=300,"Poor",IF(AL130&lt;=400,"Very Poor","Severe"))))))</f>
        <v>Satisfactory</v>
      </c>
    </row>
    <row r="131" customFormat="false" ht="15.75" hidden="false" customHeight="false" outlineLevel="0" collapsed="false">
      <c r="A131" s="1" t="s">
        <v>39</v>
      </c>
      <c r="B131" s="1" t="s">
        <v>40</v>
      </c>
      <c r="C131" s="1" t="n">
        <v>28.4595</v>
      </c>
      <c r="D131" s="1" t="n">
        <v>77.0266</v>
      </c>
      <c r="E131" s="5" t="n">
        <v>45906</v>
      </c>
      <c r="F131" s="6" t="s">
        <v>59</v>
      </c>
      <c r="G131" s="1" t="n">
        <v>9</v>
      </c>
      <c r="H131" s="7" t="s">
        <v>86</v>
      </c>
      <c r="I131" s="6" t="s">
        <v>46</v>
      </c>
      <c r="J131" s="7" t="s">
        <v>44</v>
      </c>
      <c r="K131" s="7" t="s">
        <v>60</v>
      </c>
      <c r="L131" s="1" t="n">
        <v>78</v>
      </c>
      <c r="M131" s="1" t="n">
        <v>25</v>
      </c>
      <c r="N131" s="1" t="n">
        <v>33.5</v>
      </c>
      <c r="O131" s="1" t="n">
        <v>0</v>
      </c>
      <c r="P131" s="6" t="s">
        <v>43</v>
      </c>
      <c r="Q131" s="6" t="s">
        <v>43</v>
      </c>
      <c r="R131" s="1" t="n">
        <v>1006.1</v>
      </c>
      <c r="S131" s="1" t="n">
        <v>100</v>
      </c>
      <c r="T131" s="1" t="n">
        <v>33.8</v>
      </c>
      <c r="U131" s="1" t="n">
        <v>34.1</v>
      </c>
      <c r="V131" s="1" t="n">
        <v>538</v>
      </c>
      <c r="W131" s="1" t="n">
        <v>14.4</v>
      </c>
      <c r="X131" s="1" t="n">
        <v>16.7</v>
      </c>
      <c r="Y131" s="1" t="n">
        <v>97</v>
      </c>
      <c r="Z131" s="1" t="n">
        <v>1</v>
      </c>
      <c r="AA131" s="1" t="n">
        <v>82</v>
      </c>
      <c r="AB131" s="7" t="s">
        <v>47</v>
      </c>
      <c r="AC131" s="7" t="s">
        <v>48</v>
      </c>
      <c r="AD131" s="6" t="s">
        <v>43</v>
      </c>
      <c r="AE131" s="6" t="s">
        <v>43</v>
      </c>
      <c r="AF131" s="4" t="n">
        <f aca="false">IF(T131="","",IF(T131&lt;=30,(50/30)*T131,IF(T131&lt;=60,50+((100-50)/(60-30))*(T131-30),IF(T131&lt;=90,100+((200-100)/(90-60))*(T131-60),IF(T131&lt;=120,200+((300-200)/(120-90))*(T131-90),IF(T131&lt;=250,300+((400-300)/(250-120))*(T131-120),IF(T131&lt;=380,400+((500-400)/(380-250))*(T131-250),500)))))))</f>
        <v>56.3333333333333</v>
      </c>
      <c r="AG131" s="4" t="n">
        <f aca="false">IF(U131="","",IF(U131&lt;=50,(50/50)*U131,IF(U131&lt;=100,50+((100-50)/(100-50))*(U131-50),IF(U131&lt;=250,100+((200-100)/(250-100))*(U131-100),IF(U131&lt;=350,200+((300-200)/(350-250))*(U131-250),IF(U131&lt;=430,300+((400-300)/(430-350))*(U131-350),IF(U131&lt;=600,400+((500-400)/(600-430))*(U131-430),500)))))))</f>
        <v>34.1</v>
      </c>
      <c r="AH131" s="4" t="n">
        <f aca="false">IF(V131="","",IF((V131/1000)&lt;=1,(50/1)*(V131/1000),IF((V131/1000)&lt;=2,50+((100-50)/(2-1))*(V131/1000-1),IF((V131/1000)&lt;=10,100+((200-100)/(10-2))*(V131/1000-2),IF((V131/1000)&lt;=17,200+((300-200)/(17-10))*(V131/1000-10),IF((V131/1000)&lt;=34,300+((400-300)/(34-17))*(V131/1000-17),IF((V131/1000)&lt;=57,400+((500-400)/(57-34))*(V131/1000-34),500)))))))</f>
        <v>26.9</v>
      </c>
      <c r="AI131" s="4" t="n">
        <f aca="false">IF(W131="","",IF(W131&lt;=40,(50/40)*W131,IF(W131&lt;=80,50+((100-50)/(80-40))*(W131-40),IF(W131&lt;=180,100+((200-100)/(180-80))*(W131-80),IF(W131&lt;=280,200+((300-200)/(280-180))*(W131-180),IF(W131&lt;=400,300+((400-300)/(400-280))*(W131-280),IF(W131&lt;=800,400+((500-400)/(800-400))*(W131-400),500)))))))</f>
        <v>18</v>
      </c>
      <c r="AJ131" s="4" t="n">
        <f aca="false">IF(X131="","",IF(X131&lt;=40,(50/40)*X131,IF(X131&lt;=80,50+((100-50)/(80-40))*(X131-40),IF(X131&lt;=380,100+((200-100)/(380-80))*(X131-80),IF(X131&lt;=800,200+((300-200)/(800-380))*(X131-380),IF(X131&lt;=1600,300+((400-300)/(1600-800))*(X131-800),IF(X131&lt;=2100,400+((500-400)/(2100-1600))*(X131-1600),500)))))))</f>
        <v>20.875</v>
      </c>
      <c r="AK131" s="4" t="n">
        <f aca="false">IF(Y131="","",IF(Y131&lt;=50,(50/50)*Y131,IF(Y131&lt;=100,50+((100-50)/(100-50))*(Y131-50),IF(Y131&lt;=168,100+((200-100)/(168-100))*(Y131-100),IF(Y131&lt;=208,200+((300-200)/(208-168))*(Y131-168),IF(Y131&lt;=748,300+((400-300)/(748-208))*(Y131-208),IF(Y131&lt;=1000,400+((500-400)/(1000-748))*(Y131-748),500)))))))</f>
        <v>97</v>
      </c>
      <c r="AL131" s="4" t="n">
        <f aca="false">ROUND(MAX(AF131,AG131,AH131,AI131,AJ131,AK131),0)</f>
        <v>97</v>
      </c>
      <c r="AM131" s="4" t="str">
        <f aca="false">IF(AL131="","",IF(AL131&lt;=50,"Good",IF(AL131&lt;=100,"Satisfactory",IF(AL131&lt;=200,"Moderate",IF(AL131&lt;=300,"Poor",IF(AL131&lt;=400,"Very Poor","Severe"))))))</f>
        <v>Satisfactory</v>
      </c>
    </row>
    <row r="132" customFormat="false" ht="15.75" hidden="false" customHeight="false" outlineLevel="0" collapsed="false">
      <c r="A132" s="1" t="s">
        <v>39</v>
      </c>
      <c r="B132" s="1" t="s">
        <v>40</v>
      </c>
      <c r="C132" s="1" t="n">
        <v>28.4595</v>
      </c>
      <c r="D132" s="1" t="n">
        <v>77.0266</v>
      </c>
      <c r="E132" s="5" t="n">
        <v>45906</v>
      </c>
      <c r="F132" s="6" t="s">
        <v>61</v>
      </c>
      <c r="G132" s="1" t="n">
        <v>9</v>
      </c>
      <c r="H132" s="7" t="s">
        <v>86</v>
      </c>
      <c r="I132" s="6" t="s">
        <v>46</v>
      </c>
      <c r="J132" s="7" t="s">
        <v>44</v>
      </c>
      <c r="K132" s="7" t="s">
        <v>60</v>
      </c>
      <c r="L132" s="1" t="n">
        <v>73</v>
      </c>
      <c r="M132" s="1" t="n">
        <v>24.6</v>
      </c>
      <c r="N132" s="1" t="n">
        <v>36.4</v>
      </c>
      <c r="O132" s="1" t="n">
        <v>0.2</v>
      </c>
      <c r="P132" s="6" t="s">
        <v>46</v>
      </c>
      <c r="Q132" s="6" t="s">
        <v>43</v>
      </c>
      <c r="R132" s="1" t="n">
        <v>1006.1</v>
      </c>
      <c r="S132" s="1" t="n">
        <v>100</v>
      </c>
      <c r="T132" s="1" t="n">
        <v>35.2</v>
      </c>
      <c r="U132" s="1" t="n">
        <v>36</v>
      </c>
      <c r="V132" s="1" t="n">
        <v>426</v>
      </c>
      <c r="W132" s="1" t="n">
        <v>9.2</v>
      </c>
      <c r="X132" s="1" t="n">
        <v>15.2</v>
      </c>
      <c r="Y132" s="1" t="n">
        <v>124</v>
      </c>
      <c r="Z132" s="1" t="n">
        <v>1</v>
      </c>
      <c r="AA132" s="1" t="n">
        <v>83</v>
      </c>
      <c r="AB132" s="7" t="s">
        <v>47</v>
      </c>
      <c r="AC132" s="7" t="s">
        <v>48</v>
      </c>
      <c r="AD132" s="6" t="s">
        <v>43</v>
      </c>
      <c r="AE132" s="6" t="s">
        <v>43</v>
      </c>
      <c r="AF132" s="4" t="n">
        <f aca="false">IF(T132="","",IF(T132&lt;=30,(50/30)*T132,IF(T132&lt;=60,50+((100-50)/(60-30))*(T132-30),IF(T132&lt;=90,100+((200-100)/(90-60))*(T132-60),IF(T132&lt;=120,200+((300-200)/(120-90))*(T132-90),IF(T132&lt;=250,300+((400-300)/(250-120))*(T132-120),IF(T132&lt;=380,400+((500-400)/(380-250))*(T132-250),500)))))))</f>
        <v>58.6666666666667</v>
      </c>
      <c r="AG132" s="4" t="n">
        <f aca="false">IF(U132="","",IF(U132&lt;=50,(50/50)*U132,IF(U132&lt;=100,50+((100-50)/(100-50))*(U132-50),IF(U132&lt;=250,100+((200-100)/(250-100))*(U132-100),IF(U132&lt;=350,200+((300-200)/(350-250))*(U132-250),IF(U132&lt;=430,300+((400-300)/(430-350))*(U132-350),IF(U132&lt;=600,400+((500-400)/(600-430))*(U132-430),500)))))))</f>
        <v>36</v>
      </c>
      <c r="AH132" s="4" t="n">
        <f aca="false">IF(V132="","",IF((V132/1000)&lt;=1,(50/1)*(V132/1000),IF((V132/1000)&lt;=2,50+((100-50)/(2-1))*(V132/1000-1),IF((V132/1000)&lt;=10,100+((200-100)/(10-2))*(V132/1000-2),IF((V132/1000)&lt;=17,200+((300-200)/(17-10))*(V132/1000-10),IF((V132/1000)&lt;=34,300+((400-300)/(34-17))*(V132/1000-17),IF((V132/1000)&lt;=57,400+((500-400)/(57-34))*(V132/1000-34),500)))))))</f>
        <v>21.3</v>
      </c>
      <c r="AI132" s="4" t="n">
        <f aca="false">IF(W132="","",IF(W132&lt;=40,(50/40)*W132,IF(W132&lt;=80,50+((100-50)/(80-40))*(W132-40),IF(W132&lt;=180,100+((200-100)/(180-80))*(W132-80),IF(W132&lt;=280,200+((300-200)/(280-180))*(W132-180),IF(W132&lt;=400,300+((400-300)/(400-280))*(W132-280),IF(W132&lt;=800,400+((500-400)/(800-400))*(W132-400),500)))))))</f>
        <v>11.5</v>
      </c>
      <c r="AJ132" s="4" t="n">
        <f aca="false">IF(X132="","",IF(X132&lt;=40,(50/40)*X132,IF(X132&lt;=80,50+((100-50)/(80-40))*(X132-40),IF(X132&lt;=380,100+((200-100)/(380-80))*(X132-80),IF(X132&lt;=800,200+((300-200)/(800-380))*(X132-380),IF(X132&lt;=1600,300+((400-300)/(1600-800))*(X132-800),IF(X132&lt;=2100,400+((500-400)/(2100-1600))*(X132-1600),500)))))))</f>
        <v>19</v>
      </c>
      <c r="AK132" s="4" t="n">
        <f aca="false">IF(Y132="","",IF(Y132&lt;=50,(50/50)*Y132,IF(Y132&lt;=100,50+((100-50)/(100-50))*(Y132-50),IF(Y132&lt;=168,100+((200-100)/(168-100))*(Y132-100),IF(Y132&lt;=208,200+((300-200)/(208-168))*(Y132-168),IF(Y132&lt;=748,300+((400-300)/(748-208))*(Y132-208),IF(Y132&lt;=1000,400+((500-400)/(1000-748))*(Y132-748),500)))))))</f>
        <v>135.294117647059</v>
      </c>
      <c r="AL132" s="4" t="n">
        <f aca="false">ROUND(MAX(AF132,AG132,AH132,AI132,AJ132,AK132),0)</f>
        <v>135</v>
      </c>
      <c r="AM132" s="4" t="str">
        <f aca="false">IF(AL132="","",IF(AL132&lt;=50,"Good",IF(AL132&lt;=100,"Satisfactory",IF(AL132&lt;=200,"Moderate",IF(AL132&lt;=300,"Poor",IF(AL132&lt;=400,"Very Poor","Severe"))))))</f>
        <v>Moderate</v>
      </c>
    </row>
    <row r="133" customFormat="false" ht="15.75" hidden="false" customHeight="false" outlineLevel="0" collapsed="false">
      <c r="A133" s="1" t="s">
        <v>39</v>
      </c>
      <c r="B133" s="1" t="s">
        <v>40</v>
      </c>
      <c r="C133" s="1" t="n">
        <v>28.4595</v>
      </c>
      <c r="D133" s="1" t="n">
        <v>77.0266</v>
      </c>
      <c r="E133" s="5" t="n">
        <v>45906</v>
      </c>
      <c r="F133" s="6" t="s">
        <v>62</v>
      </c>
      <c r="G133" s="1" t="n">
        <v>9</v>
      </c>
      <c r="H133" s="7" t="s">
        <v>86</v>
      </c>
      <c r="I133" s="6" t="s">
        <v>46</v>
      </c>
      <c r="J133" s="7" t="s">
        <v>44</v>
      </c>
      <c r="K133" s="7" t="s">
        <v>60</v>
      </c>
      <c r="L133" s="1" t="n">
        <v>72</v>
      </c>
      <c r="M133" s="1" t="n">
        <v>25.1</v>
      </c>
      <c r="N133" s="1" t="n">
        <v>41</v>
      </c>
      <c r="O133" s="1" t="n">
        <v>0.1</v>
      </c>
      <c r="P133" s="6" t="s">
        <v>46</v>
      </c>
      <c r="Q133" s="6" t="s">
        <v>43</v>
      </c>
      <c r="R133" s="1" t="n">
        <v>1005.9</v>
      </c>
      <c r="S133" s="1" t="n">
        <v>100</v>
      </c>
      <c r="T133" s="1" t="n">
        <v>29.6</v>
      </c>
      <c r="U133" s="1" t="n">
        <v>30.5</v>
      </c>
      <c r="V133" s="1" t="n">
        <v>340</v>
      </c>
      <c r="W133" s="1" t="n">
        <v>5.3</v>
      </c>
      <c r="X133" s="1" t="n">
        <v>14</v>
      </c>
      <c r="Y133" s="1" t="n">
        <v>146</v>
      </c>
      <c r="Z133" s="1" t="n">
        <v>2</v>
      </c>
      <c r="AA133" s="1" t="n">
        <v>84</v>
      </c>
      <c r="AB133" s="7" t="s">
        <v>47</v>
      </c>
      <c r="AC133" s="7" t="s">
        <v>50</v>
      </c>
      <c r="AD133" s="6" t="s">
        <v>43</v>
      </c>
      <c r="AE133" s="6" t="s">
        <v>43</v>
      </c>
      <c r="AF133" s="4" t="n">
        <f aca="false">IF(T133="","",IF(T133&lt;=30,(50/30)*T133,IF(T133&lt;=60,50+((100-50)/(60-30))*(T133-30),IF(T133&lt;=90,100+((200-100)/(90-60))*(T133-60),IF(T133&lt;=120,200+((300-200)/(120-90))*(T133-90),IF(T133&lt;=250,300+((400-300)/(250-120))*(T133-120),IF(T133&lt;=380,400+((500-400)/(380-250))*(T133-250),500)))))))</f>
        <v>49.3333333333333</v>
      </c>
      <c r="AG133" s="4" t="n">
        <f aca="false">IF(U133="","",IF(U133&lt;=50,(50/50)*U133,IF(U133&lt;=100,50+((100-50)/(100-50))*(U133-50),IF(U133&lt;=250,100+((200-100)/(250-100))*(U133-100),IF(U133&lt;=350,200+((300-200)/(350-250))*(U133-250),IF(U133&lt;=430,300+((400-300)/(430-350))*(U133-350),IF(U133&lt;=600,400+((500-400)/(600-430))*(U133-430),500)))))))</f>
        <v>30.5</v>
      </c>
      <c r="AH133" s="4" t="n">
        <f aca="false">IF(V133="","",IF((V133/1000)&lt;=1,(50/1)*(V133/1000),IF((V133/1000)&lt;=2,50+((100-50)/(2-1))*(V133/1000-1),IF((V133/1000)&lt;=10,100+((200-100)/(10-2))*(V133/1000-2),IF((V133/1000)&lt;=17,200+((300-200)/(17-10))*(V133/1000-10),IF((V133/1000)&lt;=34,300+((400-300)/(34-17))*(V133/1000-17),IF((V133/1000)&lt;=57,400+((500-400)/(57-34))*(V133/1000-34),500)))))))</f>
        <v>17</v>
      </c>
      <c r="AI133" s="4" t="n">
        <f aca="false">IF(W133="","",IF(W133&lt;=40,(50/40)*W133,IF(W133&lt;=80,50+((100-50)/(80-40))*(W133-40),IF(W133&lt;=180,100+((200-100)/(180-80))*(W133-80),IF(W133&lt;=280,200+((300-200)/(280-180))*(W133-180),IF(W133&lt;=400,300+((400-300)/(400-280))*(W133-280),IF(W133&lt;=800,400+((500-400)/(800-400))*(W133-400),500)))))))</f>
        <v>6.625</v>
      </c>
      <c r="AJ133" s="4" t="n">
        <f aca="false">IF(X133="","",IF(X133&lt;=40,(50/40)*X133,IF(X133&lt;=80,50+((100-50)/(80-40))*(X133-40),IF(X133&lt;=380,100+((200-100)/(380-80))*(X133-80),IF(X133&lt;=800,200+((300-200)/(800-380))*(X133-380),IF(X133&lt;=1600,300+((400-300)/(1600-800))*(X133-800),IF(X133&lt;=2100,400+((500-400)/(2100-1600))*(X133-1600),500)))))))</f>
        <v>17.5</v>
      </c>
      <c r="AK133" s="4" t="n">
        <f aca="false">IF(Y133="","",IF(Y133&lt;=50,(50/50)*Y133,IF(Y133&lt;=100,50+((100-50)/(100-50))*(Y133-50),IF(Y133&lt;=168,100+((200-100)/(168-100))*(Y133-100),IF(Y133&lt;=208,200+((300-200)/(208-168))*(Y133-168),IF(Y133&lt;=748,300+((400-300)/(748-208))*(Y133-208),IF(Y133&lt;=1000,400+((500-400)/(1000-748))*(Y133-748),500)))))))</f>
        <v>167.647058823529</v>
      </c>
      <c r="AL133" s="4" t="n">
        <f aca="false">ROUND(MAX(AF133,AG133,AH133,AI133,AJ133,AK133),0)</f>
        <v>168</v>
      </c>
      <c r="AM133" s="4" t="str">
        <f aca="false">IF(AL133="","",IF(AL133&lt;=50,"Good",IF(AL133&lt;=100,"Satisfactory",IF(AL133&lt;=200,"Moderate",IF(AL133&lt;=300,"Poor",IF(AL133&lt;=400,"Very Poor","Severe"))))))</f>
        <v>Moderate</v>
      </c>
    </row>
    <row r="134" customFormat="false" ht="15.75" hidden="false" customHeight="false" outlineLevel="0" collapsed="false">
      <c r="A134" s="1" t="s">
        <v>39</v>
      </c>
      <c r="B134" s="1" t="s">
        <v>40</v>
      </c>
      <c r="C134" s="1" t="n">
        <v>28.4595</v>
      </c>
      <c r="D134" s="1" t="n">
        <v>77.0266</v>
      </c>
      <c r="E134" s="5" t="n">
        <v>45906</v>
      </c>
      <c r="F134" s="6" t="s">
        <v>63</v>
      </c>
      <c r="G134" s="1" t="n">
        <v>9</v>
      </c>
      <c r="H134" s="7" t="s">
        <v>86</v>
      </c>
      <c r="I134" s="6" t="s">
        <v>46</v>
      </c>
      <c r="J134" s="7" t="s">
        <v>44</v>
      </c>
      <c r="K134" s="7" t="s">
        <v>60</v>
      </c>
      <c r="L134" s="1" t="n">
        <v>70</v>
      </c>
      <c r="M134" s="1" t="n">
        <v>25.1</v>
      </c>
      <c r="N134" s="1" t="n">
        <v>41</v>
      </c>
      <c r="O134" s="1" t="n">
        <v>0</v>
      </c>
      <c r="P134" s="6" t="s">
        <v>43</v>
      </c>
      <c r="Q134" s="6" t="s">
        <v>43</v>
      </c>
      <c r="R134" s="1" t="n">
        <v>1005</v>
      </c>
      <c r="S134" s="1" t="n">
        <v>100</v>
      </c>
      <c r="T134" s="1" t="n">
        <v>27.9</v>
      </c>
      <c r="U134" s="1" t="n">
        <v>29</v>
      </c>
      <c r="V134" s="1" t="n">
        <v>303</v>
      </c>
      <c r="W134" s="1" t="n">
        <v>3.7</v>
      </c>
      <c r="X134" s="1" t="n">
        <v>13.7</v>
      </c>
      <c r="Y134" s="1" t="n">
        <v>159</v>
      </c>
      <c r="Z134" s="1" t="n">
        <v>2</v>
      </c>
      <c r="AA134" s="1" t="n">
        <v>85</v>
      </c>
      <c r="AB134" s="7" t="s">
        <v>47</v>
      </c>
      <c r="AC134" s="7" t="s">
        <v>50</v>
      </c>
      <c r="AD134" s="6" t="s">
        <v>43</v>
      </c>
      <c r="AE134" s="6" t="s">
        <v>43</v>
      </c>
      <c r="AF134" s="4" t="n">
        <f aca="false">IF(T134="","",IF(T134&lt;=30,(50/30)*T134,IF(T134&lt;=60,50+((100-50)/(60-30))*(T134-30),IF(T134&lt;=90,100+((200-100)/(90-60))*(T134-60),IF(T134&lt;=120,200+((300-200)/(120-90))*(T134-90),IF(T134&lt;=250,300+((400-300)/(250-120))*(T134-120),IF(T134&lt;=380,400+((500-400)/(380-250))*(T134-250),500)))))))</f>
        <v>46.5</v>
      </c>
      <c r="AG134" s="4" t="n">
        <f aca="false">IF(U134="","",IF(U134&lt;=50,(50/50)*U134,IF(U134&lt;=100,50+((100-50)/(100-50))*(U134-50),IF(U134&lt;=250,100+((200-100)/(250-100))*(U134-100),IF(U134&lt;=350,200+((300-200)/(350-250))*(U134-250),IF(U134&lt;=430,300+((400-300)/(430-350))*(U134-350),IF(U134&lt;=600,400+((500-400)/(600-430))*(U134-430),500)))))))</f>
        <v>29</v>
      </c>
      <c r="AH134" s="4" t="n">
        <f aca="false">IF(V134="","",IF((V134/1000)&lt;=1,(50/1)*(V134/1000),IF((V134/1000)&lt;=2,50+((100-50)/(2-1))*(V134/1000-1),IF((V134/1000)&lt;=10,100+((200-100)/(10-2))*(V134/1000-2),IF((V134/1000)&lt;=17,200+((300-200)/(17-10))*(V134/1000-10),IF((V134/1000)&lt;=34,300+((400-300)/(34-17))*(V134/1000-17),IF((V134/1000)&lt;=57,400+((500-400)/(57-34))*(V134/1000-34),500)))))))</f>
        <v>15.15</v>
      </c>
      <c r="AI134" s="4" t="n">
        <f aca="false">IF(W134="","",IF(W134&lt;=40,(50/40)*W134,IF(W134&lt;=80,50+((100-50)/(80-40))*(W134-40),IF(W134&lt;=180,100+((200-100)/(180-80))*(W134-80),IF(W134&lt;=280,200+((300-200)/(280-180))*(W134-180),IF(W134&lt;=400,300+((400-300)/(400-280))*(W134-280),IF(W134&lt;=800,400+((500-400)/(800-400))*(W134-400),500)))))))</f>
        <v>4.625</v>
      </c>
      <c r="AJ134" s="4" t="n">
        <f aca="false">IF(X134="","",IF(X134&lt;=40,(50/40)*X134,IF(X134&lt;=80,50+((100-50)/(80-40))*(X134-40),IF(X134&lt;=380,100+((200-100)/(380-80))*(X134-80),IF(X134&lt;=800,200+((300-200)/(800-380))*(X134-380),IF(X134&lt;=1600,300+((400-300)/(1600-800))*(X134-800),IF(X134&lt;=2100,400+((500-400)/(2100-1600))*(X134-1600),500)))))))</f>
        <v>17.125</v>
      </c>
      <c r="AK134" s="4" t="n">
        <f aca="false">IF(Y134="","",IF(Y134&lt;=50,(50/50)*Y134,IF(Y134&lt;=100,50+((100-50)/(100-50))*(Y134-50),IF(Y134&lt;=168,100+((200-100)/(168-100))*(Y134-100),IF(Y134&lt;=208,200+((300-200)/(208-168))*(Y134-168),IF(Y134&lt;=748,300+((400-300)/(748-208))*(Y134-208),IF(Y134&lt;=1000,400+((500-400)/(1000-748))*(Y134-748),500)))))))</f>
        <v>186.764705882353</v>
      </c>
      <c r="AL134" s="4" t="n">
        <f aca="false">ROUND(MAX(AF134,AG134,AH134,AI134,AJ134,AK134),0)</f>
        <v>187</v>
      </c>
      <c r="AM134" s="4" t="str">
        <f aca="false">IF(AL134="","",IF(AL134&lt;=50,"Good",IF(AL134&lt;=100,"Satisfactory",IF(AL134&lt;=200,"Moderate",IF(AL134&lt;=300,"Poor",IF(AL134&lt;=400,"Very Poor","Severe"))))))</f>
        <v>Moderate</v>
      </c>
    </row>
    <row r="135" customFormat="false" ht="15.75" hidden="false" customHeight="false" outlineLevel="0" collapsed="false">
      <c r="A135" s="1" t="s">
        <v>39</v>
      </c>
      <c r="B135" s="1" t="s">
        <v>40</v>
      </c>
      <c r="C135" s="1" t="n">
        <v>28.4595</v>
      </c>
      <c r="D135" s="1" t="n">
        <v>77.0266</v>
      </c>
      <c r="E135" s="5" t="n">
        <v>45906</v>
      </c>
      <c r="F135" s="6" t="s">
        <v>64</v>
      </c>
      <c r="G135" s="1" t="n">
        <v>9</v>
      </c>
      <c r="H135" s="7" t="s">
        <v>86</v>
      </c>
      <c r="I135" s="6" t="s">
        <v>46</v>
      </c>
      <c r="J135" s="7" t="s">
        <v>44</v>
      </c>
      <c r="K135" s="7" t="s">
        <v>65</v>
      </c>
      <c r="L135" s="1" t="n">
        <v>68</v>
      </c>
      <c r="M135" s="1" t="n">
        <v>24.9</v>
      </c>
      <c r="N135" s="1" t="n">
        <v>41.8</v>
      </c>
      <c r="O135" s="1" t="n">
        <v>0.1</v>
      </c>
      <c r="P135" s="6" t="s">
        <v>46</v>
      </c>
      <c r="Q135" s="6" t="s">
        <v>43</v>
      </c>
      <c r="R135" s="1" t="n">
        <v>1003.6</v>
      </c>
      <c r="S135" s="1" t="n">
        <v>100</v>
      </c>
      <c r="T135" s="1" t="n">
        <v>29.6</v>
      </c>
      <c r="U135" s="1" t="n">
        <v>30.7</v>
      </c>
      <c r="V135" s="1" t="n">
        <v>291</v>
      </c>
      <c r="W135" s="1" t="n">
        <v>3.4</v>
      </c>
      <c r="X135" s="1" t="n">
        <v>13.7</v>
      </c>
      <c r="Y135" s="1" t="n">
        <v>167</v>
      </c>
      <c r="Z135" s="1" t="n">
        <v>2</v>
      </c>
      <c r="AA135" s="1" t="n">
        <v>85</v>
      </c>
      <c r="AB135" s="7" t="s">
        <v>47</v>
      </c>
      <c r="AC135" s="7" t="s">
        <v>50</v>
      </c>
      <c r="AD135" s="6" t="s">
        <v>43</v>
      </c>
      <c r="AE135" s="6" t="s">
        <v>43</v>
      </c>
      <c r="AF135" s="4" t="n">
        <f aca="false">IF(T135="","",IF(T135&lt;=30,(50/30)*T135,IF(T135&lt;=60,50+((100-50)/(60-30))*(T135-30),IF(T135&lt;=90,100+((200-100)/(90-60))*(T135-60),IF(T135&lt;=120,200+((300-200)/(120-90))*(T135-90),IF(T135&lt;=250,300+((400-300)/(250-120))*(T135-120),IF(T135&lt;=380,400+((500-400)/(380-250))*(T135-250),500)))))))</f>
        <v>49.3333333333333</v>
      </c>
      <c r="AG135" s="4" t="n">
        <f aca="false">IF(U135="","",IF(U135&lt;=50,(50/50)*U135,IF(U135&lt;=100,50+((100-50)/(100-50))*(U135-50),IF(U135&lt;=250,100+((200-100)/(250-100))*(U135-100),IF(U135&lt;=350,200+((300-200)/(350-250))*(U135-250),IF(U135&lt;=430,300+((400-300)/(430-350))*(U135-350),IF(U135&lt;=600,400+((500-400)/(600-430))*(U135-430),500)))))))</f>
        <v>30.7</v>
      </c>
      <c r="AH135" s="4" t="n">
        <f aca="false">IF(V135="","",IF((V135/1000)&lt;=1,(50/1)*(V135/1000),IF((V135/1000)&lt;=2,50+((100-50)/(2-1))*(V135/1000-1),IF((V135/1000)&lt;=10,100+((200-100)/(10-2))*(V135/1000-2),IF((V135/1000)&lt;=17,200+((300-200)/(17-10))*(V135/1000-10),IF((V135/1000)&lt;=34,300+((400-300)/(34-17))*(V135/1000-17),IF((V135/1000)&lt;=57,400+((500-400)/(57-34))*(V135/1000-34),500)))))))</f>
        <v>14.55</v>
      </c>
      <c r="AI135" s="4" t="n">
        <f aca="false">IF(W135="","",IF(W135&lt;=40,(50/40)*W135,IF(W135&lt;=80,50+((100-50)/(80-40))*(W135-40),IF(W135&lt;=180,100+((200-100)/(180-80))*(W135-80),IF(W135&lt;=280,200+((300-200)/(280-180))*(W135-180),IF(W135&lt;=400,300+((400-300)/(400-280))*(W135-280),IF(W135&lt;=800,400+((500-400)/(800-400))*(W135-400),500)))))))</f>
        <v>4.25</v>
      </c>
      <c r="AJ135" s="4" t="n">
        <f aca="false">IF(X135="","",IF(X135&lt;=40,(50/40)*X135,IF(X135&lt;=80,50+((100-50)/(80-40))*(X135-40),IF(X135&lt;=380,100+((200-100)/(380-80))*(X135-80),IF(X135&lt;=800,200+((300-200)/(800-380))*(X135-380),IF(X135&lt;=1600,300+((400-300)/(1600-800))*(X135-800),IF(X135&lt;=2100,400+((500-400)/(2100-1600))*(X135-1600),500)))))))</f>
        <v>17.125</v>
      </c>
      <c r="AK135" s="4" t="n">
        <f aca="false">IF(Y135="","",IF(Y135&lt;=50,(50/50)*Y135,IF(Y135&lt;=100,50+((100-50)/(100-50))*(Y135-50),IF(Y135&lt;=168,100+((200-100)/(168-100))*(Y135-100),IF(Y135&lt;=208,200+((300-200)/(208-168))*(Y135-168),IF(Y135&lt;=748,300+((400-300)/(748-208))*(Y135-208),IF(Y135&lt;=1000,400+((500-400)/(1000-748))*(Y135-748),500)))))))</f>
        <v>198.529411764706</v>
      </c>
      <c r="AL135" s="4" t="n">
        <f aca="false">ROUND(MAX(AF135,AG135,AH135,AI135,AJ135,AK135),0)</f>
        <v>199</v>
      </c>
      <c r="AM135" s="4" t="str">
        <f aca="false">IF(AL135="","",IF(AL135&lt;=50,"Good",IF(AL135&lt;=100,"Satisfactory",IF(AL135&lt;=200,"Moderate",IF(AL135&lt;=300,"Poor",IF(AL135&lt;=400,"Very Poor","Severe"))))))</f>
        <v>Moderate</v>
      </c>
    </row>
    <row r="136" customFormat="false" ht="15.75" hidden="false" customHeight="false" outlineLevel="0" collapsed="false">
      <c r="A136" s="1" t="s">
        <v>39</v>
      </c>
      <c r="B136" s="1" t="s">
        <v>40</v>
      </c>
      <c r="C136" s="1" t="n">
        <v>28.4595</v>
      </c>
      <c r="D136" s="1" t="n">
        <v>77.0266</v>
      </c>
      <c r="E136" s="5" t="n">
        <v>45906</v>
      </c>
      <c r="F136" s="6" t="s">
        <v>66</v>
      </c>
      <c r="G136" s="1" t="n">
        <v>9</v>
      </c>
      <c r="H136" s="7" t="s">
        <v>86</v>
      </c>
      <c r="I136" s="6" t="s">
        <v>46</v>
      </c>
      <c r="J136" s="7" t="s">
        <v>44</v>
      </c>
      <c r="K136" s="7" t="s">
        <v>65</v>
      </c>
      <c r="L136" s="1" t="n">
        <v>68</v>
      </c>
      <c r="M136" s="1" t="n">
        <v>24.7</v>
      </c>
      <c r="N136" s="1" t="n">
        <v>36.4</v>
      </c>
      <c r="O136" s="1" t="n">
        <v>0.2</v>
      </c>
      <c r="P136" s="6" t="s">
        <v>46</v>
      </c>
      <c r="Q136" s="6" t="s">
        <v>43</v>
      </c>
      <c r="R136" s="1" t="n">
        <v>1002.2</v>
      </c>
      <c r="S136" s="1" t="n">
        <v>98</v>
      </c>
      <c r="T136" s="1" t="n">
        <v>30.9</v>
      </c>
      <c r="U136" s="1" t="n">
        <v>31.9</v>
      </c>
      <c r="V136" s="1" t="n">
        <v>320</v>
      </c>
      <c r="W136" s="1" t="n">
        <v>5</v>
      </c>
      <c r="X136" s="1" t="n">
        <v>13.6</v>
      </c>
      <c r="Y136" s="1" t="n">
        <v>166</v>
      </c>
      <c r="Z136" s="1" t="n">
        <v>2</v>
      </c>
      <c r="AA136" s="1" t="n">
        <v>85</v>
      </c>
      <c r="AB136" s="7" t="s">
        <v>47</v>
      </c>
      <c r="AC136" s="7" t="s">
        <v>48</v>
      </c>
      <c r="AD136" s="6" t="s">
        <v>43</v>
      </c>
      <c r="AE136" s="6" t="s">
        <v>43</v>
      </c>
      <c r="AF136" s="4" t="n">
        <f aca="false">IF(T136="","",IF(T136&lt;=30,(50/30)*T136,IF(T136&lt;=60,50+((100-50)/(60-30))*(T136-30),IF(T136&lt;=90,100+((200-100)/(90-60))*(T136-60),IF(T136&lt;=120,200+((300-200)/(120-90))*(T136-90),IF(T136&lt;=250,300+((400-300)/(250-120))*(T136-120),IF(T136&lt;=380,400+((500-400)/(380-250))*(T136-250),500)))))))</f>
        <v>51.5</v>
      </c>
      <c r="AG136" s="4" t="n">
        <f aca="false">IF(U136="","",IF(U136&lt;=50,(50/50)*U136,IF(U136&lt;=100,50+((100-50)/(100-50))*(U136-50),IF(U136&lt;=250,100+((200-100)/(250-100))*(U136-100),IF(U136&lt;=350,200+((300-200)/(350-250))*(U136-250),IF(U136&lt;=430,300+((400-300)/(430-350))*(U136-350),IF(U136&lt;=600,400+((500-400)/(600-430))*(U136-430),500)))))))</f>
        <v>31.9</v>
      </c>
      <c r="AH136" s="4" t="n">
        <f aca="false">IF(V136="","",IF((V136/1000)&lt;=1,(50/1)*(V136/1000),IF((V136/1000)&lt;=2,50+((100-50)/(2-1))*(V136/1000-1),IF((V136/1000)&lt;=10,100+((200-100)/(10-2))*(V136/1000-2),IF((V136/1000)&lt;=17,200+((300-200)/(17-10))*(V136/1000-10),IF((V136/1000)&lt;=34,300+((400-300)/(34-17))*(V136/1000-17),IF((V136/1000)&lt;=57,400+((500-400)/(57-34))*(V136/1000-34),500)))))))</f>
        <v>16</v>
      </c>
      <c r="AI136" s="4" t="n">
        <f aca="false">IF(W136="","",IF(W136&lt;=40,(50/40)*W136,IF(W136&lt;=80,50+((100-50)/(80-40))*(W136-40),IF(W136&lt;=180,100+((200-100)/(180-80))*(W136-80),IF(W136&lt;=280,200+((300-200)/(280-180))*(W136-180),IF(W136&lt;=400,300+((400-300)/(400-280))*(W136-280),IF(W136&lt;=800,400+((500-400)/(800-400))*(W136-400),500)))))))</f>
        <v>6.25</v>
      </c>
      <c r="AJ136" s="4" t="n">
        <f aca="false">IF(X136="","",IF(X136&lt;=40,(50/40)*X136,IF(X136&lt;=80,50+((100-50)/(80-40))*(X136-40),IF(X136&lt;=380,100+((200-100)/(380-80))*(X136-80),IF(X136&lt;=800,200+((300-200)/(800-380))*(X136-380),IF(X136&lt;=1600,300+((400-300)/(1600-800))*(X136-800),IF(X136&lt;=2100,400+((500-400)/(2100-1600))*(X136-1600),500)))))))</f>
        <v>17</v>
      </c>
      <c r="AK136" s="4" t="n">
        <f aca="false">IF(Y136="","",IF(Y136&lt;=50,(50/50)*Y136,IF(Y136&lt;=100,50+((100-50)/(100-50))*(Y136-50),IF(Y136&lt;=168,100+((200-100)/(168-100))*(Y136-100),IF(Y136&lt;=208,200+((300-200)/(208-168))*(Y136-168),IF(Y136&lt;=748,300+((400-300)/(748-208))*(Y136-208),IF(Y136&lt;=1000,400+((500-400)/(1000-748))*(Y136-748),500)))))))</f>
        <v>197.058823529412</v>
      </c>
      <c r="AL136" s="4" t="n">
        <f aca="false">ROUND(MAX(AF136,AG136,AH136,AI136,AJ136,AK136),0)</f>
        <v>197</v>
      </c>
      <c r="AM136" s="4" t="str">
        <f aca="false">IF(AL136="","",IF(AL136&lt;=50,"Good",IF(AL136&lt;=100,"Satisfactory",IF(AL136&lt;=200,"Moderate",IF(AL136&lt;=300,"Poor",IF(AL136&lt;=400,"Very Poor","Severe"))))))</f>
        <v>Moderate</v>
      </c>
    </row>
    <row r="137" customFormat="false" ht="15.75" hidden="false" customHeight="false" outlineLevel="0" collapsed="false">
      <c r="A137" s="1" t="s">
        <v>39</v>
      </c>
      <c r="B137" s="1" t="s">
        <v>40</v>
      </c>
      <c r="C137" s="1" t="n">
        <v>28.4595</v>
      </c>
      <c r="D137" s="1" t="n">
        <v>77.0266</v>
      </c>
      <c r="E137" s="5" t="n">
        <v>45906</v>
      </c>
      <c r="F137" s="6" t="s">
        <v>67</v>
      </c>
      <c r="G137" s="1" t="n">
        <v>9</v>
      </c>
      <c r="H137" s="7" t="s">
        <v>86</v>
      </c>
      <c r="I137" s="6" t="s">
        <v>46</v>
      </c>
      <c r="J137" s="7" t="s">
        <v>44</v>
      </c>
      <c r="K137" s="7" t="s">
        <v>65</v>
      </c>
      <c r="L137" s="1" t="n">
        <v>70</v>
      </c>
      <c r="M137" s="1" t="n">
        <v>24.6</v>
      </c>
      <c r="N137" s="1" t="n">
        <v>36.7</v>
      </c>
      <c r="O137" s="1" t="n">
        <v>0.2</v>
      </c>
      <c r="P137" s="6" t="s">
        <v>46</v>
      </c>
      <c r="Q137" s="6" t="s">
        <v>43</v>
      </c>
      <c r="R137" s="1" t="n">
        <v>1001.3</v>
      </c>
      <c r="S137" s="1" t="n">
        <v>99</v>
      </c>
      <c r="T137" s="1" t="n">
        <v>32.9</v>
      </c>
      <c r="U137" s="1" t="n">
        <v>34</v>
      </c>
      <c r="V137" s="1" t="n">
        <v>407</v>
      </c>
      <c r="W137" s="1" t="n">
        <v>9.4</v>
      </c>
      <c r="X137" s="1" t="n">
        <v>13.1</v>
      </c>
      <c r="Y137" s="1" t="n">
        <v>151</v>
      </c>
      <c r="Z137" s="1" t="n">
        <v>2</v>
      </c>
      <c r="AA137" s="1" t="n">
        <v>85</v>
      </c>
      <c r="AB137" s="7" t="s">
        <v>47</v>
      </c>
      <c r="AC137" s="7" t="s">
        <v>48</v>
      </c>
      <c r="AD137" s="6" t="s">
        <v>43</v>
      </c>
      <c r="AE137" s="6" t="s">
        <v>43</v>
      </c>
      <c r="AF137" s="4" t="n">
        <f aca="false">IF(T137="","",IF(T137&lt;=30,(50/30)*T137,IF(T137&lt;=60,50+((100-50)/(60-30))*(T137-30),IF(T137&lt;=90,100+((200-100)/(90-60))*(T137-60),IF(T137&lt;=120,200+((300-200)/(120-90))*(T137-90),IF(T137&lt;=250,300+((400-300)/(250-120))*(T137-120),IF(T137&lt;=380,400+((500-400)/(380-250))*(T137-250),500)))))))</f>
        <v>54.8333333333333</v>
      </c>
      <c r="AG137" s="4" t="n">
        <f aca="false">IF(U137="","",IF(U137&lt;=50,(50/50)*U137,IF(U137&lt;=100,50+((100-50)/(100-50))*(U137-50),IF(U137&lt;=250,100+((200-100)/(250-100))*(U137-100),IF(U137&lt;=350,200+((300-200)/(350-250))*(U137-250),IF(U137&lt;=430,300+((400-300)/(430-350))*(U137-350),IF(U137&lt;=600,400+((500-400)/(600-430))*(U137-430),500)))))))</f>
        <v>34</v>
      </c>
      <c r="AH137" s="4" t="n">
        <f aca="false">IF(V137="","",IF((V137/1000)&lt;=1,(50/1)*(V137/1000),IF((V137/1000)&lt;=2,50+((100-50)/(2-1))*(V137/1000-1),IF((V137/1000)&lt;=10,100+((200-100)/(10-2))*(V137/1000-2),IF((V137/1000)&lt;=17,200+((300-200)/(17-10))*(V137/1000-10),IF((V137/1000)&lt;=34,300+((400-300)/(34-17))*(V137/1000-17),IF((V137/1000)&lt;=57,400+((500-400)/(57-34))*(V137/1000-34),500)))))))</f>
        <v>20.35</v>
      </c>
      <c r="AI137" s="4" t="n">
        <f aca="false">IF(W137="","",IF(W137&lt;=40,(50/40)*W137,IF(W137&lt;=80,50+((100-50)/(80-40))*(W137-40),IF(W137&lt;=180,100+((200-100)/(180-80))*(W137-80),IF(W137&lt;=280,200+((300-200)/(280-180))*(W137-180),IF(W137&lt;=400,300+((400-300)/(400-280))*(W137-280),IF(W137&lt;=800,400+((500-400)/(800-400))*(W137-400),500)))))))</f>
        <v>11.75</v>
      </c>
      <c r="AJ137" s="4" t="n">
        <f aca="false">IF(X137="","",IF(X137&lt;=40,(50/40)*X137,IF(X137&lt;=80,50+((100-50)/(80-40))*(X137-40),IF(X137&lt;=380,100+((200-100)/(380-80))*(X137-80),IF(X137&lt;=800,200+((300-200)/(800-380))*(X137-380),IF(X137&lt;=1600,300+((400-300)/(1600-800))*(X137-800),IF(X137&lt;=2100,400+((500-400)/(2100-1600))*(X137-1600),500)))))))</f>
        <v>16.375</v>
      </c>
      <c r="AK137" s="4" t="n">
        <f aca="false">IF(Y137="","",IF(Y137&lt;=50,(50/50)*Y137,IF(Y137&lt;=100,50+((100-50)/(100-50))*(Y137-50),IF(Y137&lt;=168,100+((200-100)/(168-100))*(Y137-100),IF(Y137&lt;=208,200+((300-200)/(208-168))*(Y137-168),IF(Y137&lt;=748,300+((400-300)/(748-208))*(Y137-208),IF(Y137&lt;=1000,400+((500-400)/(1000-748))*(Y137-748),500)))))))</f>
        <v>175</v>
      </c>
      <c r="AL137" s="4" t="n">
        <f aca="false">ROUND(MAX(AF137,AG137,AH137,AI137,AJ137,AK137),0)</f>
        <v>175</v>
      </c>
      <c r="AM137" s="4" t="str">
        <f aca="false">IF(AL137="","",IF(AL137&lt;=50,"Good",IF(AL137&lt;=100,"Satisfactory",IF(AL137&lt;=200,"Moderate",IF(AL137&lt;=300,"Poor",IF(AL137&lt;=400,"Very Poor","Severe"))))))</f>
        <v>Moderate</v>
      </c>
    </row>
    <row r="138" customFormat="false" ht="15.75" hidden="false" customHeight="false" outlineLevel="0" collapsed="false">
      <c r="A138" s="1" t="s">
        <v>39</v>
      </c>
      <c r="B138" s="1" t="s">
        <v>40</v>
      </c>
      <c r="C138" s="1" t="n">
        <v>28.4595</v>
      </c>
      <c r="D138" s="1" t="n">
        <v>77.0266</v>
      </c>
      <c r="E138" s="5" t="n">
        <v>45906</v>
      </c>
      <c r="F138" s="6" t="s">
        <v>68</v>
      </c>
      <c r="G138" s="1" t="n">
        <v>9</v>
      </c>
      <c r="H138" s="7" t="s">
        <v>86</v>
      </c>
      <c r="I138" s="6" t="s">
        <v>46</v>
      </c>
      <c r="J138" s="7" t="s">
        <v>44</v>
      </c>
      <c r="K138" s="7" t="s">
        <v>65</v>
      </c>
      <c r="L138" s="1" t="n">
        <v>71</v>
      </c>
      <c r="M138" s="1" t="n">
        <v>24.6</v>
      </c>
      <c r="N138" s="1" t="n">
        <v>35.6</v>
      </c>
      <c r="O138" s="1" t="n">
        <v>0.2</v>
      </c>
      <c r="P138" s="6" t="s">
        <v>46</v>
      </c>
      <c r="Q138" s="6" t="s">
        <v>43</v>
      </c>
      <c r="R138" s="1" t="n">
        <v>1001.2</v>
      </c>
      <c r="S138" s="1" t="n">
        <v>100</v>
      </c>
      <c r="T138" s="1" t="n">
        <v>33.4</v>
      </c>
      <c r="U138" s="1" t="n">
        <v>34.5</v>
      </c>
      <c r="V138" s="1" t="n">
        <v>534</v>
      </c>
      <c r="W138" s="1" t="n">
        <v>15.6</v>
      </c>
      <c r="X138" s="1" t="n">
        <v>12.5</v>
      </c>
      <c r="Y138" s="1" t="n">
        <v>127</v>
      </c>
      <c r="Z138" s="1" t="n">
        <v>1</v>
      </c>
      <c r="AA138" s="1" t="n">
        <v>98</v>
      </c>
      <c r="AB138" s="7" t="s">
        <v>47</v>
      </c>
      <c r="AC138" s="7" t="s">
        <v>48</v>
      </c>
      <c r="AD138" s="6" t="s">
        <v>43</v>
      </c>
      <c r="AE138" s="6" t="s">
        <v>43</v>
      </c>
      <c r="AF138" s="4" t="n">
        <f aca="false">IF(T138="","",IF(T138&lt;=30,(50/30)*T138,IF(T138&lt;=60,50+((100-50)/(60-30))*(T138-30),IF(T138&lt;=90,100+((200-100)/(90-60))*(T138-60),IF(T138&lt;=120,200+((300-200)/(120-90))*(T138-90),IF(T138&lt;=250,300+((400-300)/(250-120))*(T138-120),IF(T138&lt;=380,400+((500-400)/(380-250))*(T138-250),500)))))))</f>
        <v>55.6666666666667</v>
      </c>
      <c r="AG138" s="4" t="n">
        <f aca="false">IF(U138="","",IF(U138&lt;=50,(50/50)*U138,IF(U138&lt;=100,50+((100-50)/(100-50))*(U138-50),IF(U138&lt;=250,100+((200-100)/(250-100))*(U138-100),IF(U138&lt;=350,200+((300-200)/(350-250))*(U138-250),IF(U138&lt;=430,300+((400-300)/(430-350))*(U138-350),IF(U138&lt;=600,400+((500-400)/(600-430))*(U138-430),500)))))))</f>
        <v>34.5</v>
      </c>
      <c r="AH138" s="4" t="n">
        <f aca="false">IF(V138="","",IF((V138/1000)&lt;=1,(50/1)*(V138/1000),IF((V138/1000)&lt;=2,50+((100-50)/(2-1))*(V138/1000-1),IF((V138/1000)&lt;=10,100+((200-100)/(10-2))*(V138/1000-2),IF((V138/1000)&lt;=17,200+((300-200)/(17-10))*(V138/1000-10),IF((V138/1000)&lt;=34,300+((400-300)/(34-17))*(V138/1000-17),IF((V138/1000)&lt;=57,400+((500-400)/(57-34))*(V138/1000-34),500)))))))</f>
        <v>26.7</v>
      </c>
      <c r="AI138" s="4" t="n">
        <f aca="false">IF(W138="","",IF(W138&lt;=40,(50/40)*W138,IF(W138&lt;=80,50+((100-50)/(80-40))*(W138-40),IF(W138&lt;=180,100+((200-100)/(180-80))*(W138-80),IF(W138&lt;=280,200+((300-200)/(280-180))*(W138-180),IF(W138&lt;=400,300+((400-300)/(400-280))*(W138-280),IF(W138&lt;=800,400+((500-400)/(800-400))*(W138-400),500)))))))</f>
        <v>19.5</v>
      </c>
      <c r="AJ138" s="4" t="n">
        <f aca="false">IF(X138="","",IF(X138&lt;=40,(50/40)*X138,IF(X138&lt;=80,50+((100-50)/(80-40))*(X138-40),IF(X138&lt;=380,100+((200-100)/(380-80))*(X138-80),IF(X138&lt;=800,200+((300-200)/(800-380))*(X138-380),IF(X138&lt;=1600,300+((400-300)/(1600-800))*(X138-800),IF(X138&lt;=2100,400+((500-400)/(2100-1600))*(X138-1600),500)))))))</f>
        <v>15.625</v>
      </c>
      <c r="AK138" s="4" t="n">
        <f aca="false">IF(Y138="","",IF(Y138&lt;=50,(50/50)*Y138,IF(Y138&lt;=100,50+((100-50)/(100-50))*(Y138-50),IF(Y138&lt;=168,100+((200-100)/(168-100))*(Y138-100),IF(Y138&lt;=208,200+((300-200)/(208-168))*(Y138-168),IF(Y138&lt;=748,300+((400-300)/(748-208))*(Y138-208),IF(Y138&lt;=1000,400+((500-400)/(1000-748))*(Y138-748),500)))))))</f>
        <v>139.705882352941</v>
      </c>
      <c r="AL138" s="4" t="n">
        <f aca="false">ROUND(MAX(AF138,AG138,AH138,AI138,AJ138,AK138),0)</f>
        <v>140</v>
      </c>
      <c r="AM138" s="4" t="str">
        <f aca="false">IF(AL138="","",IF(AL138&lt;=50,"Good",IF(AL138&lt;=100,"Satisfactory",IF(AL138&lt;=200,"Moderate",IF(AL138&lt;=300,"Poor",IF(AL138&lt;=400,"Very Poor","Severe"))))))</f>
        <v>Moderate</v>
      </c>
    </row>
    <row r="139" customFormat="false" ht="15.75" hidden="false" customHeight="false" outlineLevel="0" collapsed="false">
      <c r="A139" s="1" t="s">
        <v>39</v>
      </c>
      <c r="B139" s="1" t="s">
        <v>40</v>
      </c>
      <c r="C139" s="1" t="n">
        <v>28.4595</v>
      </c>
      <c r="D139" s="1" t="n">
        <v>77.0266</v>
      </c>
      <c r="E139" s="5" t="n">
        <v>45906</v>
      </c>
      <c r="F139" s="6" t="s">
        <v>69</v>
      </c>
      <c r="G139" s="1" t="n">
        <v>9</v>
      </c>
      <c r="H139" s="7" t="s">
        <v>86</v>
      </c>
      <c r="I139" s="6" t="s">
        <v>46</v>
      </c>
      <c r="J139" s="7" t="s">
        <v>44</v>
      </c>
      <c r="K139" s="7" t="s">
        <v>65</v>
      </c>
      <c r="L139" s="1" t="n">
        <v>78</v>
      </c>
      <c r="M139" s="1" t="n">
        <v>25.6</v>
      </c>
      <c r="N139" s="1" t="n">
        <v>31</v>
      </c>
      <c r="O139" s="1" t="n">
        <v>0.2</v>
      </c>
      <c r="P139" s="6" t="s">
        <v>46</v>
      </c>
      <c r="Q139" s="6" t="s">
        <v>43</v>
      </c>
      <c r="R139" s="1" t="n">
        <v>1001.7</v>
      </c>
      <c r="S139" s="1" t="n">
        <v>99</v>
      </c>
      <c r="T139" s="1" t="n">
        <v>66.1</v>
      </c>
      <c r="U139" s="1" t="n">
        <v>375.3</v>
      </c>
      <c r="V139" s="1" t="n">
        <v>658</v>
      </c>
      <c r="W139" s="1" t="n">
        <v>18.9</v>
      </c>
      <c r="X139" s="1" t="n">
        <v>12.7</v>
      </c>
      <c r="Y139" s="1" t="n">
        <v>114</v>
      </c>
      <c r="Z139" s="1" t="n">
        <v>607</v>
      </c>
      <c r="AA139" s="1" t="n">
        <v>108</v>
      </c>
      <c r="AB139" s="7" t="s">
        <v>81</v>
      </c>
      <c r="AC139" s="7" t="s">
        <v>82</v>
      </c>
      <c r="AD139" s="7" t="s">
        <v>83</v>
      </c>
      <c r="AE139" s="7" t="s">
        <v>84</v>
      </c>
      <c r="AF139" s="4" t="n">
        <f aca="false">IF(T139="","",IF(T139&lt;=30,(50/30)*T139,IF(T139&lt;=60,50+((100-50)/(60-30))*(T139-30),IF(T139&lt;=90,100+((200-100)/(90-60))*(T139-60),IF(T139&lt;=120,200+((300-200)/(120-90))*(T139-90),IF(T139&lt;=250,300+((400-300)/(250-120))*(T139-120),IF(T139&lt;=380,400+((500-400)/(380-250))*(T139-250),500)))))))</f>
        <v>120.333333333333</v>
      </c>
      <c r="AG139" s="4" t="n">
        <f aca="false">IF(U139="","",IF(U139&lt;=50,(50/50)*U139,IF(U139&lt;=100,50+((100-50)/(100-50))*(U139-50),IF(U139&lt;=250,100+((200-100)/(250-100))*(U139-100),IF(U139&lt;=350,200+((300-200)/(350-250))*(U139-250),IF(U139&lt;=430,300+((400-300)/(430-350))*(U139-350),IF(U139&lt;=600,400+((500-400)/(600-430))*(U139-430),500)))))))</f>
        <v>331.625</v>
      </c>
      <c r="AH139" s="4" t="n">
        <f aca="false">IF(V139="","",IF((V139/1000)&lt;=1,(50/1)*(V139/1000),IF((V139/1000)&lt;=2,50+((100-50)/(2-1))*(V139/1000-1),IF((V139/1000)&lt;=10,100+((200-100)/(10-2))*(V139/1000-2),IF((V139/1000)&lt;=17,200+((300-200)/(17-10))*(V139/1000-10),IF((V139/1000)&lt;=34,300+((400-300)/(34-17))*(V139/1000-17),IF((V139/1000)&lt;=57,400+((500-400)/(57-34))*(V139/1000-34),500)))))))</f>
        <v>32.9</v>
      </c>
      <c r="AI139" s="4" t="n">
        <f aca="false">IF(W139="","",IF(W139&lt;=40,(50/40)*W139,IF(W139&lt;=80,50+((100-50)/(80-40))*(W139-40),IF(W139&lt;=180,100+((200-100)/(180-80))*(W139-80),IF(W139&lt;=280,200+((300-200)/(280-180))*(W139-180),IF(W139&lt;=400,300+((400-300)/(400-280))*(W139-280),IF(W139&lt;=800,400+((500-400)/(800-400))*(W139-400),500)))))))</f>
        <v>23.625</v>
      </c>
      <c r="AJ139" s="4" t="n">
        <f aca="false">IF(X139="","",IF(X139&lt;=40,(50/40)*X139,IF(X139&lt;=80,50+((100-50)/(80-40))*(X139-40),IF(X139&lt;=380,100+((200-100)/(380-80))*(X139-80),IF(X139&lt;=800,200+((300-200)/(800-380))*(X139-380),IF(X139&lt;=1600,300+((400-300)/(1600-800))*(X139-800),IF(X139&lt;=2100,400+((500-400)/(2100-1600))*(X139-1600),500)))))))</f>
        <v>15.875</v>
      </c>
      <c r="AK139" s="4" t="n">
        <f aca="false">IF(Y139="","",IF(Y139&lt;=50,(50/50)*Y139,IF(Y139&lt;=100,50+((100-50)/(100-50))*(Y139-50),IF(Y139&lt;=168,100+((200-100)/(168-100))*(Y139-100),IF(Y139&lt;=208,200+((300-200)/(208-168))*(Y139-168),IF(Y139&lt;=748,300+((400-300)/(748-208))*(Y139-208),IF(Y139&lt;=1000,400+((500-400)/(1000-748))*(Y139-748),500)))))))</f>
        <v>120.588235294118</v>
      </c>
      <c r="AL139" s="4" t="n">
        <f aca="false">ROUND(MAX(AF139,AG139,AH139,AI139,AJ139,AK139),0)</f>
        <v>332</v>
      </c>
      <c r="AM139" s="4" t="str">
        <f aca="false">IF(AL139="","",IF(AL139&lt;=50,"Good",IF(AL139&lt;=100,"Satisfactory",IF(AL139&lt;=200,"Moderate",IF(AL139&lt;=300,"Poor",IF(AL139&lt;=400,"Very Poor","Severe"))))))</f>
        <v>Very Poor</v>
      </c>
    </row>
    <row r="140" customFormat="false" ht="15.75" hidden="false" customHeight="false" outlineLevel="0" collapsed="false">
      <c r="A140" s="1" t="s">
        <v>39</v>
      </c>
      <c r="B140" s="1" t="s">
        <v>40</v>
      </c>
      <c r="C140" s="1" t="n">
        <v>28.4595</v>
      </c>
      <c r="D140" s="1" t="n">
        <v>77.0266</v>
      </c>
      <c r="E140" s="5" t="n">
        <v>45906</v>
      </c>
      <c r="F140" s="6" t="s">
        <v>70</v>
      </c>
      <c r="G140" s="1" t="n">
        <v>9</v>
      </c>
      <c r="H140" s="7" t="s">
        <v>86</v>
      </c>
      <c r="I140" s="6" t="s">
        <v>46</v>
      </c>
      <c r="J140" s="7" t="s">
        <v>44</v>
      </c>
      <c r="K140" s="7" t="s">
        <v>71</v>
      </c>
      <c r="L140" s="1" t="n">
        <v>82</v>
      </c>
      <c r="M140" s="1" t="n">
        <v>25.6</v>
      </c>
      <c r="N140" s="1" t="n">
        <v>22</v>
      </c>
      <c r="O140" s="1" t="n">
        <v>0</v>
      </c>
      <c r="P140" s="6" t="s">
        <v>43</v>
      </c>
      <c r="Q140" s="6" t="s">
        <v>43</v>
      </c>
      <c r="R140" s="1" t="n">
        <v>1003</v>
      </c>
      <c r="S140" s="1" t="n">
        <v>64</v>
      </c>
      <c r="T140" s="1" t="n">
        <v>58</v>
      </c>
      <c r="U140" s="1" t="n">
        <v>191.9</v>
      </c>
      <c r="V140" s="1" t="n">
        <v>791</v>
      </c>
      <c r="W140" s="1" t="n">
        <v>24.7</v>
      </c>
      <c r="X140" s="1" t="n">
        <v>14.4</v>
      </c>
      <c r="Y140" s="1" t="n">
        <v>98</v>
      </c>
      <c r="Z140" s="1" t="n">
        <v>449</v>
      </c>
      <c r="AA140" s="1" t="n">
        <v>112</v>
      </c>
      <c r="AB140" s="7" t="s">
        <v>81</v>
      </c>
      <c r="AC140" s="7" t="s">
        <v>82</v>
      </c>
      <c r="AD140" s="7" t="s">
        <v>83</v>
      </c>
      <c r="AE140" s="7" t="s">
        <v>84</v>
      </c>
      <c r="AF140" s="4" t="n">
        <f aca="false">IF(T140="","",IF(T140&lt;=30,(50/30)*T140,IF(T140&lt;=60,50+((100-50)/(60-30))*(T140-30),IF(T140&lt;=90,100+((200-100)/(90-60))*(T140-60),IF(T140&lt;=120,200+((300-200)/(120-90))*(T140-90),IF(T140&lt;=250,300+((400-300)/(250-120))*(T140-120),IF(T140&lt;=380,400+((500-400)/(380-250))*(T140-250),500)))))))</f>
        <v>96.6666666666667</v>
      </c>
      <c r="AG140" s="4" t="n">
        <f aca="false">IF(U140="","",IF(U140&lt;=50,(50/50)*U140,IF(U140&lt;=100,50+((100-50)/(100-50))*(U140-50),IF(U140&lt;=250,100+((200-100)/(250-100))*(U140-100),IF(U140&lt;=350,200+((300-200)/(350-250))*(U140-250),IF(U140&lt;=430,300+((400-300)/(430-350))*(U140-350),IF(U140&lt;=600,400+((500-400)/(600-430))*(U140-430),500)))))))</f>
        <v>161.266666666667</v>
      </c>
      <c r="AH140" s="4" t="n">
        <f aca="false">IF(V140="","",IF((V140/1000)&lt;=1,(50/1)*(V140/1000),IF((V140/1000)&lt;=2,50+((100-50)/(2-1))*(V140/1000-1),IF((V140/1000)&lt;=10,100+((200-100)/(10-2))*(V140/1000-2),IF((V140/1000)&lt;=17,200+((300-200)/(17-10))*(V140/1000-10),IF((V140/1000)&lt;=34,300+((400-300)/(34-17))*(V140/1000-17),IF((V140/1000)&lt;=57,400+((500-400)/(57-34))*(V140/1000-34),500)))))))</f>
        <v>39.55</v>
      </c>
      <c r="AI140" s="4" t="n">
        <f aca="false">IF(W140="","",IF(W140&lt;=40,(50/40)*W140,IF(W140&lt;=80,50+((100-50)/(80-40))*(W140-40),IF(W140&lt;=180,100+((200-100)/(180-80))*(W140-80),IF(W140&lt;=280,200+((300-200)/(280-180))*(W140-180),IF(W140&lt;=400,300+((400-300)/(400-280))*(W140-280),IF(W140&lt;=800,400+((500-400)/(800-400))*(W140-400),500)))))))</f>
        <v>30.875</v>
      </c>
      <c r="AJ140" s="4" t="n">
        <f aca="false">IF(X140="","",IF(X140&lt;=40,(50/40)*X140,IF(X140&lt;=80,50+((100-50)/(80-40))*(X140-40),IF(X140&lt;=380,100+((200-100)/(380-80))*(X140-80),IF(X140&lt;=800,200+((300-200)/(800-380))*(X140-380),IF(X140&lt;=1600,300+((400-300)/(1600-800))*(X140-800),IF(X140&lt;=2100,400+((500-400)/(2100-1600))*(X140-1600),500)))))))</f>
        <v>18</v>
      </c>
      <c r="AK140" s="4" t="n">
        <f aca="false">IF(Y140="","",IF(Y140&lt;=50,(50/50)*Y140,IF(Y140&lt;=100,50+((100-50)/(100-50))*(Y140-50),IF(Y140&lt;=168,100+((200-100)/(168-100))*(Y140-100),IF(Y140&lt;=208,200+((300-200)/(208-168))*(Y140-168),IF(Y140&lt;=748,300+((400-300)/(748-208))*(Y140-208),IF(Y140&lt;=1000,400+((500-400)/(1000-748))*(Y140-748),500)))))))</f>
        <v>98</v>
      </c>
      <c r="AL140" s="4" t="n">
        <f aca="false">ROUND(MAX(AF140,AG140,AH140,AI140,AJ140,AK140),0)</f>
        <v>161</v>
      </c>
      <c r="AM140" s="4" t="str">
        <f aca="false">IF(AL140="","",IF(AL140&lt;=50,"Good",IF(AL140&lt;=100,"Satisfactory",IF(AL140&lt;=200,"Moderate",IF(AL140&lt;=300,"Poor",IF(AL140&lt;=400,"Very Poor","Severe"))))))</f>
        <v>Moderate</v>
      </c>
    </row>
    <row r="141" customFormat="false" ht="15.75" hidden="false" customHeight="false" outlineLevel="0" collapsed="false">
      <c r="A141" s="1" t="s">
        <v>39</v>
      </c>
      <c r="B141" s="1" t="s">
        <v>40</v>
      </c>
      <c r="C141" s="1" t="n">
        <v>28.4595</v>
      </c>
      <c r="D141" s="1" t="n">
        <v>77.0266</v>
      </c>
      <c r="E141" s="5" t="n">
        <v>45906</v>
      </c>
      <c r="F141" s="6" t="s">
        <v>72</v>
      </c>
      <c r="G141" s="1" t="n">
        <v>9</v>
      </c>
      <c r="H141" s="7" t="s">
        <v>86</v>
      </c>
      <c r="I141" s="6" t="s">
        <v>46</v>
      </c>
      <c r="J141" s="7" t="s">
        <v>44</v>
      </c>
      <c r="K141" s="7" t="s">
        <v>71</v>
      </c>
      <c r="L141" s="1" t="n">
        <v>86</v>
      </c>
      <c r="M141" s="1" t="n">
        <v>25.7</v>
      </c>
      <c r="N141" s="1" t="n">
        <v>18.4</v>
      </c>
      <c r="O141" s="1" t="n">
        <v>0</v>
      </c>
      <c r="P141" s="6" t="s">
        <v>43</v>
      </c>
      <c r="Q141" s="6" t="s">
        <v>43</v>
      </c>
      <c r="R141" s="1" t="n">
        <v>1003.8</v>
      </c>
      <c r="S141" s="1" t="n">
        <v>87</v>
      </c>
      <c r="T141" s="1" t="n">
        <v>53.7</v>
      </c>
      <c r="U141" s="1" t="n">
        <v>122.9</v>
      </c>
      <c r="V141" s="1" t="n">
        <v>921</v>
      </c>
      <c r="W141" s="1" t="n">
        <v>32.4</v>
      </c>
      <c r="X141" s="1" t="n">
        <v>16.7</v>
      </c>
      <c r="Y141" s="1" t="n">
        <v>77</v>
      </c>
      <c r="Z141" s="1" t="n">
        <v>230</v>
      </c>
      <c r="AA141" s="1" t="n">
        <v>106</v>
      </c>
      <c r="AB141" s="7" t="s">
        <v>81</v>
      </c>
      <c r="AC141" s="7" t="s">
        <v>82</v>
      </c>
      <c r="AD141" s="7" t="s">
        <v>83</v>
      </c>
      <c r="AE141" s="7" t="s">
        <v>84</v>
      </c>
      <c r="AF141" s="4" t="n">
        <f aca="false">IF(T141="","",IF(T141&lt;=30,(50/30)*T141,IF(T141&lt;=60,50+((100-50)/(60-30))*(T141-30),IF(T141&lt;=90,100+((200-100)/(90-60))*(T141-60),IF(T141&lt;=120,200+((300-200)/(120-90))*(T141-90),IF(T141&lt;=250,300+((400-300)/(250-120))*(T141-120),IF(T141&lt;=380,400+((500-400)/(380-250))*(T141-250),500)))))))</f>
        <v>89.5</v>
      </c>
      <c r="AG141" s="4" t="n">
        <f aca="false">IF(U141="","",IF(U141&lt;=50,(50/50)*U141,IF(U141&lt;=100,50+((100-50)/(100-50))*(U141-50),IF(U141&lt;=250,100+((200-100)/(250-100))*(U141-100),IF(U141&lt;=350,200+((300-200)/(350-250))*(U141-250),IF(U141&lt;=430,300+((400-300)/(430-350))*(U141-350),IF(U141&lt;=600,400+((500-400)/(600-430))*(U141-430),500)))))))</f>
        <v>115.266666666667</v>
      </c>
      <c r="AH141" s="4" t="n">
        <f aca="false">IF(V141="","",IF((V141/1000)&lt;=1,(50/1)*(V141/1000),IF((V141/1000)&lt;=2,50+((100-50)/(2-1))*(V141/1000-1),IF((V141/1000)&lt;=10,100+((200-100)/(10-2))*(V141/1000-2),IF((V141/1000)&lt;=17,200+((300-200)/(17-10))*(V141/1000-10),IF((V141/1000)&lt;=34,300+((400-300)/(34-17))*(V141/1000-17),IF((V141/1000)&lt;=57,400+((500-400)/(57-34))*(V141/1000-34),500)))))))</f>
        <v>46.05</v>
      </c>
      <c r="AI141" s="4" t="n">
        <f aca="false">IF(W141="","",IF(W141&lt;=40,(50/40)*W141,IF(W141&lt;=80,50+((100-50)/(80-40))*(W141-40),IF(W141&lt;=180,100+((200-100)/(180-80))*(W141-80),IF(W141&lt;=280,200+((300-200)/(280-180))*(W141-180),IF(W141&lt;=400,300+((400-300)/(400-280))*(W141-280),IF(W141&lt;=800,400+((500-400)/(800-400))*(W141-400),500)))))))</f>
        <v>40.5</v>
      </c>
      <c r="AJ141" s="4" t="n">
        <f aca="false">IF(X141="","",IF(X141&lt;=40,(50/40)*X141,IF(X141&lt;=80,50+((100-50)/(80-40))*(X141-40),IF(X141&lt;=380,100+((200-100)/(380-80))*(X141-80),IF(X141&lt;=800,200+((300-200)/(800-380))*(X141-380),IF(X141&lt;=1600,300+((400-300)/(1600-800))*(X141-800),IF(X141&lt;=2100,400+((500-400)/(2100-1600))*(X141-1600),500)))))))</f>
        <v>20.875</v>
      </c>
      <c r="AK141" s="4" t="n">
        <f aca="false">IF(Y141="","",IF(Y141&lt;=50,(50/50)*Y141,IF(Y141&lt;=100,50+((100-50)/(100-50))*(Y141-50),IF(Y141&lt;=168,100+((200-100)/(168-100))*(Y141-100),IF(Y141&lt;=208,200+((300-200)/(208-168))*(Y141-168),IF(Y141&lt;=748,300+((400-300)/(748-208))*(Y141-208),IF(Y141&lt;=1000,400+((500-400)/(1000-748))*(Y141-748),500)))))))</f>
        <v>77</v>
      </c>
      <c r="AL141" s="4" t="n">
        <f aca="false">ROUND(MAX(AF141,AG141,AH141,AI141,AJ141,AK141),0)</f>
        <v>115</v>
      </c>
      <c r="AM141" s="4" t="str">
        <f aca="false">IF(AL141="","",IF(AL141&lt;=50,"Good",IF(AL141&lt;=100,"Satisfactory",IF(AL141&lt;=200,"Moderate",IF(AL141&lt;=300,"Poor",IF(AL141&lt;=400,"Very Poor","Severe"))))))</f>
        <v>Moderate</v>
      </c>
    </row>
    <row r="142" customFormat="false" ht="15.75" hidden="false" customHeight="false" outlineLevel="0" collapsed="false">
      <c r="A142" s="1" t="s">
        <v>39</v>
      </c>
      <c r="B142" s="1" t="s">
        <v>40</v>
      </c>
      <c r="C142" s="1" t="n">
        <v>28.4595</v>
      </c>
      <c r="D142" s="1" t="n">
        <v>77.0266</v>
      </c>
      <c r="E142" s="5" t="n">
        <v>45906</v>
      </c>
      <c r="F142" s="6" t="s">
        <v>73</v>
      </c>
      <c r="G142" s="1" t="n">
        <v>9</v>
      </c>
      <c r="H142" s="7" t="s">
        <v>86</v>
      </c>
      <c r="I142" s="6" t="s">
        <v>46</v>
      </c>
      <c r="J142" s="7" t="s">
        <v>44</v>
      </c>
      <c r="K142" s="7" t="s">
        <v>71</v>
      </c>
      <c r="L142" s="1" t="n">
        <v>89</v>
      </c>
      <c r="M142" s="1" t="n">
        <v>25.7</v>
      </c>
      <c r="N142" s="1" t="n">
        <v>21.2</v>
      </c>
      <c r="O142" s="1" t="n">
        <v>0</v>
      </c>
      <c r="P142" s="6" t="s">
        <v>43</v>
      </c>
      <c r="Q142" s="6" t="s">
        <v>43</v>
      </c>
      <c r="R142" s="1" t="n">
        <v>1004.2</v>
      </c>
      <c r="S142" s="1" t="n">
        <v>94</v>
      </c>
      <c r="T142" s="1" t="n">
        <v>51.6</v>
      </c>
      <c r="U142" s="1" t="n">
        <v>85</v>
      </c>
      <c r="V142" s="1" t="n">
        <v>969</v>
      </c>
      <c r="W142" s="1" t="n">
        <v>36.6</v>
      </c>
      <c r="X142" s="1" t="n">
        <v>18.1</v>
      </c>
      <c r="Y142" s="1" t="n">
        <v>62</v>
      </c>
      <c r="Z142" s="1" t="n">
        <v>65</v>
      </c>
      <c r="AA142" s="1" t="n">
        <v>92</v>
      </c>
      <c r="AB142" s="7" t="s">
        <v>47</v>
      </c>
      <c r="AC142" s="7" t="s">
        <v>48</v>
      </c>
      <c r="AD142" s="6" t="s">
        <v>43</v>
      </c>
      <c r="AE142" s="6" t="s">
        <v>43</v>
      </c>
      <c r="AF142" s="4" t="n">
        <f aca="false">IF(T142="","",IF(T142&lt;=30,(50/30)*T142,IF(T142&lt;=60,50+((100-50)/(60-30))*(T142-30),IF(T142&lt;=90,100+((200-100)/(90-60))*(T142-60),IF(T142&lt;=120,200+((300-200)/(120-90))*(T142-90),IF(T142&lt;=250,300+((400-300)/(250-120))*(T142-120),IF(T142&lt;=380,400+((500-400)/(380-250))*(T142-250),500)))))))</f>
        <v>86</v>
      </c>
      <c r="AG142" s="4" t="n">
        <f aca="false">IF(U142="","",IF(U142&lt;=50,(50/50)*U142,IF(U142&lt;=100,50+((100-50)/(100-50))*(U142-50),IF(U142&lt;=250,100+((200-100)/(250-100))*(U142-100),IF(U142&lt;=350,200+((300-200)/(350-250))*(U142-250),IF(U142&lt;=430,300+((400-300)/(430-350))*(U142-350),IF(U142&lt;=600,400+((500-400)/(600-430))*(U142-430),500)))))))</f>
        <v>85</v>
      </c>
      <c r="AH142" s="4" t="n">
        <f aca="false">IF(V142="","",IF((V142/1000)&lt;=1,(50/1)*(V142/1000),IF((V142/1000)&lt;=2,50+((100-50)/(2-1))*(V142/1000-1),IF((V142/1000)&lt;=10,100+((200-100)/(10-2))*(V142/1000-2),IF((V142/1000)&lt;=17,200+((300-200)/(17-10))*(V142/1000-10),IF((V142/1000)&lt;=34,300+((400-300)/(34-17))*(V142/1000-17),IF((V142/1000)&lt;=57,400+((500-400)/(57-34))*(V142/1000-34),500)))))))</f>
        <v>48.45</v>
      </c>
      <c r="AI142" s="4" t="n">
        <f aca="false">IF(W142="","",IF(W142&lt;=40,(50/40)*W142,IF(W142&lt;=80,50+((100-50)/(80-40))*(W142-40),IF(W142&lt;=180,100+((200-100)/(180-80))*(W142-80),IF(W142&lt;=280,200+((300-200)/(280-180))*(W142-180),IF(W142&lt;=400,300+((400-300)/(400-280))*(W142-280),IF(W142&lt;=800,400+((500-400)/(800-400))*(W142-400),500)))))))</f>
        <v>45.75</v>
      </c>
      <c r="AJ142" s="4" t="n">
        <f aca="false">IF(X142="","",IF(X142&lt;=40,(50/40)*X142,IF(X142&lt;=80,50+((100-50)/(80-40))*(X142-40),IF(X142&lt;=380,100+((200-100)/(380-80))*(X142-80),IF(X142&lt;=800,200+((300-200)/(800-380))*(X142-380),IF(X142&lt;=1600,300+((400-300)/(1600-800))*(X142-800),IF(X142&lt;=2100,400+((500-400)/(2100-1600))*(X142-1600),500)))))))</f>
        <v>22.625</v>
      </c>
      <c r="AK142" s="4" t="n">
        <f aca="false">IF(Y142="","",IF(Y142&lt;=50,(50/50)*Y142,IF(Y142&lt;=100,50+((100-50)/(100-50))*(Y142-50),IF(Y142&lt;=168,100+((200-100)/(168-100))*(Y142-100),IF(Y142&lt;=208,200+((300-200)/(208-168))*(Y142-168),IF(Y142&lt;=748,300+((400-300)/(748-208))*(Y142-208),IF(Y142&lt;=1000,400+((500-400)/(1000-748))*(Y142-748),500)))))))</f>
        <v>62</v>
      </c>
      <c r="AL142" s="4" t="n">
        <f aca="false">ROUND(MAX(AF142,AG142,AH142,AI142,AJ142,AK142),0)</f>
        <v>86</v>
      </c>
      <c r="AM142" s="4" t="str">
        <f aca="false">IF(AL142="","",IF(AL142&lt;=50,"Good",IF(AL142&lt;=100,"Satisfactory",IF(AL142&lt;=200,"Moderate",IF(AL142&lt;=300,"Poor",IF(AL142&lt;=400,"Very Poor","Severe"))))))</f>
        <v>Satisfactory</v>
      </c>
    </row>
    <row r="143" customFormat="false" ht="15.75" hidden="false" customHeight="false" outlineLevel="0" collapsed="false">
      <c r="A143" s="1" t="s">
        <v>39</v>
      </c>
      <c r="B143" s="1" t="s">
        <v>40</v>
      </c>
      <c r="C143" s="1" t="n">
        <v>28.4595</v>
      </c>
      <c r="D143" s="1" t="n">
        <v>77.0266</v>
      </c>
      <c r="E143" s="5" t="n">
        <v>45906</v>
      </c>
      <c r="F143" s="6" t="s">
        <v>74</v>
      </c>
      <c r="G143" s="1" t="n">
        <v>9</v>
      </c>
      <c r="H143" s="7" t="s">
        <v>86</v>
      </c>
      <c r="I143" s="6" t="s">
        <v>46</v>
      </c>
      <c r="J143" s="7" t="s">
        <v>44</v>
      </c>
      <c r="K143" s="7" t="s">
        <v>75</v>
      </c>
      <c r="L143" s="1" t="n">
        <v>90</v>
      </c>
      <c r="M143" s="1" t="n">
        <v>25.4</v>
      </c>
      <c r="N143" s="1" t="n">
        <v>23</v>
      </c>
      <c r="O143" s="1" t="n">
        <v>0</v>
      </c>
      <c r="P143" s="6" t="s">
        <v>43</v>
      </c>
      <c r="Q143" s="6" t="s">
        <v>43</v>
      </c>
      <c r="R143" s="1" t="n">
        <v>1005.3</v>
      </c>
      <c r="S143" s="1" t="n">
        <v>100</v>
      </c>
      <c r="T143" s="1" t="n">
        <v>47</v>
      </c>
      <c r="U143" s="1" t="n">
        <v>58.9</v>
      </c>
      <c r="V143" s="1" t="n">
        <v>872</v>
      </c>
      <c r="W143" s="1" t="n">
        <v>34</v>
      </c>
      <c r="X143" s="1" t="n">
        <v>17.6</v>
      </c>
      <c r="Y143" s="1" t="n">
        <v>60</v>
      </c>
      <c r="Z143" s="1" t="n">
        <v>6</v>
      </c>
      <c r="AA143" s="1" t="n">
        <v>93</v>
      </c>
      <c r="AB143" s="7" t="s">
        <v>47</v>
      </c>
      <c r="AC143" s="7" t="s">
        <v>48</v>
      </c>
      <c r="AD143" s="6" t="s">
        <v>43</v>
      </c>
      <c r="AE143" s="6" t="s">
        <v>43</v>
      </c>
      <c r="AF143" s="4" t="n">
        <f aca="false">IF(T143="","",IF(T143&lt;=30,(50/30)*T143,IF(T143&lt;=60,50+((100-50)/(60-30))*(T143-30),IF(T143&lt;=90,100+((200-100)/(90-60))*(T143-60),IF(T143&lt;=120,200+((300-200)/(120-90))*(T143-90),IF(T143&lt;=250,300+((400-300)/(250-120))*(T143-120),IF(T143&lt;=380,400+((500-400)/(380-250))*(T143-250),500)))))))</f>
        <v>78.3333333333333</v>
      </c>
      <c r="AG143" s="4" t="n">
        <f aca="false">IF(U143="","",IF(U143&lt;=50,(50/50)*U143,IF(U143&lt;=100,50+((100-50)/(100-50))*(U143-50),IF(U143&lt;=250,100+((200-100)/(250-100))*(U143-100),IF(U143&lt;=350,200+((300-200)/(350-250))*(U143-250),IF(U143&lt;=430,300+((400-300)/(430-350))*(U143-350),IF(U143&lt;=600,400+((500-400)/(600-430))*(U143-430),500)))))))</f>
        <v>58.9</v>
      </c>
      <c r="AH143" s="4" t="n">
        <f aca="false">IF(V143="","",IF((V143/1000)&lt;=1,(50/1)*(V143/1000),IF((V143/1000)&lt;=2,50+((100-50)/(2-1))*(V143/1000-1),IF((V143/1000)&lt;=10,100+((200-100)/(10-2))*(V143/1000-2),IF((V143/1000)&lt;=17,200+((300-200)/(17-10))*(V143/1000-10),IF((V143/1000)&lt;=34,300+((400-300)/(34-17))*(V143/1000-17),IF((V143/1000)&lt;=57,400+((500-400)/(57-34))*(V143/1000-34),500)))))))</f>
        <v>43.6</v>
      </c>
      <c r="AI143" s="4" t="n">
        <f aca="false">IF(W143="","",IF(W143&lt;=40,(50/40)*W143,IF(W143&lt;=80,50+((100-50)/(80-40))*(W143-40),IF(W143&lt;=180,100+((200-100)/(180-80))*(W143-80),IF(W143&lt;=280,200+((300-200)/(280-180))*(W143-180),IF(W143&lt;=400,300+((400-300)/(400-280))*(W143-280),IF(W143&lt;=800,400+((500-400)/(800-400))*(W143-400),500)))))))</f>
        <v>42.5</v>
      </c>
      <c r="AJ143" s="4" t="n">
        <f aca="false">IF(X143="","",IF(X143&lt;=40,(50/40)*X143,IF(X143&lt;=80,50+((100-50)/(80-40))*(X143-40),IF(X143&lt;=380,100+((200-100)/(380-80))*(X143-80),IF(X143&lt;=800,200+((300-200)/(800-380))*(X143-380),IF(X143&lt;=1600,300+((400-300)/(1600-800))*(X143-800),IF(X143&lt;=2100,400+((500-400)/(2100-1600))*(X143-1600),500)))))))</f>
        <v>22</v>
      </c>
      <c r="AK143" s="4" t="n">
        <f aca="false">IF(Y143="","",IF(Y143&lt;=50,(50/50)*Y143,IF(Y143&lt;=100,50+((100-50)/(100-50))*(Y143-50),IF(Y143&lt;=168,100+((200-100)/(168-100))*(Y143-100),IF(Y143&lt;=208,200+((300-200)/(208-168))*(Y143-168),IF(Y143&lt;=748,300+((400-300)/(748-208))*(Y143-208),IF(Y143&lt;=1000,400+((500-400)/(1000-748))*(Y143-748),500)))))))</f>
        <v>60</v>
      </c>
      <c r="AL143" s="4" t="n">
        <f aca="false">ROUND(MAX(AF143,AG143,AH143,AI143,AJ143,AK143),0)</f>
        <v>78</v>
      </c>
      <c r="AM143" s="4" t="str">
        <f aca="false">IF(AL143="","",IF(AL143&lt;=50,"Good",IF(AL143&lt;=100,"Satisfactory",IF(AL143&lt;=200,"Moderate",IF(AL143&lt;=300,"Poor",IF(AL143&lt;=400,"Very Poor","Severe"))))))</f>
        <v>Satisfactory</v>
      </c>
    </row>
    <row r="144" customFormat="false" ht="15.75" hidden="false" customHeight="false" outlineLevel="0" collapsed="false">
      <c r="A144" s="1" t="s">
        <v>39</v>
      </c>
      <c r="B144" s="1" t="s">
        <v>40</v>
      </c>
      <c r="C144" s="1" t="n">
        <v>28.4595</v>
      </c>
      <c r="D144" s="1" t="n">
        <v>77.0266</v>
      </c>
      <c r="E144" s="5" t="n">
        <v>45906</v>
      </c>
      <c r="F144" s="6" t="s">
        <v>76</v>
      </c>
      <c r="G144" s="1" t="n">
        <v>9</v>
      </c>
      <c r="H144" s="7" t="s">
        <v>86</v>
      </c>
      <c r="I144" s="6" t="s">
        <v>46</v>
      </c>
      <c r="J144" s="7" t="s">
        <v>44</v>
      </c>
      <c r="K144" s="7" t="s">
        <v>75</v>
      </c>
      <c r="L144" s="1" t="n">
        <v>90</v>
      </c>
      <c r="M144" s="1" t="n">
        <v>25</v>
      </c>
      <c r="N144" s="1" t="n">
        <v>22.7</v>
      </c>
      <c r="O144" s="1" t="n">
        <v>0</v>
      </c>
      <c r="P144" s="6" t="s">
        <v>43</v>
      </c>
      <c r="Q144" s="6" t="s">
        <v>43</v>
      </c>
      <c r="R144" s="1" t="n">
        <v>1005.4</v>
      </c>
      <c r="S144" s="1" t="n">
        <v>100</v>
      </c>
      <c r="T144" s="1" t="n">
        <v>43.5</v>
      </c>
      <c r="U144" s="1" t="n">
        <v>46.2</v>
      </c>
      <c r="V144" s="1" t="n">
        <v>692</v>
      </c>
      <c r="W144" s="1" t="n">
        <v>27.8</v>
      </c>
      <c r="X144" s="1" t="n">
        <v>16.2</v>
      </c>
      <c r="Y144" s="1" t="n">
        <v>63</v>
      </c>
      <c r="Z144" s="1" t="n">
        <v>0</v>
      </c>
      <c r="AA144" s="1" t="n">
        <v>95</v>
      </c>
      <c r="AB144" s="7" t="s">
        <v>47</v>
      </c>
      <c r="AC144" s="7" t="s">
        <v>48</v>
      </c>
      <c r="AD144" s="6" t="s">
        <v>43</v>
      </c>
      <c r="AE144" s="6" t="s">
        <v>43</v>
      </c>
      <c r="AF144" s="4" t="n">
        <f aca="false">IF(T144="","",IF(T144&lt;=30,(50/30)*T144,IF(T144&lt;=60,50+((100-50)/(60-30))*(T144-30),IF(T144&lt;=90,100+((200-100)/(90-60))*(T144-60),IF(T144&lt;=120,200+((300-200)/(120-90))*(T144-90),IF(T144&lt;=250,300+((400-300)/(250-120))*(T144-120),IF(T144&lt;=380,400+((500-400)/(380-250))*(T144-250),500)))))))</f>
        <v>72.5</v>
      </c>
      <c r="AG144" s="4" t="n">
        <f aca="false">IF(U144="","",IF(U144&lt;=50,(50/50)*U144,IF(U144&lt;=100,50+((100-50)/(100-50))*(U144-50),IF(U144&lt;=250,100+((200-100)/(250-100))*(U144-100),IF(U144&lt;=350,200+((300-200)/(350-250))*(U144-250),IF(U144&lt;=430,300+((400-300)/(430-350))*(U144-350),IF(U144&lt;=600,400+((500-400)/(600-430))*(U144-430),500)))))))</f>
        <v>46.2</v>
      </c>
      <c r="AH144" s="4" t="n">
        <f aca="false">IF(V144="","",IF((V144/1000)&lt;=1,(50/1)*(V144/1000),IF((V144/1000)&lt;=2,50+((100-50)/(2-1))*(V144/1000-1),IF((V144/1000)&lt;=10,100+((200-100)/(10-2))*(V144/1000-2),IF((V144/1000)&lt;=17,200+((300-200)/(17-10))*(V144/1000-10),IF((V144/1000)&lt;=34,300+((400-300)/(34-17))*(V144/1000-17),IF((V144/1000)&lt;=57,400+((500-400)/(57-34))*(V144/1000-34),500)))))))</f>
        <v>34.6</v>
      </c>
      <c r="AI144" s="4" t="n">
        <f aca="false">IF(W144="","",IF(W144&lt;=40,(50/40)*W144,IF(W144&lt;=80,50+((100-50)/(80-40))*(W144-40),IF(W144&lt;=180,100+((200-100)/(180-80))*(W144-80),IF(W144&lt;=280,200+((300-200)/(280-180))*(W144-180),IF(W144&lt;=400,300+((400-300)/(400-280))*(W144-280),IF(W144&lt;=800,400+((500-400)/(800-400))*(W144-400),500)))))))</f>
        <v>34.75</v>
      </c>
      <c r="AJ144" s="4" t="n">
        <f aca="false">IF(X144="","",IF(X144&lt;=40,(50/40)*X144,IF(X144&lt;=80,50+((100-50)/(80-40))*(X144-40),IF(X144&lt;=380,100+((200-100)/(380-80))*(X144-80),IF(X144&lt;=800,200+((300-200)/(800-380))*(X144-380),IF(X144&lt;=1600,300+((400-300)/(1600-800))*(X144-800),IF(X144&lt;=2100,400+((500-400)/(2100-1600))*(X144-1600),500)))))))</f>
        <v>20.25</v>
      </c>
      <c r="AK144" s="4" t="n">
        <f aca="false">IF(Y144="","",IF(Y144&lt;=50,(50/50)*Y144,IF(Y144&lt;=100,50+((100-50)/(100-50))*(Y144-50),IF(Y144&lt;=168,100+((200-100)/(168-100))*(Y144-100),IF(Y144&lt;=208,200+((300-200)/(208-168))*(Y144-168),IF(Y144&lt;=748,300+((400-300)/(748-208))*(Y144-208),IF(Y144&lt;=1000,400+((500-400)/(1000-748))*(Y144-748),500)))))))</f>
        <v>63</v>
      </c>
      <c r="AL144" s="4" t="n">
        <f aca="false">ROUND(MAX(AF144,AG144,AH144,AI144,AJ144,AK144),0)</f>
        <v>73</v>
      </c>
      <c r="AM144" s="4" t="str">
        <f aca="false">IF(AL144="","",IF(AL144&lt;=50,"Good",IF(AL144&lt;=100,"Satisfactory",IF(AL144&lt;=200,"Moderate",IF(AL144&lt;=300,"Poor",IF(AL144&lt;=400,"Very Poor","Severe"))))))</f>
        <v>Satisfactory</v>
      </c>
    </row>
    <row r="145" customFormat="false" ht="15.75" hidden="false" customHeight="false" outlineLevel="0" collapsed="false">
      <c r="A145" s="1" t="s">
        <v>39</v>
      </c>
      <c r="B145" s="1" t="s">
        <v>40</v>
      </c>
      <c r="C145" s="1" t="n">
        <v>28.4595</v>
      </c>
      <c r="D145" s="1" t="n">
        <v>77.0266</v>
      </c>
      <c r="E145" s="5" t="n">
        <v>45906</v>
      </c>
      <c r="F145" s="6" t="s">
        <v>77</v>
      </c>
      <c r="G145" s="1" t="n">
        <v>9</v>
      </c>
      <c r="H145" s="7" t="s">
        <v>86</v>
      </c>
      <c r="I145" s="6" t="s">
        <v>46</v>
      </c>
      <c r="J145" s="7" t="s">
        <v>44</v>
      </c>
      <c r="K145" s="7" t="s">
        <v>75</v>
      </c>
      <c r="L145" s="1" t="n">
        <v>90</v>
      </c>
      <c r="M145" s="1" t="n">
        <v>24.7</v>
      </c>
      <c r="N145" s="1" t="n">
        <v>22.7</v>
      </c>
      <c r="O145" s="1" t="n">
        <v>0</v>
      </c>
      <c r="P145" s="6" t="s">
        <v>43</v>
      </c>
      <c r="Q145" s="6" t="s">
        <v>43</v>
      </c>
      <c r="R145" s="1" t="n">
        <v>1005.4</v>
      </c>
      <c r="S145" s="1" t="n">
        <v>99</v>
      </c>
      <c r="T145" s="1" t="n">
        <v>41.8</v>
      </c>
      <c r="U145" s="1" t="n">
        <v>42.5</v>
      </c>
      <c r="V145" s="1" t="n">
        <v>539</v>
      </c>
      <c r="W145" s="1" t="n">
        <v>22.7</v>
      </c>
      <c r="X145" s="1" t="n">
        <v>15.2</v>
      </c>
      <c r="Y145" s="1" t="n">
        <v>66</v>
      </c>
      <c r="Z145" s="1" t="n">
        <v>1</v>
      </c>
      <c r="AA145" s="1" t="n">
        <v>96</v>
      </c>
      <c r="AB145" s="7" t="s">
        <v>47</v>
      </c>
      <c r="AC145" s="7" t="s">
        <v>48</v>
      </c>
      <c r="AD145" s="6" t="s">
        <v>43</v>
      </c>
      <c r="AE145" s="6" t="s">
        <v>43</v>
      </c>
      <c r="AF145" s="4" t="n">
        <f aca="false">IF(T145="","",IF(T145&lt;=30,(50/30)*T145,IF(T145&lt;=60,50+((100-50)/(60-30))*(T145-30),IF(T145&lt;=90,100+((200-100)/(90-60))*(T145-60),IF(T145&lt;=120,200+((300-200)/(120-90))*(T145-90),IF(T145&lt;=250,300+((400-300)/(250-120))*(T145-120),IF(T145&lt;=380,400+((500-400)/(380-250))*(T145-250),500)))))))</f>
        <v>69.6666666666667</v>
      </c>
      <c r="AG145" s="4" t="n">
        <f aca="false">IF(U145="","",IF(U145&lt;=50,(50/50)*U145,IF(U145&lt;=100,50+((100-50)/(100-50))*(U145-50),IF(U145&lt;=250,100+((200-100)/(250-100))*(U145-100),IF(U145&lt;=350,200+((300-200)/(350-250))*(U145-250),IF(U145&lt;=430,300+((400-300)/(430-350))*(U145-350),IF(U145&lt;=600,400+((500-400)/(600-430))*(U145-430),500)))))))</f>
        <v>42.5</v>
      </c>
      <c r="AH145" s="4" t="n">
        <f aca="false">IF(V145="","",IF((V145/1000)&lt;=1,(50/1)*(V145/1000),IF((V145/1000)&lt;=2,50+((100-50)/(2-1))*(V145/1000-1),IF((V145/1000)&lt;=10,100+((200-100)/(10-2))*(V145/1000-2),IF((V145/1000)&lt;=17,200+((300-200)/(17-10))*(V145/1000-10),IF((V145/1000)&lt;=34,300+((400-300)/(34-17))*(V145/1000-17),IF((V145/1000)&lt;=57,400+((500-400)/(57-34))*(V145/1000-34),500)))))))</f>
        <v>26.95</v>
      </c>
      <c r="AI145" s="4" t="n">
        <f aca="false">IF(W145="","",IF(W145&lt;=40,(50/40)*W145,IF(W145&lt;=80,50+((100-50)/(80-40))*(W145-40),IF(W145&lt;=180,100+((200-100)/(180-80))*(W145-80),IF(W145&lt;=280,200+((300-200)/(280-180))*(W145-180),IF(W145&lt;=400,300+((400-300)/(400-280))*(W145-280),IF(W145&lt;=800,400+((500-400)/(800-400))*(W145-400),500)))))))</f>
        <v>28.375</v>
      </c>
      <c r="AJ145" s="4" t="n">
        <f aca="false">IF(X145="","",IF(X145&lt;=40,(50/40)*X145,IF(X145&lt;=80,50+((100-50)/(80-40))*(X145-40),IF(X145&lt;=380,100+((200-100)/(380-80))*(X145-80),IF(X145&lt;=800,200+((300-200)/(800-380))*(X145-380),IF(X145&lt;=1600,300+((400-300)/(1600-800))*(X145-800),IF(X145&lt;=2100,400+((500-400)/(2100-1600))*(X145-1600),500)))))))</f>
        <v>19</v>
      </c>
      <c r="AK145" s="4" t="n">
        <f aca="false">IF(Y145="","",IF(Y145&lt;=50,(50/50)*Y145,IF(Y145&lt;=100,50+((100-50)/(100-50))*(Y145-50),IF(Y145&lt;=168,100+((200-100)/(168-100))*(Y145-100),IF(Y145&lt;=208,200+((300-200)/(208-168))*(Y145-168),IF(Y145&lt;=748,300+((400-300)/(748-208))*(Y145-208),IF(Y145&lt;=1000,400+((500-400)/(1000-748))*(Y145-748),500)))))))</f>
        <v>66</v>
      </c>
      <c r="AL145" s="4" t="n">
        <f aca="false">ROUND(MAX(AF145,AG145,AH145,AI145,AJ145,AK145),0)</f>
        <v>70</v>
      </c>
      <c r="AM145" s="4" t="str">
        <f aca="false">IF(AL145="","",IF(AL145&lt;=50,"Good",IF(AL145&lt;=100,"Satisfactory",IF(AL145&lt;=200,"Moderate",IF(AL145&lt;=300,"Poor",IF(AL145&lt;=400,"Very Poor","Severe"))))))</f>
        <v>Satisfactory</v>
      </c>
    </row>
    <row r="146" customFormat="false" ht="15.75" hidden="false" customHeight="false" outlineLevel="0" collapsed="false">
      <c r="A146" s="1" t="s">
        <v>39</v>
      </c>
      <c r="B146" s="1" t="s">
        <v>40</v>
      </c>
      <c r="C146" s="1" t="n">
        <v>28.4595</v>
      </c>
      <c r="D146" s="1" t="n">
        <v>77.0266</v>
      </c>
      <c r="E146" s="5" t="n">
        <v>45907</v>
      </c>
      <c r="F146" s="6" t="s">
        <v>41</v>
      </c>
      <c r="G146" s="1" t="n">
        <v>9</v>
      </c>
      <c r="H146" s="7" t="s">
        <v>87</v>
      </c>
      <c r="I146" s="6" t="s">
        <v>46</v>
      </c>
      <c r="J146" s="7" t="s">
        <v>44</v>
      </c>
      <c r="K146" s="7" t="s">
        <v>45</v>
      </c>
      <c r="L146" s="1" t="n">
        <v>91</v>
      </c>
      <c r="M146" s="1" t="n">
        <v>24.5</v>
      </c>
      <c r="N146" s="1" t="n">
        <v>25.6</v>
      </c>
      <c r="O146" s="1" t="n">
        <v>0</v>
      </c>
      <c r="P146" s="6" t="s">
        <v>43</v>
      </c>
      <c r="Q146" s="6" t="s">
        <v>43</v>
      </c>
      <c r="R146" s="1" t="n">
        <v>1005.1</v>
      </c>
      <c r="S146" s="1" t="n">
        <v>100</v>
      </c>
      <c r="T146" s="1" t="n">
        <v>40.5</v>
      </c>
      <c r="U146" s="1" t="n">
        <v>40.9</v>
      </c>
      <c r="V146" s="1" t="n">
        <v>451</v>
      </c>
      <c r="W146" s="1" t="n">
        <v>20.2</v>
      </c>
      <c r="X146" s="1" t="n">
        <v>15.2</v>
      </c>
      <c r="Y146" s="1" t="n">
        <v>65</v>
      </c>
      <c r="Z146" s="1" t="n">
        <v>0</v>
      </c>
      <c r="AA146" s="1" t="n">
        <v>98</v>
      </c>
      <c r="AB146" s="7" t="s">
        <v>47</v>
      </c>
      <c r="AC146" s="7" t="s">
        <v>48</v>
      </c>
      <c r="AD146" s="6" t="s">
        <v>43</v>
      </c>
      <c r="AE146" s="6" t="s">
        <v>43</v>
      </c>
      <c r="AF146" s="4" t="n">
        <f aca="false">IF(T146="","",IF(T146&lt;=30,(50/30)*T146,IF(T146&lt;=60,50+((100-50)/(60-30))*(T146-30),IF(T146&lt;=90,100+((200-100)/(90-60))*(T146-60),IF(T146&lt;=120,200+((300-200)/(120-90))*(T146-90),IF(T146&lt;=250,300+((400-300)/(250-120))*(T146-120),IF(T146&lt;=380,400+((500-400)/(380-250))*(T146-250),500)))))))</f>
        <v>67.5</v>
      </c>
      <c r="AG146" s="4" t="n">
        <f aca="false">IF(U146="","",IF(U146&lt;=50,(50/50)*U146,IF(U146&lt;=100,50+((100-50)/(100-50))*(U146-50),IF(U146&lt;=250,100+((200-100)/(250-100))*(U146-100),IF(U146&lt;=350,200+((300-200)/(350-250))*(U146-250),IF(U146&lt;=430,300+((400-300)/(430-350))*(U146-350),IF(U146&lt;=600,400+((500-400)/(600-430))*(U146-430),500)))))))</f>
        <v>40.9</v>
      </c>
      <c r="AH146" s="4" t="n">
        <f aca="false">IF(V146="","",IF((V146/1000)&lt;=1,(50/1)*(V146/1000),IF((V146/1000)&lt;=2,50+((100-50)/(2-1))*(V146/1000-1),IF((V146/1000)&lt;=10,100+((200-100)/(10-2))*(V146/1000-2),IF((V146/1000)&lt;=17,200+((300-200)/(17-10))*(V146/1000-10),IF((V146/1000)&lt;=34,300+((400-300)/(34-17))*(V146/1000-17),IF((V146/1000)&lt;=57,400+((500-400)/(57-34))*(V146/1000-34),500)))))))</f>
        <v>22.55</v>
      </c>
      <c r="AI146" s="4" t="n">
        <f aca="false">IF(W146="","",IF(W146&lt;=40,(50/40)*W146,IF(W146&lt;=80,50+((100-50)/(80-40))*(W146-40),IF(W146&lt;=180,100+((200-100)/(180-80))*(W146-80),IF(W146&lt;=280,200+((300-200)/(280-180))*(W146-180),IF(W146&lt;=400,300+((400-300)/(400-280))*(W146-280),IF(W146&lt;=800,400+((500-400)/(800-400))*(W146-400),500)))))))</f>
        <v>25.25</v>
      </c>
      <c r="AJ146" s="4" t="n">
        <f aca="false">IF(X146="","",IF(X146&lt;=40,(50/40)*X146,IF(X146&lt;=80,50+((100-50)/(80-40))*(X146-40),IF(X146&lt;=380,100+((200-100)/(380-80))*(X146-80),IF(X146&lt;=800,200+((300-200)/(800-380))*(X146-380),IF(X146&lt;=1600,300+((400-300)/(1600-800))*(X146-800),IF(X146&lt;=2100,400+((500-400)/(2100-1600))*(X146-1600),500)))))))</f>
        <v>19</v>
      </c>
      <c r="AK146" s="4" t="n">
        <f aca="false">IF(Y146="","",IF(Y146&lt;=50,(50/50)*Y146,IF(Y146&lt;=100,50+((100-50)/(100-50))*(Y146-50),IF(Y146&lt;=168,100+((200-100)/(168-100))*(Y146-100),IF(Y146&lt;=208,200+((300-200)/(208-168))*(Y146-168),IF(Y146&lt;=748,300+((400-300)/(748-208))*(Y146-208),IF(Y146&lt;=1000,400+((500-400)/(1000-748))*(Y146-748),500)))))))</f>
        <v>65</v>
      </c>
      <c r="AL146" s="4" t="n">
        <f aca="false">ROUND(MAX(AF146,AG146,AH146,AI146,AJ146,AK146),0)</f>
        <v>68</v>
      </c>
      <c r="AM146" s="4" t="str">
        <f aca="false">IF(AL146="","",IF(AL146&lt;=50,"Good",IF(AL146&lt;=100,"Satisfactory",IF(AL146&lt;=200,"Moderate",IF(AL146&lt;=300,"Poor",IF(AL146&lt;=400,"Very Poor","Severe"))))))</f>
        <v>Satisfactory</v>
      </c>
    </row>
    <row r="147" customFormat="false" ht="15.75" hidden="false" customHeight="false" outlineLevel="0" collapsed="false">
      <c r="A147" s="1" t="s">
        <v>39</v>
      </c>
      <c r="B147" s="1" t="s">
        <v>40</v>
      </c>
      <c r="C147" s="1" t="n">
        <v>28.4595</v>
      </c>
      <c r="D147" s="1" t="n">
        <v>77.0266</v>
      </c>
      <c r="E147" s="5" t="n">
        <v>45907</v>
      </c>
      <c r="F147" s="6" t="s">
        <v>49</v>
      </c>
      <c r="G147" s="1" t="n">
        <v>9</v>
      </c>
      <c r="H147" s="7" t="s">
        <v>87</v>
      </c>
      <c r="I147" s="6" t="s">
        <v>46</v>
      </c>
      <c r="J147" s="7" t="s">
        <v>44</v>
      </c>
      <c r="K147" s="7" t="s">
        <v>45</v>
      </c>
      <c r="L147" s="1" t="n">
        <v>92</v>
      </c>
      <c r="M147" s="1" t="n">
        <v>24.4</v>
      </c>
      <c r="N147" s="1" t="n">
        <v>29.2</v>
      </c>
      <c r="O147" s="1" t="n">
        <v>0</v>
      </c>
      <c r="P147" s="6" t="s">
        <v>43</v>
      </c>
      <c r="Q147" s="6" t="s">
        <v>43</v>
      </c>
      <c r="R147" s="1" t="n">
        <v>1004.8</v>
      </c>
      <c r="S147" s="1" t="n">
        <v>100</v>
      </c>
      <c r="T147" s="1" t="n">
        <v>39.5</v>
      </c>
      <c r="U147" s="1" t="n">
        <v>40</v>
      </c>
      <c r="V147" s="1" t="n">
        <v>390</v>
      </c>
      <c r="W147" s="1" t="n">
        <v>18.8</v>
      </c>
      <c r="X147" s="1" t="n">
        <v>15.5</v>
      </c>
      <c r="Y147" s="1" t="n">
        <v>63</v>
      </c>
      <c r="Z147" s="1" t="n">
        <v>0</v>
      </c>
      <c r="AA147" s="1" t="n">
        <v>99</v>
      </c>
      <c r="AB147" s="7" t="s">
        <v>47</v>
      </c>
      <c r="AC147" s="7" t="s">
        <v>48</v>
      </c>
      <c r="AD147" s="6" t="s">
        <v>43</v>
      </c>
      <c r="AE147" s="6" t="s">
        <v>43</v>
      </c>
      <c r="AF147" s="4" t="n">
        <f aca="false">IF(T147="","",IF(T147&lt;=30,(50/30)*T147,IF(T147&lt;=60,50+((100-50)/(60-30))*(T147-30),IF(T147&lt;=90,100+((200-100)/(90-60))*(T147-60),IF(T147&lt;=120,200+((300-200)/(120-90))*(T147-90),IF(T147&lt;=250,300+((400-300)/(250-120))*(T147-120),IF(T147&lt;=380,400+((500-400)/(380-250))*(T147-250),500)))))))</f>
        <v>65.8333333333333</v>
      </c>
      <c r="AG147" s="4" t="n">
        <f aca="false">IF(U147="","",IF(U147&lt;=50,(50/50)*U147,IF(U147&lt;=100,50+((100-50)/(100-50))*(U147-50),IF(U147&lt;=250,100+((200-100)/(250-100))*(U147-100),IF(U147&lt;=350,200+((300-200)/(350-250))*(U147-250),IF(U147&lt;=430,300+((400-300)/(430-350))*(U147-350),IF(U147&lt;=600,400+((500-400)/(600-430))*(U147-430),500)))))))</f>
        <v>40</v>
      </c>
      <c r="AH147" s="4" t="n">
        <f aca="false">IF(V147="","",IF((V147/1000)&lt;=1,(50/1)*(V147/1000),IF((V147/1000)&lt;=2,50+((100-50)/(2-1))*(V147/1000-1),IF((V147/1000)&lt;=10,100+((200-100)/(10-2))*(V147/1000-2),IF((V147/1000)&lt;=17,200+((300-200)/(17-10))*(V147/1000-10),IF((V147/1000)&lt;=34,300+((400-300)/(34-17))*(V147/1000-17),IF((V147/1000)&lt;=57,400+((500-400)/(57-34))*(V147/1000-34),500)))))))</f>
        <v>19.5</v>
      </c>
      <c r="AI147" s="4" t="n">
        <f aca="false">IF(W147="","",IF(W147&lt;=40,(50/40)*W147,IF(W147&lt;=80,50+((100-50)/(80-40))*(W147-40),IF(W147&lt;=180,100+((200-100)/(180-80))*(W147-80),IF(W147&lt;=280,200+((300-200)/(280-180))*(W147-180),IF(W147&lt;=400,300+((400-300)/(400-280))*(W147-280),IF(W147&lt;=800,400+((500-400)/(800-400))*(W147-400),500)))))))</f>
        <v>23.5</v>
      </c>
      <c r="AJ147" s="4" t="n">
        <f aca="false">IF(X147="","",IF(X147&lt;=40,(50/40)*X147,IF(X147&lt;=80,50+((100-50)/(80-40))*(X147-40),IF(X147&lt;=380,100+((200-100)/(380-80))*(X147-80),IF(X147&lt;=800,200+((300-200)/(800-380))*(X147-380),IF(X147&lt;=1600,300+((400-300)/(1600-800))*(X147-800),IF(X147&lt;=2100,400+((500-400)/(2100-1600))*(X147-1600),500)))))))</f>
        <v>19.375</v>
      </c>
      <c r="AK147" s="4" t="n">
        <f aca="false">IF(Y147="","",IF(Y147&lt;=50,(50/50)*Y147,IF(Y147&lt;=100,50+((100-50)/(100-50))*(Y147-50),IF(Y147&lt;=168,100+((200-100)/(168-100))*(Y147-100),IF(Y147&lt;=208,200+((300-200)/(208-168))*(Y147-168),IF(Y147&lt;=748,300+((400-300)/(748-208))*(Y147-208),IF(Y147&lt;=1000,400+((500-400)/(1000-748))*(Y147-748),500)))))))</f>
        <v>63</v>
      </c>
      <c r="AL147" s="4" t="n">
        <f aca="false">ROUND(MAX(AF147,AG147,AH147,AI147,AJ147,AK147),0)</f>
        <v>66</v>
      </c>
      <c r="AM147" s="4" t="str">
        <f aca="false">IF(AL147="","",IF(AL147&lt;=50,"Good",IF(AL147&lt;=100,"Satisfactory",IF(AL147&lt;=200,"Moderate",IF(AL147&lt;=300,"Poor",IF(AL147&lt;=400,"Very Poor","Severe"))))))</f>
        <v>Satisfactory</v>
      </c>
    </row>
    <row r="148" customFormat="false" ht="15.75" hidden="false" customHeight="false" outlineLevel="0" collapsed="false">
      <c r="A148" s="1" t="s">
        <v>39</v>
      </c>
      <c r="B148" s="1" t="s">
        <v>40</v>
      </c>
      <c r="C148" s="1" t="n">
        <v>28.4595</v>
      </c>
      <c r="D148" s="1" t="n">
        <v>77.0266</v>
      </c>
      <c r="E148" s="5" t="n">
        <v>45907</v>
      </c>
      <c r="F148" s="6" t="s">
        <v>51</v>
      </c>
      <c r="G148" s="1" t="n">
        <v>9</v>
      </c>
      <c r="H148" s="7" t="s">
        <v>87</v>
      </c>
      <c r="I148" s="6" t="s">
        <v>46</v>
      </c>
      <c r="J148" s="7" t="s">
        <v>44</v>
      </c>
      <c r="K148" s="7" t="s">
        <v>45</v>
      </c>
      <c r="L148" s="1" t="n">
        <v>94</v>
      </c>
      <c r="M148" s="1" t="n">
        <v>24.4</v>
      </c>
      <c r="N148" s="1" t="n">
        <v>25.6</v>
      </c>
      <c r="O148" s="1" t="n">
        <v>0</v>
      </c>
      <c r="P148" s="6" t="s">
        <v>43</v>
      </c>
      <c r="Q148" s="6" t="s">
        <v>43</v>
      </c>
      <c r="R148" s="1" t="n">
        <v>1004.3</v>
      </c>
      <c r="S148" s="1" t="n">
        <v>100</v>
      </c>
      <c r="T148" s="1" t="n">
        <v>38.2</v>
      </c>
      <c r="U148" s="1" t="n">
        <v>39.2</v>
      </c>
      <c r="V148" s="1" t="n">
        <v>353</v>
      </c>
      <c r="W148" s="1" t="n">
        <v>18.3</v>
      </c>
      <c r="X148" s="1" t="n">
        <v>16</v>
      </c>
      <c r="Y148" s="1" t="n">
        <v>60</v>
      </c>
      <c r="Z148" s="1" t="n">
        <v>2</v>
      </c>
      <c r="AA148" s="1" t="n">
        <v>101</v>
      </c>
      <c r="AB148" s="7" t="s">
        <v>81</v>
      </c>
      <c r="AC148" s="7" t="s">
        <v>82</v>
      </c>
      <c r="AD148" s="7" t="s">
        <v>83</v>
      </c>
      <c r="AE148" s="7" t="s">
        <v>84</v>
      </c>
      <c r="AF148" s="4" t="n">
        <f aca="false">IF(T148="","",IF(T148&lt;=30,(50/30)*T148,IF(T148&lt;=60,50+((100-50)/(60-30))*(T148-30),IF(T148&lt;=90,100+((200-100)/(90-60))*(T148-60),IF(T148&lt;=120,200+((300-200)/(120-90))*(T148-90),IF(T148&lt;=250,300+((400-300)/(250-120))*(T148-120),IF(T148&lt;=380,400+((500-400)/(380-250))*(T148-250),500)))))))</f>
        <v>63.6666666666667</v>
      </c>
      <c r="AG148" s="4" t="n">
        <f aca="false">IF(U148="","",IF(U148&lt;=50,(50/50)*U148,IF(U148&lt;=100,50+((100-50)/(100-50))*(U148-50),IF(U148&lt;=250,100+((200-100)/(250-100))*(U148-100),IF(U148&lt;=350,200+((300-200)/(350-250))*(U148-250),IF(U148&lt;=430,300+((400-300)/(430-350))*(U148-350),IF(U148&lt;=600,400+((500-400)/(600-430))*(U148-430),500)))))))</f>
        <v>39.2</v>
      </c>
      <c r="AH148" s="4" t="n">
        <f aca="false">IF(V148="","",IF((V148/1000)&lt;=1,(50/1)*(V148/1000),IF((V148/1000)&lt;=2,50+((100-50)/(2-1))*(V148/1000-1),IF((V148/1000)&lt;=10,100+((200-100)/(10-2))*(V148/1000-2),IF((V148/1000)&lt;=17,200+((300-200)/(17-10))*(V148/1000-10),IF((V148/1000)&lt;=34,300+((400-300)/(34-17))*(V148/1000-17),IF((V148/1000)&lt;=57,400+((500-400)/(57-34))*(V148/1000-34),500)))))))</f>
        <v>17.65</v>
      </c>
      <c r="AI148" s="4" t="n">
        <f aca="false">IF(W148="","",IF(W148&lt;=40,(50/40)*W148,IF(W148&lt;=80,50+((100-50)/(80-40))*(W148-40),IF(W148&lt;=180,100+((200-100)/(180-80))*(W148-80),IF(W148&lt;=280,200+((300-200)/(280-180))*(W148-180),IF(W148&lt;=400,300+((400-300)/(400-280))*(W148-280),IF(W148&lt;=800,400+((500-400)/(800-400))*(W148-400),500)))))))</f>
        <v>22.875</v>
      </c>
      <c r="AJ148" s="4" t="n">
        <f aca="false">IF(X148="","",IF(X148&lt;=40,(50/40)*X148,IF(X148&lt;=80,50+((100-50)/(80-40))*(X148-40),IF(X148&lt;=380,100+((200-100)/(380-80))*(X148-80),IF(X148&lt;=800,200+((300-200)/(800-380))*(X148-380),IF(X148&lt;=1600,300+((400-300)/(1600-800))*(X148-800),IF(X148&lt;=2100,400+((500-400)/(2100-1600))*(X148-1600),500)))))))</f>
        <v>20</v>
      </c>
      <c r="AK148" s="4" t="n">
        <f aca="false">IF(Y148="","",IF(Y148&lt;=50,(50/50)*Y148,IF(Y148&lt;=100,50+((100-50)/(100-50))*(Y148-50),IF(Y148&lt;=168,100+((200-100)/(168-100))*(Y148-100),IF(Y148&lt;=208,200+((300-200)/(208-168))*(Y148-168),IF(Y148&lt;=748,300+((400-300)/(748-208))*(Y148-208),IF(Y148&lt;=1000,400+((500-400)/(1000-748))*(Y148-748),500)))))))</f>
        <v>60</v>
      </c>
      <c r="AL148" s="4" t="n">
        <f aca="false">ROUND(MAX(AF148,AG148,AH148,AI148,AJ148,AK148),0)</f>
        <v>64</v>
      </c>
      <c r="AM148" s="4" t="str">
        <f aca="false">IF(AL148="","",IF(AL148&lt;=50,"Good",IF(AL148&lt;=100,"Satisfactory",IF(AL148&lt;=200,"Moderate",IF(AL148&lt;=300,"Poor",IF(AL148&lt;=400,"Very Poor","Severe"))))))</f>
        <v>Satisfactory</v>
      </c>
    </row>
    <row r="149" customFormat="false" ht="15.75" hidden="false" customHeight="false" outlineLevel="0" collapsed="false">
      <c r="A149" s="1" t="s">
        <v>39</v>
      </c>
      <c r="B149" s="1" t="s">
        <v>40</v>
      </c>
      <c r="C149" s="1" t="n">
        <v>28.4595</v>
      </c>
      <c r="D149" s="1" t="n">
        <v>77.0266</v>
      </c>
      <c r="E149" s="5" t="n">
        <v>45907</v>
      </c>
      <c r="F149" s="6" t="s">
        <v>52</v>
      </c>
      <c r="G149" s="1" t="n">
        <v>9</v>
      </c>
      <c r="H149" s="7" t="s">
        <v>87</v>
      </c>
      <c r="I149" s="6" t="s">
        <v>46</v>
      </c>
      <c r="J149" s="7" t="s">
        <v>44</v>
      </c>
      <c r="K149" s="7" t="s">
        <v>45</v>
      </c>
      <c r="L149" s="1" t="n">
        <v>95</v>
      </c>
      <c r="M149" s="1" t="n">
        <v>24.3</v>
      </c>
      <c r="N149" s="1" t="n">
        <v>20.5</v>
      </c>
      <c r="O149" s="1" t="n">
        <v>0</v>
      </c>
      <c r="P149" s="6" t="s">
        <v>43</v>
      </c>
      <c r="Q149" s="6" t="s">
        <v>43</v>
      </c>
      <c r="R149" s="1" t="n">
        <v>1004.7</v>
      </c>
      <c r="S149" s="1" t="n">
        <v>72</v>
      </c>
      <c r="T149" s="1" t="n">
        <v>37.4</v>
      </c>
      <c r="U149" s="1" t="n">
        <v>38.8</v>
      </c>
      <c r="V149" s="1" t="n">
        <v>340</v>
      </c>
      <c r="W149" s="1" t="n">
        <v>19.2</v>
      </c>
      <c r="X149" s="1" t="n">
        <v>16.6</v>
      </c>
      <c r="Y149" s="1" t="n">
        <v>54</v>
      </c>
      <c r="Z149" s="1" t="n">
        <v>2</v>
      </c>
      <c r="AA149" s="1" t="n">
        <v>102</v>
      </c>
      <c r="AB149" s="7" t="s">
        <v>81</v>
      </c>
      <c r="AC149" s="7" t="s">
        <v>82</v>
      </c>
      <c r="AD149" s="7" t="s">
        <v>83</v>
      </c>
      <c r="AE149" s="7" t="s">
        <v>84</v>
      </c>
      <c r="AF149" s="4" t="n">
        <f aca="false">IF(T149="","",IF(T149&lt;=30,(50/30)*T149,IF(T149&lt;=60,50+((100-50)/(60-30))*(T149-30),IF(T149&lt;=90,100+((200-100)/(90-60))*(T149-60),IF(T149&lt;=120,200+((300-200)/(120-90))*(T149-90),IF(T149&lt;=250,300+((400-300)/(250-120))*(T149-120),IF(T149&lt;=380,400+((500-400)/(380-250))*(T149-250),500)))))))</f>
        <v>62.3333333333333</v>
      </c>
      <c r="AG149" s="4" t="n">
        <f aca="false">IF(U149="","",IF(U149&lt;=50,(50/50)*U149,IF(U149&lt;=100,50+((100-50)/(100-50))*(U149-50),IF(U149&lt;=250,100+((200-100)/(250-100))*(U149-100),IF(U149&lt;=350,200+((300-200)/(350-250))*(U149-250),IF(U149&lt;=430,300+((400-300)/(430-350))*(U149-350),IF(U149&lt;=600,400+((500-400)/(600-430))*(U149-430),500)))))))</f>
        <v>38.8</v>
      </c>
      <c r="AH149" s="4" t="n">
        <f aca="false">IF(V149="","",IF((V149/1000)&lt;=1,(50/1)*(V149/1000),IF((V149/1000)&lt;=2,50+((100-50)/(2-1))*(V149/1000-1),IF((V149/1000)&lt;=10,100+((200-100)/(10-2))*(V149/1000-2),IF((V149/1000)&lt;=17,200+((300-200)/(17-10))*(V149/1000-10),IF((V149/1000)&lt;=34,300+((400-300)/(34-17))*(V149/1000-17),IF((V149/1000)&lt;=57,400+((500-400)/(57-34))*(V149/1000-34),500)))))))</f>
        <v>17</v>
      </c>
      <c r="AI149" s="4" t="n">
        <f aca="false">IF(W149="","",IF(W149&lt;=40,(50/40)*W149,IF(W149&lt;=80,50+((100-50)/(80-40))*(W149-40),IF(W149&lt;=180,100+((200-100)/(180-80))*(W149-80),IF(W149&lt;=280,200+((300-200)/(280-180))*(W149-180),IF(W149&lt;=400,300+((400-300)/(400-280))*(W149-280),IF(W149&lt;=800,400+((500-400)/(800-400))*(W149-400),500)))))))</f>
        <v>24</v>
      </c>
      <c r="AJ149" s="4" t="n">
        <f aca="false">IF(X149="","",IF(X149&lt;=40,(50/40)*X149,IF(X149&lt;=80,50+((100-50)/(80-40))*(X149-40),IF(X149&lt;=380,100+((200-100)/(380-80))*(X149-80),IF(X149&lt;=800,200+((300-200)/(800-380))*(X149-380),IF(X149&lt;=1600,300+((400-300)/(1600-800))*(X149-800),IF(X149&lt;=2100,400+((500-400)/(2100-1600))*(X149-1600),500)))))))</f>
        <v>20.75</v>
      </c>
      <c r="AK149" s="4" t="n">
        <f aca="false">IF(Y149="","",IF(Y149&lt;=50,(50/50)*Y149,IF(Y149&lt;=100,50+((100-50)/(100-50))*(Y149-50),IF(Y149&lt;=168,100+((200-100)/(168-100))*(Y149-100),IF(Y149&lt;=208,200+((300-200)/(208-168))*(Y149-168),IF(Y149&lt;=748,300+((400-300)/(748-208))*(Y149-208),IF(Y149&lt;=1000,400+((500-400)/(1000-748))*(Y149-748),500)))))))</f>
        <v>54</v>
      </c>
      <c r="AL149" s="4" t="n">
        <f aca="false">ROUND(MAX(AF149,AG149,AH149,AI149,AJ149,AK149),0)</f>
        <v>62</v>
      </c>
      <c r="AM149" s="4" t="str">
        <f aca="false">IF(AL149="","",IF(AL149&lt;=50,"Good",IF(AL149&lt;=100,"Satisfactory",IF(AL149&lt;=200,"Moderate",IF(AL149&lt;=300,"Poor",IF(AL149&lt;=400,"Very Poor","Severe"))))))</f>
        <v>Satisfactory</v>
      </c>
    </row>
    <row r="150" customFormat="false" ht="15.75" hidden="false" customHeight="false" outlineLevel="0" collapsed="false">
      <c r="A150" s="1" t="s">
        <v>39</v>
      </c>
      <c r="B150" s="1" t="s">
        <v>40</v>
      </c>
      <c r="C150" s="1" t="n">
        <v>28.4595</v>
      </c>
      <c r="D150" s="1" t="n">
        <v>77.0266</v>
      </c>
      <c r="E150" s="5" t="n">
        <v>45907</v>
      </c>
      <c r="F150" s="6" t="s">
        <v>53</v>
      </c>
      <c r="G150" s="1" t="n">
        <v>9</v>
      </c>
      <c r="H150" s="7" t="s">
        <v>87</v>
      </c>
      <c r="I150" s="6" t="s">
        <v>46</v>
      </c>
      <c r="J150" s="7" t="s">
        <v>44</v>
      </c>
      <c r="K150" s="7" t="s">
        <v>45</v>
      </c>
      <c r="L150" s="1" t="n">
        <v>96</v>
      </c>
      <c r="M150" s="1" t="n">
        <v>24.1</v>
      </c>
      <c r="N150" s="1" t="n">
        <v>15.8</v>
      </c>
      <c r="O150" s="1" t="n">
        <v>0</v>
      </c>
      <c r="P150" s="6" t="s">
        <v>43</v>
      </c>
      <c r="Q150" s="6" t="s">
        <v>43</v>
      </c>
      <c r="R150" s="1" t="n">
        <v>1004.4</v>
      </c>
      <c r="S150" s="1" t="n">
        <v>9</v>
      </c>
      <c r="T150" s="1" t="n">
        <v>38.5</v>
      </c>
      <c r="U150" s="1" t="n">
        <v>40.3</v>
      </c>
      <c r="V150" s="1" t="n">
        <v>350</v>
      </c>
      <c r="W150" s="1" t="n">
        <v>21</v>
      </c>
      <c r="X150" s="1" t="n">
        <v>17.4</v>
      </c>
      <c r="Y150" s="1" t="n">
        <v>47</v>
      </c>
      <c r="Z150" s="1" t="n">
        <v>3</v>
      </c>
      <c r="AA150" s="1" t="n">
        <v>104</v>
      </c>
      <c r="AB150" s="7" t="s">
        <v>81</v>
      </c>
      <c r="AC150" s="7" t="s">
        <v>82</v>
      </c>
      <c r="AD150" s="7" t="s">
        <v>83</v>
      </c>
      <c r="AE150" s="7" t="s">
        <v>84</v>
      </c>
      <c r="AF150" s="4" t="n">
        <f aca="false">IF(T150="","",IF(T150&lt;=30,(50/30)*T150,IF(T150&lt;=60,50+((100-50)/(60-30))*(T150-30),IF(T150&lt;=90,100+((200-100)/(90-60))*(T150-60),IF(T150&lt;=120,200+((300-200)/(120-90))*(T150-90),IF(T150&lt;=250,300+((400-300)/(250-120))*(T150-120),IF(T150&lt;=380,400+((500-400)/(380-250))*(T150-250),500)))))))</f>
        <v>64.1666666666667</v>
      </c>
      <c r="AG150" s="4" t="n">
        <f aca="false">IF(U150="","",IF(U150&lt;=50,(50/50)*U150,IF(U150&lt;=100,50+((100-50)/(100-50))*(U150-50),IF(U150&lt;=250,100+((200-100)/(250-100))*(U150-100),IF(U150&lt;=350,200+((300-200)/(350-250))*(U150-250),IF(U150&lt;=430,300+((400-300)/(430-350))*(U150-350),IF(U150&lt;=600,400+((500-400)/(600-430))*(U150-430),500)))))))</f>
        <v>40.3</v>
      </c>
      <c r="AH150" s="4" t="n">
        <f aca="false">IF(V150="","",IF((V150/1000)&lt;=1,(50/1)*(V150/1000),IF((V150/1000)&lt;=2,50+((100-50)/(2-1))*(V150/1000-1),IF((V150/1000)&lt;=10,100+((200-100)/(10-2))*(V150/1000-2),IF((V150/1000)&lt;=17,200+((300-200)/(17-10))*(V150/1000-10),IF((V150/1000)&lt;=34,300+((400-300)/(34-17))*(V150/1000-17),IF((V150/1000)&lt;=57,400+((500-400)/(57-34))*(V150/1000-34),500)))))))</f>
        <v>17.5</v>
      </c>
      <c r="AI150" s="4" t="n">
        <f aca="false">IF(W150="","",IF(W150&lt;=40,(50/40)*W150,IF(W150&lt;=80,50+((100-50)/(80-40))*(W150-40),IF(W150&lt;=180,100+((200-100)/(180-80))*(W150-80),IF(W150&lt;=280,200+((300-200)/(280-180))*(W150-180),IF(W150&lt;=400,300+((400-300)/(400-280))*(W150-280),IF(W150&lt;=800,400+((500-400)/(800-400))*(W150-400),500)))))))</f>
        <v>26.25</v>
      </c>
      <c r="AJ150" s="4" t="n">
        <f aca="false">IF(X150="","",IF(X150&lt;=40,(50/40)*X150,IF(X150&lt;=80,50+((100-50)/(80-40))*(X150-40),IF(X150&lt;=380,100+((200-100)/(380-80))*(X150-80),IF(X150&lt;=800,200+((300-200)/(800-380))*(X150-380),IF(X150&lt;=1600,300+((400-300)/(1600-800))*(X150-800),IF(X150&lt;=2100,400+((500-400)/(2100-1600))*(X150-1600),500)))))))</f>
        <v>21.75</v>
      </c>
      <c r="AK150" s="4" t="n">
        <f aca="false">IF(Y150="","",IF(Y150&lt;=50,(50/50)*Y150,IF(Y150&lt;=100,50+((100-50)/(100-50))*(Y150-50),IF(Y150&lt;=168,100+((200-100)/(168-100))*(Y150-100),IF(Y150&lt;=208,200+((300-200)/(208-168))*(Y150-168),IF(Y150&lt;=748,300+((400-300)/(748-208))*(Y150-208),IF(Y150&lt;=1000,400+((500-400)/(1000-748))*(Y150-748),500)))))))</f>
        <v>47</v>
      </c>
      <c r="AL150" s="4" t="n">
        <f aca="false">ROUND(MAX(AF150,AG150,AH150,AI150,AJ150,AK150),0)</f>
        <v>64</v>
      </c>
      <c r="AM150" s="4" t="str">
        <f aca="false">IF(AL150="","",IF(AL150&lt;=50,"Good",IF(AL150&lt;=100,"Satisfactory",IF(AL150&lt;=200,"Moderate",IF(AL150&lt;=300,"Poor",IF(AL150&lt;=400,"Very Poor","Severe"))))))</f>
        <v>Satisfactory</v>
      </c>
    </row>
    <row r="151" customFormat="false" ht="15.75" hidden="false" customHeight="false" outlineLevel="0" collapsed="false">
      <c r="A151" s="1" t="s">
        <v>39</v>
      </c>
      <c r="B151" s="1" t="s">
        <v>40</v>
      </c>
      <c r="C151" s="1" t="n">
        <v>28.4595</v>
      </c>
      <c r="D151" s="1" t="n">
        <v>77.0266</v>
      </c>
      <c r="E151" s="5" t="n">
        <v>45907</v>
      </c>
      <c r="F151" s="6" t="s">
        <v>54</v>
      </c>
      <c r="G151" s="1" t="n">
        <v>9</v>
      </c>
      <c r="H151" s="7" t="s">
        <v>87</v>
      </c>
      <c r="I151" s="6" t="s">
        <v>46</v>
      </c>
      <c r="J151" s="7" t="s">
        <v>44</v>
      </c>
      <c r="K151" s="7" t="s">
        <v>45</v>
      </c>
      <c r="L151" s="1" t="n">
        <v>97</v>
      </c>
      <c r="M151" s="1" t="n">
        <v>24</v>
      </c>
      <c r="N151" s="1" t="n">
        <v>17.6</v>
      </c>
      <c r="O151" s="1" t="n">
        <v>0</v>
      </c>
      <c r="P151" s="6" t="s">
        <v>43</v>
      </c>
      <c r="Q151" s="6" t="s">
        <v>43</v>
      </c>
      <c r="R151" s="1" t="n">
        <v>1004.7</v>
      </c>
      <c r="S151" s="1" t="n">
        <v>3</v>
      </c>
      <c r="T151" s="1" t="n">
        <v>36.7</v>
      </c>
      <c r="U151" s="1" t="n">
        <v>38.8</v>
      </c>
      <c r="V151" s="1" t="n">
        <v>382</v>
      </c>
      <c r="W151" s="1" t="n">
        <v>19.7</v>
      </c>
      <c r="X151" s="1" t="n">
        <v>16.3</v>
      </c>
      <c r="Y151" s="1" t="n">
        <v>49</v>
      </c>
      <c r="Z151" s="1" t="n">
        <v>4</v>
      </c>
      <c r="AA151" s="1" t="n">
        <v>106</v>
      </c>
      <c r="AB151" s="7" t="s">
        <v>81</v>
      </c>
      <c r="AC151" s="7" t="s">
        <v>82</v>
      </c>
      <c r="AD151" s="7" t="s">
        <v>83</v>
      </c>
      <c r="AE151" s="7" t="s">
        <v>84</v>
      </c>
      <c r="AF151" s="4" t="n">
        <f aca="false">IF(T151="","",IF(T151&lt;=30,(50/30)*T151,IF(T151&lt;=60,50+((100-50)/(60-30))*(T151-30),IF(T151&lt;=90,100+((200-100)/(90-60))*(T151-60),IF(T151&lt;=120,200+((300-200)/(120-90))*(T151-90),IF(T151&lt;=250,300+((400-300)/(250-120))*(T151-120),IF(T151&lt;=380,400+((500-400)/(380-250))*(T151-250),500)))))))</f>
        <v>61.1666666666667</v>
      </c>
      <c r="AG151" s="4" t="n">
        <f aca="false">IF(U151="","",IF(U151&lt;=50,(50/50)*U151,IF(U151&lt;=100,50+((100-50)/(100-50))*(U151-50),IF(U151&lt;=250,100+((200-100)/(250-100))*(U151-100),IF(U151&lt;=350,200+((300-200)/(350-250))*(U151-250),IF(U151&lt;=430,300+((400-300)/(430-350))*(U151-350),IF(U151&lt;=600,400+((500-400)/(600-430))*(U151-430),500)))))))</f>
        <v>38.8</v>
      </c>
      <c r="AH151" s="4" t="n">
        <f aca="false">IF(V151="","",IF((V151/1000)&lt;=1,(50/1)*(V151/1000),IF((V151/1000)&lt;=2,50+((100-50)/(2-1))*(V151/1000-1),IF((V151/1000)&lt;=10,100+((200-100)/(10-2))*(V151/1000-2),IF((V151/1000)&lt;=17,200+((300-200)/(17-10))*(V151/1000-10),IF((V151/1000)&lt;=34,300+((400-300)/(34-17))*(V151/1000-17),IF((V151/1000)&lt;=57,400+((500-400)/(57-34))*(V151/1000-34),500)))))))</f>
        <v>19.1</v>
      </c>
      <c r="AI151" s="4" t="n">
        <f aca="false">IF(W151="","",IF(W151&lt;=40,(50/40)*W151,IF(W151&lt;=80,50+((100-50)/(80-40))*(W151-40),IF(W151&lt;=180,100+((200-100)/(180-80))*(W151-80),IF(W151&lt;=280,200+((300-200)/(280-180))*(W151-180),IF(W151&lt;=400,300+((400-300)/(400-280))*(W151-280),IF(W151&lt;=800,400+((500-400)/(800-400))*(W151-400),500)))))))</f>
        <v>24.625</v>
      </c>
      <c r="AJ151" s="4" t="n">
        <f aca="false">IF(X151="","",IF(X151&lt;=40,(50/40)*X151,IF(X151&lt;=80,50+((100-50)/(80-40))*(X151-40),IF(X151&lt;=380,100+((200-100)/(380-80))*(X151-80),IF(X151&lt;=800,200+((300-200)/(800-380))*(X151-380),IF(X151&lt;=1600,300+((400-300)/(1600-800))*(X151-800),IF(X151&lt;=2100,400+((500-400)/(2100-1600))*(X151-1600),500)))))))</f>
        <v>20.375</v>
      </c>
      <c r="AK151" s="4" t="n">
        <f aca="false">IF(Y151="","",IF(Y151&lt;=50,(50/50)*Y151,IF(Y151&lt;=100,50+((100-50)/(100-50))*(Y151-50),IF(Y151&lt;=168,100+((200-100)/(168-100))*(Y151-100),IF(Y151&lt;=208,200+((300-200)/(208-168))*(Y151-168),IF(Y151&lt;=748,300+((400-300)/(748-208))*(Y151-208),IF(Y151&lt;=1000,400+((500-400)/(1000-748))*(Y151-748),500)))))))</f>
        <v>49</v>
      </c>
      <c r="AL151" s="4" t="n">
        <f aca="false">ROUND(MAX(AF151,AG151,AH151,AI151,AJ151,AK151),0)</f>
        <v>61</v>
      </c>
      <c r="AM151" s="4" t="str">
        <f aca="false">IF(AL151="","",IF(AL151&lt;=50,"Good",IF(AL151&lt;=100,"Satisfactory",IF(AL151&lt;=200,"Moderate",IF(AL151&lt;=300,"Poor",IF(AL151&lt;=400,"Very Poor","Severe"))))))</f>
        <v>Satisfactory</v>
      </c>
    </row>
    <row r="152" customFormat="false" ht="15.75" hidden="false" customHeight="false" outlineLevel="0" collapsed="false">
      <c r="A152" s="1" t="s">
        <v>39</v>
      </c>
      <c r="B152" s="1" t="s">
        <v>40</v>
      </c>
      <c r="C152" s="1" t="n">
        <v>28.4595</v>
      </c>
      <c r="D152" s="1" t="n">
        <v>77.0266</v>
      </c>
      <c r="E152" s="5" t="n">
        <v>45907</v>
      </c>
      <c r="F152" s="6" t="s">
        <v>55</v>
      </c>
      <c r="G152" s="1" t="n">
        <v>9</v>
      </c>
      <c r="H152" s="7" t="s">
        <v>87</v>
      </c>
      <c r="I152" s="6" t="s">
        <v>46</v>
      </c>
      <c r="J152" s="7" t="s">
        <v>44</v>
      </c>
      <c r="K152" s="7" t="s">
        <v>56</v>
      </c>
      <c r="L152" s="1" t="n">
        <v>94</v>
      </c>
      <c r="M152" s="1" t="n">
        <v>24.9</v>
      </c>
      <c r="N152" s="1" t="n">
        <v>21.6</v>
      </c>
      <c r="O152" s="1" t="n">
        <v>0</v>
      </c>
      <c r="P152" s="6" t="s">
        <v>43</v>
      </c>
      <c r="Q152" s="6" t="s">
        <v>43</v>
      </c>
      <c r="R152" s="1" t="n">
        <v>1004.2</v>
      </c>
      <c r="S152" s="1" t="n">
        <v>98</v>
      </c>
      <c r="T152" s="1" t="n">
        <v>36.2</v>
      </c>
      <c r="U152" s="1" t="n">
        <v>38.6</v>
      </c>
      <c r="V152" s="1" t="n">
        <v>460</v>
      </c>
      <c r="W152" s="1" t="n">
        <v>19.8</v>
      </c>
      <c r="X152" s="1" t="n">
        <v>16.3</v>
      </c>
      <c r="Y152" s="1" t="n">
        <v>51</v>
      </c>
      <c r="Z152" s="1" t="n">
        <v>4</v>
      </c>
      <c r="AA152" s="1" t="n">
        <v>107</v>
      </c>
      <c r="AB152" s="7" t="s">
        <v>81</v>
      </c>
      <c r="AC152" s="7" t="s">
        <v>82</v>
      </c>
      <c r="AD152" s="7" t="s">
        <v>83</v>
      </c>
      <c r="AE152" s="7" t="s">
        <v>84</v>
      </c>
      <c r="AF152" s="4" t="n">
        <f aca="false">IF(T152="","",IF(T152&lt;=30,(50/30)*T152,IF(T152&lt;=60,50+((100-50)/(60-30))*(T152-30),IF(T152&lt;=90,100+((200-100)/(90-60))*(T152-60),IF(T152&lt;=120,200+((300-200)/(120-90))*(T152-90),IF(T152&lt;=250,300+((400-300)/(250-120))*(T152-120),IF(T152&lt;=380,400+((500-400)/(380-250))*(T152-250),500)))))))</f>
        <v>60.3333333333333</v>
      </c>
      <c r="AG152" s="4" t="n">
        <f aca="false">IF(U152="","",IF(U152&lt;=50,(50/50)*U152,IF(U152&lt;=100,50+((100-50)/(100-50))*(U152-50),IF(U152&lt;=250,100+((200-100)/(250-100))*(U152-100),IF(U152&lt;=350,200+((300-200)/(350-250))*(U152-250),IF(U152&lt;=430,300+((400-300)/(430-350))*(U152-350),IF(U152&lt;=600,400+((500-400)/(600-430))*(U152-430),500)))))))</f>
        <v>38.6</v>
      </c>
      <c r="AH152" s="4" t="n">
        <f aca="false">IF(V152="","",IF((V152/1000)&lt;=1,(50/1)*(V152/1000),IF((V152/1000)&lt;=2,50+((100-50)/(2-1))*(V152/1000-1),IF((V152/1000)&lt;=10,100+((200-100)/(10-2))*(V152/1000-2),IF((V152/1000)&lt;=17,200+((300-200)/(17-10))*(V152/1000-10),IF((V152/1000)&lt;=34,300+((400-300)/(34-17))*(V152/1000-17),IF((V152/1000)&lt;=57,400+((500-400)/(57-34))*(V152/1000-34),500)))))))</f>
        <v>23</v>
      </c>
      <c r="AI152" s="4" t="n">
        <f aca="false">IF(W152="","",IF(W152&lt;=40,(50/40)*W152,IF(W152&lt;=80,50+((100-50)/(80-40))*(W152-40),IF(W152&lt;=180,100+((200-100)/(180-80))*(W152-80),IF(W152&lt;=280,200+((300-200)/(280-180))*(W152-180),IF(W152&lt;=400,300+((400-300)/(400-280))*(W152-280),IF(W152&lt;=800,400+((500-400)/(800-400))*(W152-400),500)))))))</f>
        <v>24.75</v>
      </c>
      <c r="AJ152" s="4" t="n">
        <f aca="false">IF(X152="","",IF(X152&lt;=40,(50/40)*X152,IF(X152&lt;=80,50+((100-50)/(80-40))*(X152-40),IF(X152&lt;=380,100+((200-100)/(380-80))*(X152-80),IF(X152&lt;=800,200+((300-200)/(800-380))*(X152-380),IF(X152&lt;=1600,300+((400-300)/(1600-800))*(X152-800),IF(X152&lt;=2100,400+((500-400)/(2100-1600))*(X152-1600),500)))))))</f>
        <v>20.375</v>
      </c>
      <c r="AK152" s="4" t="n">
        <f aca="false">IF(Y152="","",IF(Y152&lt;=50,(50/50)*Y152,IF(Y152&lt;=100,50+((100-50)/(100-50))*(Y152-50),IF(Y152&lt;=168,100+((200-100)/(168-100))*(Y152-100),IF(Y152&lt;=208,200+((300-200)/(208-168))*(Y152-168),IF(Y152&lt;=748,300+((400-300)/(748-208))*(Y152-208),IF(Y152&lt;=1000,400+((500-400)/(1000-748))*(Y152-748),500)))))))</f>
        <v>51</v>
      </c>
      <c r="AL152" s="4" t="n">
        <f aca="false">ROUND(MAX(AF152,AG152,AH152,AI152,AJ152,AK152),0)</f>
        <v>60</v>
      </c>
      <c r="AM152" s="4" t="str">
        <f aca="false">IF(AL152="","",IF(AL152&lt;=50,"Good",IF(AL152&lt;=100,"Satisfactory",IF(AL152&lt;=200,"Moderate",IF(AL152&lt;=300,"Poor",IF(AL152&lt;=400,"Very Poor","Severe"))))))</f>
        <v>Satisfactory</v>
      </c>
    </row>
    <row r="153" customFormat="false" ht="15.75" hidden="false" customHeight="false" outlineLevel="0" collapsed="false">
      <c r="A153" s="1" t="s">
        <v>39</v>
      </c>
      <c r="B153" s="1" t="s">
        <v>40</v>
      </c>
      <c r="C153" s="1" t="n">
        <v>28.4595</v>
      </c>
      <c r="D153" s="1" t="n">
        <v>77.0266</v>
      </c>
      <c r="E153" s="5" t="n">
        <v>45907</v>
      </c>
      <c r="F153" s="6" t="s">
        <v>57</v>
      </c>
      <c r="G153" s="1" t="n">
        <v>9</v>
      </c>
      <c r="H153" s="7" t="s">
        <v>87</v>
      </c>
      <c r="I153" s="6" t="s">
        <v>46</v>
      </c>
      <c r="J153" s="7" t="s">
        <v>44</v>
      </c>
      <c r="K153" s="7" t="s">
        <v>56</v>
      </c>
      <c r="L153" s="1" t="n">
        <v>92</v>
      </c>
      <c r="M153" s="1" t="n">
        <v>25.2</v>
      </c>
      <c r="N153" s="1" t="n">
        <v>22.7</v>
      </c>
      <c r="O153" s="1" t="n">
        <v>0</v>
      </c>
      <c r="P153" s="6" t="s">
        <v>43</v>
      </c>
      <c r="Q153" s="6" t="s">
        <v>43</v>
      </c>
      <c r="R153" s="1" t="n">
        <v>1004.8</v>
      </c>
      <c r="S153" s="1" t="n">
        <v>72</v>
      </c>
      <c r="T153" s="1" t="n">
        <v>35.3</v>
      </c>
      <c r="U153" s="1" t="n">
        <v>37.7</v>
      </c>
      <c r="V153" s="1" t="n">
        <v>558</v>
      </c>
      <c r="W153" s="1" t="n">
        <v>19.8</v>
      </c>
      <c r="X153" s="1" t="n">
        <v>16.2</v>
      </c>
      <c r="Y153" s="1" t="n">
        <v>54</v>
      </c>
      <c r="Z153" s="1" t="n">
        <v>4</v>
      </c>
      <c r="AA153" s="1" t="n">
        <v>109</v>
      </c>
      <c r="AB153" s="7" t="s">
        <v>81</v>
      </c>
      <c r="AC153" s="7" t="s">
        <v>82</v>
      </c>
      <c r="AD153" s="7" t="s">
        <v>83</v>
      </c>
      <c r="AE153" s="7" t="s">
        <v>84</v>
      </c>
      <c r="AF153" s="4" t="n">
        <f aca="false">IF(T153="","",IF(T153&lt;=30,(50/30)*T153,IF(T153&lt;=60,50+((100-50)/(60-30))*(T153-30),IF(T153&lt;=90,100+((200-100)/(90-60))*(T153-60),IF(T153&lt;=120,200+((300-200)/(120-90))*(T153-90),IF(T153&lt;=250,300+((400-300)/(250-120))*(T153-120),IF(T153&lt;=380,400+((500-400)/(380-250))*(T153-250),500)))))))</f>
        <v>58.8333333333333</v>
      </c>
      <c r="AG153" s="4" t="n">
        <f aca="false">IF(U153="","",IF(U153&lt;=50,(50/50)*U153,IF(U153&lt;=100,50+((100-50)/(100-50))*(U153-50),IF(U153&lt;=250,100+((200-100)/(250-100))*(U153-100),IF(U153&lt;=350,200+((300-200)/(350-250))*(U153-250),IF(U153&lt;=430,300+((400-300)/(430-350))*(U153-350),IF(U153&lt;=600,400+((500-400)/(600-430))*(U153-430),500)))))))</f>
        <v>37.7</v>
      </c>
      <c r="AH153" s="4" t="n">
        <f aca="false">IF(V153="","",IF((V153/1000)&lt;=1,(50/1)*(V153/1000),IF((V153/1000)&lt;=2,50+((100-50)/(2-1))*(V153/1000-1),IF((V153/1000)&lt;=10,100+((200-100)/(10-2))*(V153/1000-2),IF((V153/1000)&lt;=17,200+((300-200)/(17-10))*(V153/1000-10),IF((V153/1000)&lt;=34,300+((400-300)/(34-17))*(V153/1000-17),IF((V153/1000)&lt;=57,400+((500-400)/(57-34))*(V153/1000-34),500)))))))</f>
        <v>27.9</v>
      </c>
      <c r="AI153" s="4" t="n">
        <f aca="false">IF(W153="","",IF(W153&lt;=40,(50/40)*W153,IF(W153&lt;=80,50+((100-50)/(80-40))*(W153-40),IF(W153&lt;=180,100+((200-100)/(180-80))*(W153-80),IF(W153&lt;=280,200+((300-200)/(280-180))*(W153-180),IF(W153&lt;=400,300+((400-300)/(400-280))*(W153-280),IF(W153&lt;=800,400+((500-400)/(800-400))*(W153-400),500)))))))</f>
        <v>24.75</v>
      </c>
      <c r="AJ153" s="4" t="n">
        <f aca="false">IF(X153="","",IF(X153&lt;=40,(50/40)*X153,IF(X153&lt;=80,50+((100-50)/(80-40))*(X153-40),IF(X153&lt;=380,100+((200-100)/(380-80))*(X153-80),IF(X153&lt;=800,200+((300-200)/(800-380))*(X153-380),IF(X153&lt;=1600,300+((400-300)/(1600-800))*(X153-800),IF(X153&lt;=2100,400+((500-400)/(2100-1600))*(X153-1600),500)))))))</f>
        <v>20.25</v>
      </c>
      <c r="AK153" s="4" t="n">
        <f aca="false">IF(Y153="","",IF(Y153&lt;=50,(50/50)*Y153,IF(Y153&lt;=100,50+((100-50)/(100-50))*(Y153-50),IF(Y153&lt;=168,100+((200-100)/(168-100))*(Y153-100),IF(Y153&lt;=208,200+((300-200)/(208-168))*(Y153-168),IF(Y153&lt;=748,300+((400-300)/(748-208))*(Y153-208),IF(Y153&lt;=1000,400+((500-400)/(1000-748))*(Y153-748),500)))))))</f>
        <v>54</v>
      </c>
      <c r="AL153" s="4" t="n">
        <f aca="false">ROUND(MAX(AF153,AG153,AH153,AI153,AJ153,AK153),0)</f>
        <v>59</v>
      </c>
      <c r="AM153" s="4" t="str">
        <f aca="false">IF(AL153="","",IF(AL153&lt;=50,"Good",IF(AL153&lt;=100,"Satisfactory",IF(AL153&lt;=200,"Moderate",IF(AL153&lt;=300,"Poor",IF(AL153&lt;=400,"Very Poor","Severe"))))))</f>
        <v>Satisfactory</v>
      </c>
    </row>
    <row r="154" customFormat="false" ht="15.75" hidden="false" customHeight="false" outlineLevel="0" collapsed="false">
      <c r="A154" s="1" t="s">
        <v>39</v>
      </c>
      <c r="B154" s="1" t="s">
        <v>40</v>
      </c>
      <c r="C154" s="1" t="n">
        <v>28.4595</v>
      </c>
      <c r="D154" s="1" t="n">
        <v>77.0266</v>
      </c>
      <c r="E154" s="5" t="n">
        <v>45907</v>
      </c>
      <c r="F154" s="6" t="s">
        <v>58</v>
      </c>
      <c r="G154" s="1" t="n">
        <v>9</v>
      </c>
      <c r="H154" s="7" t="s">
        <v>87</v>
      </c>
      <c r="I154" s="6" t="s">
        <v>46</v>
      </c>
      <c r="J154" s="7" t="s">
        <v>44</v>
      </c>
      <c r="K154" s="7" t="s">
        <v>56</v>
      </c>
      <c r="L154" s="1" t="n">
        <v>86</v>
      </c>
      <c r="M154" s="1" t="n">
        <v>25.5</v>
      </c>
      <c r="N154" s="1" t="n">
        <v>23.4</v>
      </c>
      <c r="O154" s="1" t="n">
        <v>0</v>
      </c>
      <c r="P154" s="6" t="s">
        <v>43</v>
      </c>
      <c r="Q154" s="6" t="s">
        <v>43</v>
      </c>
      <c r="R154" s="1" t="n">
        <v>1005.1</v>
      </c>
      <c r="S154" s="1" t="n">
        <v>35</v>
      </c>
      <c r="T154" s="1" t="n">
        <v>33.3</v>
      </c>
      <c r="U154" s="1" t="n">
        <v>35.3</v>
      </c>
      <c r="V154" s="1" t="n">
        <v>600</v>
      </c>
      <c r="W154" s="1" t="n">
        <v>18.6</v>
      </c>
      <c r="X154" s="1" t="n">
        <v>15.9</v>
      </c>
      <c r="Y154" s="1" t="n">
        <v>63</v>
      </c>
      <c r="Z154" s="1" t="n">
        <v>4</v>
      </c>
      <c r="AA154" s="1" t="n">
        <v>110</v>
      </c>
      <c r="AB154" s="7" t="s">
        <v>81</v>
      </c>
      <c r="AC154" s="7" t="s">
        <v>82</v>
      </c>
      <c r="AD154" s="7" t="s">
        <v>83</v>
      </c>
      <c r="AE154" s="7" t="s">
        <v>84</v>
      </c>
      <c r="AF154" s="4" t="n">
        <f aca="false">IF(T154="","",IF(T154&lt;=30,(50/30)*T154,IF(T154&lt;=60,50+((100-50)/(60-30))*(T154-30),IF(T154&lt;=90,100+((200-100)/(90-60))*(T154-60),IF(T154&lt;=120,200+((300-200)/(120-90))*(T154-90),IF(T154&lt;=250,300+((400-300)/(250-120))*(T154-120),IF(T154&lt;=380,400+((500-400)/(380-250))*(T154-250),500)))))))</f>
        <v>55.5</v>
      </c>
      <c r="AG154" s="4" t="n">
        <f aca="false">IF(U154="","",IF(U154&lt;=50,(50/50)*U154,IF(U154&lt;=100,50+((100-50)/(100-50))*(U154-50),IF(U154&lt;=250,100+((200-100)/(250-100))*(U154-100),IF(U154&lt;=350,200+((300-200)/(350-250))*(U154-250),IF(U154&lt;=430,300+((400-300)/(430-350))*(U154-350),IF(U154&lt;=600,400+((500-400)/(600-430))*(U154-430),500)))))))</f>
        <v>35.3</v>
      </c>
      <c r="AH154" s="4" t="n">
        <f aca="false">IF(V154="","",IF((V154/1000)&lt;=1,(50/1)*(V154/1000),IF((V154/1000)&lt;=2,50+((100-50)/(2-1))*(V154/1000-1),IF((V154/1000)&lt;=10,100+((200-100)/(10-2))*(V154/1000-2),IF((V154/1000)&lt;=17,200+((300-200)/(17-10))*(V154/1000-10),IF((V154/1000)&lt;=34,300+((400-300)/(34-17))*(V154/1000-17),IF((V154/1000)&lt;=57,400+((500-400)/(57-34))*(V154/1000-34),500)))))))</f>
        <v>30</v>
      </c>
      <c r="AI154" s="4" t="n">
        <f aca="false">IF(W154="","",IF(W154&lt;=40,(50/40)*W154,IF(W154&lt;=80,50+((100-50)/(80-40))*(W154-40),IF(W154&lt;=180,100+((200-100)/(180-80))*(W154-80),IF(W154&lt;=280,200+((300-200)/(280-180))*(W154-180),IF(W154&lt;=400,300+((400-300)/(400-280))*(W154-280),IF(W154&lt;=800,400+((500-400)/(800-400))*(W154-400),500)))))))</f>
        <v>23.25</v>
      </c>
      <c r="AJ154" s="4" t="n">
        <f aca="false">IF(X154="","",IF(X154&lt;=40,(50/40)*X154,IF(X154&lt;=80,50+((100-50)/(80-40))*(X154-40),IF(X154&lt;=380,100+((200-100)/(380-80))*(X154-80),IF(X154&lt;=800,200+((300-200)/(800-380))*(X154-380),IF(X154&lt;=1600,300+((400-300)/(1600-800))*(X154-800),IF(X154&lt;=2100,400+((500-400)/(2100-1600))*(X154-1600),500)))))))</f>
        <v>19.875</v>
      </c>
      <c r="AK154" s="4" t="n">
        <f aca="false">IF(Y154="","",IF(Y154&lt;=50,(50/50)*Y154,IF(Y154&lt;=100,50+((100-50)/(100-50))*(Y154-50),IF(Y154&lt;=168,100+((200-100)/(168-100))*(Y154-100),IF(Y154&lt;=208,200+((300-200)/(208-168))*(Y154-168),IF(Y154&lt;=748,300+((400-300)/(748-208))*(Y154-208),IF(Y154&lt;=1000,400+((500-400)/(1000-748))*(Y154-748),500)))))))</f>
        <v>63</v>
      </c>
      <c r="AL154" s="4" t="n">
        <f aca="false">ROUND(MAX(AF154,AG154,AH154,AI154,AJ154,AK154),0)</f>
        <v>63</v>
      </c>
      <c r="AM154" s="4" t="str">
        <f aca="false">IF(AL154="","",IF(AL154&lt;=50,"Good",IF(AL154&lt;=100,"Satisfactory",IF(AL154&lt;=200,"Moderate",IF(AL154&lt;=300,"Poor",IF(AL154&lt;=400,"Very Poor","Severe"))))))</f>
        <v>Satisfactory</v>
      </c>
    </row>
    <row r="155" customFormat="false" ht="15.75" hidden="false" customHeight="false" outlineLevel="0" collapsed="false">
      <c r="A155" s="1" t="s">
        <v>39</v>
      </c>
      <c r="B155" s="1" t="s">
        <v>40</v>
      </c>
      <c r="C155" s="1" t="n">
        <v>28.4595</v>
      </c>
      <c r="D155" s="1" t="n">
        <v>77.0266</v>
      </c>
      <c r="E155" s="5" t="n">
        <v>45907</v>
      </c>
      <c r="F155" s="6" t="s">
        <v>59</v>
      </c>
      <c r="G155" s="1" t="n">
        <v>9</v>
      </c>
      <c r="H155" s="7" t="s">
        <v>87</v>
      </c>
      <c r="I155" s="6" t="s">
        <v>46</v>
      </c>
      <c r="J155" s="7" t="s">
        <v>44</v>
      </c>
      <c r="K155" s="7" t="s">
        <v>60</v>
      </c>
      <c r="L155" s="1" t="n">
        <v>78</v>
      </c>
      <c r="M155" s="1" t="n">
        <v>25.3</v>
      </c>
      <c r="N155" s="1" t="n">
        <v>28.4</v>
      </c>
      <c r="O155" s="1" t="n">
        <v>0.1</v>
      </c>
      <c r="P155" s="6" t="s">
        <v>46</v>
      </c>
      <c r="Q155" s="6" t="s">
        <v>43</v>
      </c>
      <c r="R155" s="1" t="n">
        <v>1005.5</v>
      </c>
      <c r="S155" s="1" t="n">
        <v>42</v>
      </c>
      <c r="T155" s="1" t="n">
        <v>28.3</v>
      </c>
      <c r="U155" s="1" t="n">
        <v>29.7</v>
      </c>
      <c r="V155" s="1" t="n">
        <v>529</v>
      </c>
      <c r="W155" s="1" t="n">
        <v>14.7</v>
      </c>
      <c r="X155" s="1" t="n">
        <v>15.1</v>
      </c>
      <c r="Y155" s="1" t="n">
        <v>85</v>
      </c>
      <c r="Z155" s="1" t="n">
        <v>3</v>
      </c>
      <c r="AA155" s="1" t="n">
        <v>110</v>
      </c>
      <c r="AB155" s="7" t="s">
        <v>81</v>
      </c>
      <c r="AC155" s="7" t="s">
        <v>82</v>
      </c>
      <c r="AD155" s="7" t="s">
        <v>83</v>
      </c>
      <c r="AE155" s="7" t="s">
        <v>84</v>
      </c>
      <c r="AF155" s="4" t="n">
        <f aca="false">IF(T155="","",IF(T155&lt;=30,(50/30)*T155,IF(T155&lt;=60,50+((100-50)/(60-30))*(T155-30),IF(T155&lt;=90,100+((200-100)/(90-60))*(T155-60),IF(T155&lt;=120,200+((300-200)/(120-90))*(T155-90),IF(T155&lt;=250,300+((400-300)/(250-120))*(T155-120),IF(T155&lt;=380,400+((500-400)/(380-250))*(T155-250),500)))))))</f>
        <v>47.1666666666667</v>
      </c>
      <c r="AG155" s="4" t="n">
        <f aca="false">IF(U155="","",IF(U155&lt;=50,(50/50)*U155,IF(U155&lt;=100,50+((100-50)/(100-50))*(U155-50),IF(U155&lt;=250,100+((200-100)/(250-100))*(U155-100),IF(U155&lt;=350,200+((300-200)/(350-250))*(U155-250),IF(U155&lt;=430,300+((400-300)/(430-350))*(U155-350),IF(U155&lt;=600,400+((500-400)/(600-430))*(U155-430),500)))))))</f>
        <v>29.7</v>
      </c>
      <c r="AH155" s="4" t="n">
        <f aca="false">IF(V155="","",IF((V155/1000)&lt;=1,(50/1)*(V155/1000),IF((V155/1000)&lt;=2,50+((100-50)/(2-1))*(V155/1000-1),IF((V155/1000)&lt;=10,100+((200-100)/(10-2))*(V155/1000-2),IF((V155/1000)&lt;=17,200+((300-200)/(17-10))*(V155/1000-10),IF((V155/1000)&lt;=34,300+((400-300)/(34-17))*(V155/1000-17),IF((V155/1000)&lt;=57,400+((500-400)/(57-34))*(V155/1000-34),500)))))))</f>
        <v>26.45</v>
      </c>
      <c r="AI155" s="4" t="n">
        <f aca="false">IF(W155="","",IF(W155&lt;=40,(50/40)*W155,IF(W155&lt;=80,50+((100-50)/(80-40))*(W155-40),IF(W155&lt;=180,100+((200-100)/(180-80))*(W155-80),IF(W155&lt;=280,200+((300-200)/(280-180))*(W155-180),IF(W155&lt;=400,300+((400-300)/(400-280))*(W155-280),IF(W155&lt;=800,400+((500-400)/(800-400))*(W155-400),500)))))))</f>
        <v>18.375</v>
      </c>
      <c r="AJ155" s="4" t="n">
        <f aca="false">IF(X155="","",IF(X155&lt;=40,(50/40)*X155,IF(X155&lt;=80,50+((100-50)/(80-40))*(X155-40),IF(X155&lt;=380,100+((200-100)/(380-80))*(X155-80),IF(X155&lt;=800,200+((300-200)/(800-380))*(X155-380),IF(X155&lt;=1600,300+((400-300)/(1600-800))*(X155-800),IF(X155&lt;=2100,400+((500-400)/(2100-1600))*(X155-1600),500)))))))</f>
        <v>18.875</v>
      </c>
      <c r="AK155" s="4" t="n">
        <f aca="false">IF(Y155="","",IF(Y155&lt;=50,(50/50)*Y155,IF(Y155&lt;=100,50+((100-50)/(100-50))*(Y155-50),IF(Y155&lt;=168,100+((200-100)/(168-100))*(Y155-100),IF(Y155&lt;=208,200+((300-200)/(208-168))*(Y155-168),IF(Y155&lt;=748,300+((400-300)/(748-208))*(Y155-208),IF(Y155&lt;=1000,400+((500-400)/(1000-748))*(Y155-748),500)))))))</f>
        <v>85</v>
      </c>
      <c r="AL155" s="4" t="n">
        <f aca="false">ROUND(MAX(AF155,AG155,AH155,AI155,AJ155,AK155),0)</f>
        <v>85</v>
      </c>
      <c r="AM155" s="4" t="str">
        <f aca="false">IF(AL155="","",IF(AL155&lt;=50,"Good",IF(AL155&lt;=100,"Satisfactory",IF(AL155&lt;=200,"Moderate",IF(AL155&lt;=300,"Poor",IF(AL155&lt;=400,"Very Poor","Severe"))))))</f>
        <v>Satisfactory</v>
      </c>
    </row>
    <row r="156" customFormat="false" ht="15.75" hidden="false" customHeight="false" outlineLevel="0" collapsed="false">
      <c r="A156" s="1" t="s">
        <v>39</v>
      </c>
      <c r="B156" s="1" t="s">
        <v>40</v>
      </c>
      <c r="C156" s="1" t="n">
        <v>28.4595</v>
      </c>
      <c r="D156" s="1" t="n">
        <v>77.0266</v>
      </c>
      <c r="E156" s="5" t="n">
        <v>45907</v>
      </c>
      <c r="F156" s="6" t="s">
        <v>61</v>
      </c>
      <c r="G156" s="1" t="n">
        <v>9</v>
      </c>
      <c r="H156" s="7" t="s">
        <v>87</v>
      </c>
      <c r="I156" s="6" t="s">
        <v>46</v>
      </c>
      <c r="J156" s="7" t="s">
        <v>44</v>
      </c>
      <c r="K156" s="7" t="s">
        <v>60</v>
      </c>
      <c r="L156" s="1" t="n">
        <v>75</v>
      </c>
      <c r="M156" s="1" t="n">
        <v>25.5</v>
      </c>
      <c r="N156" s="1" t="n">
        <v>33.8</v>
      </c>
      <c r="O156" s="1" t="n">
        <v>0.2</v>
      </c>
      <c r="P156" s="6" t="s">
        <v>46</v>
      </c>
      <c r="Q156" s="6" t="s">
        <v>43</v>
      </c>
      <c r="R156" s="1" t="n">
        <v>1005.8</v>
      </c>
      <c r="S156" s="1" t="n">
        <v>30</v>
      </c>
      <c r="T156" s="1" t="n">
        <v>26.4</v>
      </c>
      <c r="U156" s="1" t="n">
        <v>27.4</v>
      </c>
      <c r="V156" s="1" t="n">
        <v>400</v>
      </c>
      <c r="W156" s="1" t="n">
        <v>9.6</v>
      </c>
      <c r="X156" s="1" t="n">
        <v>14.1</v>
      </c>
      <c r="Y156" s="1" t="n">
        <v>112</v>
      </c>
      <c r="Z156" s="1" t="n">
        <v>2</v>
      </c>
      <c r="AA156" s="1" t="n">
        <v>110</v>
      </c>
      <c r="AB156" s="7" t="s">
        <v>81</v>
      </c>
      <c r="AC156" s="7" t="s">
        <v>82</v>
      </c>
      <c r="AD156" s="7" t="s">
        <v>83</v>
      </c>
      <c r="AE156" s="7" t="s">
        <v>84</v>
      </c>
      <c r="AF156" s="4" t="n">
        <f aca="false">IF(T156="","",IF(T156&lt;=30,(50/30)*T156,IF(T156&lt;=60,50+((100-50)/(60-30))*(T156-30),IF(T156&lt;=90,100+((200-100)/(90-60))*(T156-60),IF(T156&lt;=120,200+((300-200)/(120-90))*(T156-90),IF(T156&lt;=250,300+((400-300)/(250-120))*(T156-120),IF(T156&lt;=380,400+((500-400)/(380-250))*(T156-250),500)))))))</f>
        <v>44</v>
      </c>
      <c r="AG156" s="4" t="n">
        <f aca="false">IF(U156="","",IF(U156&lt;=50,(50/50)*U156,IF(U156&lt;=100,50+((100-50)/(100-50))*(U156-50),IF(U156&lt;=250,100+((200-100)/(250-100))*(U156-100),IF(U156&lt;=350,200+((300-200)/(350-250))*(U156-250),IF(U156&lt;=430,300+((400-300)/(430-350))*(U156-350),IF(U156&lt;=600,400+((500-400)/(600-430))*(U156-430),500)))))))</f>
        <v>27.4</v>
      </c>
      <c r="AH156" s="4" t="n">
        <f aca="false">IF(V156="","",IF((V156/1000)&lt;=1,(50/1)*(V156/1000),IF((V156/1000)&lt;=2,50+((100-50)/(2-1))*(V156/1000-1),IF((V156/1000)&lt;=10,100+((200-100)/(10-2))*(V156/1000-2),IF((V156/1000)&lt;=17,200+((300-200)/(17-10))*(V156/1000-10),IF((V156/1000)&lt;=34,300+((400-300)/(34-17))*(V156/1000-17),IF((V156/1000)&lt;=57,400+((500-400)/(57-34))*(V156/1000-34),500)))))))</f>
        <v>20</v>
      </c>
      <c r="AI156" s="4" t="n">
        <f aca="false">IF(W156="","",IF(W156&lt;=40,(50/40)*W156,IF(W156&lt;=80,50+((100-50)/(80-40))*(W156-40),IF(W156&lt;=180,100+((200-100)/(180-80))*(W156-80),IF(W156&lt;=280,200+((300-200)/(280-180))*(W156-180),IF(W156&lt;=400,300+((400-300)/(400-280))*(W156-280),IF(W156&lt;=800,400+((500-400)/(800-400))*(W156-400),500)))))))</f>
        <v>12</v>
      </c>
      <c r="AJ156" s="4" t="n">
        <f aca="false">IF(X156="","",IF(X156&lt;=40,(50/40)*X156,IF(X156&lt;=80,50+((100-50)/(80-40))*(X156-40),IF(X156&lt;=380,100+((200-100)/(380-80))*(X156-80),IF(X156&lt;=800,200+((300-200)/(800-380))*(X156-380),IF(X156&lt;=1600,300+((400-300)/(1600-800))*(X156-800),IF(X156&lt;=2100,400+((500-400)/(2100-1600))*(X156-1600),500)))))))</f>
        <v>17.625</v>
      </c>
      <c r="AK156" s="4" t="n">
        <f aca="false">IF(Y156="","",IF(Y156&lt;=50,(50/50)*Y156,IF(Y156&lt;=100,50+((100-50)/(100-50))*(Y156-50),IF(Y156&lt;=168,100+((200-100)/(168-100))*(Y156-100),IF(Y156&lt;=208,200+((300-200)/(208-168))*(Y156-168),IF(Y156&lt;=748,300+((400-300)/(748-208))*(Y156-208),IF(Y156&lt;=1000,400+((500-400)/(1000-748))*(Y156-748),500)))))))</f>
        <v>117.647058823529</v>
      </c>
      <c r="AL156" s="4" t="n">
        <f aca="false">ROUND(MAX(AF156,AG156,AH156,AI156,AJ156,AK156),0)</f>
        <v>118</v>
      </c>
      <c r="AM156" s="4" t="str">
        <f aca="false">IF(AL156="","",IF(AL156&lt;=50,"Good",IF(AL156&lt;=100,"Satisfactory",IF(AL156&lt;=200,"Moderate",IF(AL156&lt;=300,"Poor",IF(AL156&lt;=400,"Very Poor","Severe"))))))</f>
        <v>Moderate</v>
      </c>
    </row>
    <row r="157" customFormat="false" ht="15.75" hidden="false" customHeight="false" outlineLevel="0" collapsed="false">
      <c r="A157" s="1" t="s">
        <v>39</v>
      </c>
      <c r="B157" s="1" t="s">
        <v>40</v>
      </c>
      <c r="C157" s="1" t="n">
        <v>28.4595</v>
      </c>
      <c r="D157" s="1" t="n">
        <v>77.0266</v>
      </c>
      <c r="E157" s="5" t="n">
        <v>45907</v>
      </c>
      <c r="F157" s="6" t="s">
        <v>62</v>
      </c>
      <c r="G157" s="1" t="n">
        <v>9</v>
      </c>
      <c r="H157" s="7" t="s">
        <v>87</v>
      </c>
      <c r="I157" s="6" t="s">
        <v>46</v>
      </c>
      <c r="J157" s="7" t="s">
        <v>44</v>
      </c>
      <c r="K157" s="7" t="s">
        <v>60</v>
      </c>
      <c r="L157" s="1" t="n">
        <v>71</v>
      </c>
      <c r="M157" s="1" t="n">
        <v>25.6</v>
      </c>
      <c r="N157" s="1" t="n">
        <v>33.8</v>
      </c>
      <c r="O157" s="1" t="n">
        <v>0</v>
      </c>
      <c r="P157" s="6" t="s">
        <v>43</v>
      </c>
      <c r="Q157" s="6" t="s">
        <v>43</v>
      </c>
      <c r="R157" s="1" t="n">
        <v>1005.5</v>
      </c>
      <c r="S157" s="1" t="n">
        <v>44</v>
      </c>
      <c r="T157" s="1" t="n">
        <v>26.7</v>
      </c>
      <c r="U157" s="1" t="n">
        <v>27.5</v>
      </c>
      <c r="V157" s="1" t="n">
        <v>305</v>
      </c>
      <c r="W157" s="1" t="n">
        <v>6.2</v>
      </c>
      <c r="X157" s="1" t="n">
        <v>13</v>
      </c>
      <c r="Y157" s="1" t="n">
        <v>131</v>
      </c>
      <c r="Z157" s="1" t="n">
        <v>1</v>
      </c>
      <c r="AA157" s="1" t="n">
        <v>109</v>
      </c>
      <c r="AB157" s="7" t="s">
        <v>81</v>
      </c>
      <c r="AC157" s="7" t="s">
        <v>82</v>
      </c>
      <c r="AD157" s="7" t="s">
        <v>83</v>
      </c>
      <c r="AE157" s="7" t="s">
        <v>84</v>
      </c>
      <c r="AF157" s="4" t="n">
        <f aca="false">IF(T157="","",IF(T157&lt;=30,(50/30)*T157,IF(T157&lt;=60,50+((100-50)/(60-30))*(T157-30),IF(T157&lt;=90,100+((200-100)/(90-60))*(T157-60),IF(T157&lt;=120,200+((300-200)/(120-90))*(T157-90),IF(T157&lt;=250,300+((400-300)/(250-120))*(T157-120),IF(T157&lt;=380,400+((500-400)/(380-250))*(T157-250),500)))))))</f>
        <v>44.5</v>
      </c>
      <c r="AG157" s="4" t="n">
        <f aca="false">IF(U157="","",IF(U157&lt;=50,(50/50)*U157,IF(U157&lt;=100,50+((100-50)/(100-50))*(U157-50),IF(U157&lt;=250,100+((200-100)/(250-100))*(U157-100),IF(U157&lt;=350,200+((300-200)/(350-250))*(U157-250),IF(U157&lt;=430,300+((400-300)/(430-350))*(U157-350),IF(U157&lt;=600,400+((500-400)/(600-430))*(U157-430),500)))))))</f>
        <v>27.5</v>
      </c>
      <c r="AH157" s="4" t="n">
        <f aca="false">IF(V157="","",IF((V157/1000)&lt;=1,(50/1)*(V157/1000),IF((V157/1000)&lt;=2,50+((100-50)/(2-1))*(V157/1000-1),IF((V157/1000)&lt;=10,100+((200-100)/(10-2))*(V157/1000-2),IF((V157/1000)&lt;=17,200+((300-200)/(17-10))*(V157/1000-10),IF((V157/1000)&lt;=34,300+((400-300)/(34-17))*(V157/1000-17),IF((V157/1000)&lt;=57,400+((500-400)/(57-34))*(V157/1000-34),500)))))))</f>
        <v>15.25</v>
      </c>
      <c r="AI157" s="4" t="n">
        <f aca="false">IF(W157="","",IF(W157&lt;=40,(50/40)*W157,IF(W157&lt;=80,50+((100-50)/(80-40))*(W157-40),IF(W157&lt;=180,100+((200-100)/(180-80))*(W157-80),IF(W157&lt;=280,200+((300-200)/(280-180))*(W157-180),IF(W157&lt;=400,300+((400-300)/(400-280))*(W157-280),IF(W157&lt;=800,400+((500-400)/(800-400))*(W157-400),500)))))))</f>
        <v>7.75</v>
      </c>
      <c r="AJ157" s="4" t="n">
        <f aca="false">IF(X157="","",IF(X157&lt;=40,(50/40)*X157,IF(X157&lt;=80,50+((100-50)/(80-40))*(X157-40),IF(X157&lt;=380,100+((200-100)/(380-80))*(X157-80),IF(X157&lt;=800,200+((300-200)/(800-380))*(X157-380),IF(X157&lt;=1600,300+((400-300)/(1600-800))*(X157-800),IF(X157&lt;=2100,400+((500-400)/(2100-1600))*(X157-1600),500)))))))</f>
        <v>16.25</v>
      </c>
      <c r="AK157" s="4" t="n">
        <f aca="false">IF(Y157="","",IF(Y157&lt;=50,(50/50)*Y157,IF(Y157&lt;=100,50+((100-50)/(100-50))*(Y157-50),IF(Y157&lt;=168,100+((200-100)/(168-100))*(Y157-100),IF(Y157&lt;=208,200+((300-200)/(208-168))*(Y157-168),IF(Y157&lt;=748,300+((400-300)/(748-208))*(Y157-208),IF(Y157&lt;=1000,400+((500-400)/(1000-748))*(Y157-748),500)))))))</f>
        <v>145.588235294118</v>
      </c>
      <c r="AL157" s="4" t="n">
        <f aca="false">ROUND(MAX(AF157,AG157,AH157,AI157,AJ157,AK157),0)</f>
        <v>146</v>
      </c>
      <c r="AM157" s="4" t="str">
        <f aca="false">IF(AL157="","",IF(AL157&lt;=50,"Good",IF(AL157&lt;=100,"Satisfactory",IF(AL157&lt;=200,"Moderate",IF(AL157&lt;=300,"Poor",IF(AL157&lt;=400,"Very Poor","Severe"))))))</f>
        <v>Moderate</v>
      </c>
    </row>
    <row r="158" customFormat="false" ht="15.75" hidden="false" customHeight="false" outlineLevel="0" collapsed="false">
      <c r="A158" s="1" t="s">
        <v>39</v>
      </c>
      <c r="B158" s="1" t="s">
        <v>40</v>
      </c>
      <c r="C158" s="1" t="n">
        <v>28.4595</v>
      </c>
      <c r="D158" s="1" t="n">
        <v>77.0266</v>
      </c>
      <c r="E158" s="5" t="n">
        <v>45907</v>
      </c>
      <c r="F158" s="6" t="s">
        <v>63</v>
      </c>
      <c r="G158" s="1" t="n">
        <v>9</v>
      </c>
      <c r="H158" s="7" t="s">
        <v>87</v>
      </c>
      <c r="I158" s="6" t="s">
        <v>46</v>
      </c>
      <c r="J158" s="7" t="s">
        <v>44</v>
      </c>
      <c r="K158" s="7" t="s">
        <v>60</v>
      </c>
      <c r="L158" s="1" t="n">
        <v>66</v>
      </c>
      <c r="M158" s="1" t="n">
        <v>24.7</v>
      </c>
      <c r="N158" s="1" t="n">
        <v>33.8</v>
      </c>
      <c r="O158" s="1" t="n">
        <v>0</v>
      </c>
      <c r="P158" s="6" t="s">
        <v>43</v>
      </c>
      <c r="Q158" s="6" t="s">
        <v>43</v>
      </c>
      <c r="R158" s="1" t="n">
        <v>1004.7</v>
      </c>
      <c r="S158" s="1" t="n">
        <v>28</v>
      </c>
      <c r="T158" s="1" t="n">
        <v>26.2</v>
      </c>
      <c r="U158" s="1" t="n">
        <v>26.8</v>
      </c>
      <c r="V158" s="1" t="n">
        <v>276</v>
      </c>
      <c r="W158" s="1" t="n">
        <v>5.8</v>
      </c>
      <c r="X158" s="1" t="n">
        <v>11.7</v>
      </c>
      <c r="Y158" s="1" t="n">
        <v>133</v>
      </c>
      <c r="Z158" s="1" t="n">
        <v>1</v>
      </c>
      <c r="AA158" s="1" t="n">
        <v>108</v>
      </c>
      <c r="AB158" s="7" t="s">
        <v>81</v>
      </c>
      <c r="AC158" s="7" t="s">
        <v>82</v>
      </c>
      <c r="AD158" s="7" t="s">
        <v>83</v>
      </c>
      <c r="AE158" s="7" t="s">
        <v>84</v>
      </c>
      <c r="AF158" s="4" t="n">
        <f aca="false">IF(T158="","",IF(T158&lt;=30,(50/30)*T158,IF(T158&lt;=60,50+((100-50)/(60-30))*(T158-30),IF(T158&lt;=90,100+((200-100)/(90-60))*(T158-60),IF(T158&lt;=120,200+((300-200)/(120-90))*(T158-90),IF(T158&lt;=250,300+((400-300)/(250-120))*(T158-120),IF(T158&lt;=380,400+((500-400)/(380-250))*(T158-250),500)))))))</f>
        <v>43.6666666666667</v>
      </c>
      <c r="AG158" s="4" t="n">
        <f aca="false">IF(U158="","",IF(U158&lt;=50,(50/50)*U158,IF(U158&lt;=100,50+((100-50)/(100-50))*(U158-50),IF(U158&lt;=250,100+((200-100)/(250-100))*(U158-100),IF(U158&lt;=350,200+((300-200)/(350-250))*(U158-250),IF(U158&lt;=430,300+((400-300)/(430-350))*(U158-350),IF(U158&lt;=600,400+((500-400)/(600-430))*(U158-430),500)))))))</f>
        <v>26.8</v>
      </c>
      <c r="AH158" s="4" t="n">
        <f aca="false">IF(V158="","",IF((V158/1000)&lt;=1,(50/1)*(V158/1000),IF((V158/1000)&lt;=2,50+((100-50)/(2-1))*(V158/1000-1),IF((V158/1000)&lt;=10,100+((200-100)/(10-2))*(V158/1000-2),IF((V158/1000)&lt;=17,200+((300-200)/(17-10))*(V158/1000-10),IF((V158/1000)&lt;=34,300+((400-300)/(34-17))*(V158/1000-17),IF((V158/1000)&lt;=57,400+((500-400)/(57-34))*(V158/1000-34),500)))))))</f>
        <v>13.8</v>
      </c>
      <c r="AI158" s="4" t="n">
        <f aca="false">IF(W158="","",IF(W158&lt;=40,(50/40)*W158,IF(W158&lt;=80,50+((100-50)/(80-40))*(W158-40),IF(W158&lt;=180,100+((200-100)/(180-80))*(W158-80),IF(W158&lt;=280,200+((300-200)/(280-180))*(W158-180),IF(W158&lt;=400,300+((400-300)/(400-280))*(W158-280),IF(W158&lt;=800,400+((500-400)/(800-400))*(W158-400),500)))))))</f>
        <v>7.25</v>
      </c>
      <c r="AJ158" s="4" t="n">
        <f aca="false">IF(X158="","",IF(X158&lt;=40,(50/40)*X158,IF(X158&lt;=80,50+((100-50)/(80-40))*(X158-40),IF(X158&lt;=380,100+((200-100)/(380-80))*(X158-80),IF(X158&lt;=800,200+((300-200)/(800-380))*(X158-380),IF(X158&lt;=1600,300+((400-300)/(1600-800))*(X158-800),IF(X158&lt;=2100,400+((500-400)/(2100-1600))*(X158-1600),500)))))))</f>
        <v>14.625</v>
      </c>
      <c r="AK158" s="4" t="n">
        <f aca="false">IF(Y158="","",IF(Y158&lt;=50,(50/50)*Y158,IF(Y158&lt;=100,50+((100-50)/(100-50))*(Y158-50),IF(Y158&lt;=168,100+((200-100)/(168-100))*(Y158-100),IF(Y158&lt;=208,200+((300-200)/(208-168))*(Y158-168),IF(Y158&lt;=748,300+((400-300)/(748-208))*(Y158-208),IF(Y158&lt;=1000,400+((500-400)/(1000-748))*(Y158-748),500)))))))</f>
        <v>148.529411764706</v>
      </c>
      <c r="AL158" s="4" t="n">
        <f aca="false">ROUND(MAX(AF158,AG158,AH158,AI158,AJ158,AK158),0)</f>
        <v>149</v>
      </c>
      <c r="AM158" s="4" t="str">
        <f aca="false">IF(AL158="","",IF(AL158&lt;=50,"Good",IF(AL158&lt;=100,"Satisfactory",IF(AL158&lt;=200,"Moderate",IF(AL158&lt;=300,"Poor",IF(AL158&lt;=400,"Very Poor","Severe"))))))</f>
        <v>Moderate</v>
      </c>
    </row>
    <row r="159" customFormat="false" ht="15.75" hidden="false" customHeight="false" outlineLevel="0" collapsed="false">
      <c r="A159" s="1" t="s">
        <v>39</v>
      </c>
      <c r="B159" s="1" t="s">
        <v>40</v>
      </c>
      <c r="C159" s="1" t="n">
        <v>28.4595</v>
      </c>
      <c r="D159" s="1" t="n">
        <v>77.0266</v>
      </c>
      <c r="E159" s="5" t="n">
        <v>45907</v>
      </c>
      <c r="F159" s="6" t="s">
        <v>64</v>
      </c>
      <c r="G159" s="1" t="n">
        <v>9</v>
      </c>
      <c r="H159" s="7" t="s">
        <v>87</v>
      </c>
      <c r="I159" s="6" t="s">
        <v>46</v>
      </c>
      <c r="J159" s="7" t="s">
        <v>44</v>
      </c>
      <c r="K159" s="7" t="s">
        <v>65</v>
      </c>
      <c r="L159" s="1" t="n">
        <v>68</v>
      </c>
      <c r="M159" s="1" t="n">
        <v>24.9</v>
      </c>
      <c r="N159" s="1" t="n">
        <v>36.4</v>
      </c>
      <c r="O159" s="1" t="n">
        <v>0.2</v>
      </c>
      <c r="P159" s="6" t="s">
        <v>46</v>
      </c>
      <c r="Q159" s="6" t="s">
        <v>43</v>
      </c>
      <c r="R159" s="1" t="n">
        <v>1003.6</v>
      </c>
      <c r="S159" s="1" t="n">
        <v>14</v>
      </c>
      <c r="T159" s="1" t="n">
        <v>28.8</v>
      </c>
      <c r="U159" s="1" t="n">
        <v>29.3</v>
      </c>
      <c r="V159" s="1" t="n">
        <v>279</v>
      </c>
      <c r="W159" s="1" t="n">
        <v>7</v>
      </c>
      <c r="X159" s="1" t="n">
        <v>10.4</v>
      </c>
      <c r="Y159" s="1" t="n">
        <v>126</v>
      </c>
      <c r="Z159" s="1" t="n">
        <v>1</v>
      </c>
      <c r="AA159" s="1" t="n">
        <v>108</v>
      </c>
      <c r="AB159" s="7" t="s">
        <v>81</v>
      </c>
      <c r="AC159" s="7" t="s">
        <v>82</v>
      </c>
      <c r="AD159" s="7" t="s">
        <v>83</v>
      </c>
      <c r="AE159" s="7" t="s">
        <v>84</v>
      </c>
      <c r="AF159" s="4" t="n">
        <f aca="false">IF(T159="","",IF(T159&lt;=30,(50/30)*T159,IF(T159&lt;=60,50+((100-50)/(60-30))*(T159-30),IF(T159&lt;=90,100+((200-100)/(90-60))*(T159-60),IF(T159&lt;=120,200+((300-200)/(120-90))*(T159-90),IF(T159&lt;=250,300+((400-300)/(250-120))*(T159-120),IF(T159&lt;=380,400+((500-400)/(380-250))*(T159-250),500)))))))</f>
        <v>48</v>
      </c>
      <c r="AG159" s="4" t="n">
        <f aca="false">IF(U159="","",IF(U159&lt;=50,(50/50)*U159,IF(U159&lt;=100,50+((100-50)/(100-50))*(U159-50),IF(U159&lt;=250,100+((200-100)/(250-100))*(U159-100),IF(U159&lt;=350,200+((300-200)/(350-250))*(U159-250),IF(U159&lt;=430,300+((400-300)/(430-350))*(U159-350),IF(U159&lt;=600,400+((500-400)/(600-430))*(U159-430),500)))))))</f>
        <v>29.3</v>
      </c>
      <c r="AH159" s="4" t="n">
        <f aca="false">IF(V159="","",IF((V159/1000)&lt;=1,(50/1)*(V159/1000),IF((V159/1000)&lt;=2,50+((100-50)/(2-1))*(V159/1000-1),IF((V159/1000)&lt;=10,100+((200-100)/(10-2))*(V159/1000-2),IF((V159/1000)&lt;=17,200+((300-200)/(17-10))*(V159/1000-10),IF((V159/1000)&lt;=34,300+((400-300)/(34-17))*(V159/1000-17),IF((V159/1000)&lt;=57,400+((500-400)/(57-34))*(V159/1000-34),500)))))))</f>
        <v>13.95</v>
      </c>
      <c r="AI159" s="4" t="n">
        <f aca="false">IF(W159="","",IF(W159&lt;=40,(50/40)*W159,IF(W159&lt;=80,50+((100-50)/(80-40))*(W159-40),IF(W159&lt;=180,100+((200-100)/(180-80))*(W159-80),IF(W159&lt;=280,200+((300-200)/(280-180))*(W159-180),IF(W159&lt;=400,300+((400-300)/(400-280))*(W159-280),IF(W159&lt;=800,400+((500-400)/(800-400))*(W159-400),500)))))))</f>
        <v>8.75</v>
      </c>
      <c r="AJ159" s="4" t="n">
        <f aca="false">IF(X159="","",IF(X159&lt;=40,(50/40)*X159,IF(X159&lt;=80,50+((100-50)/(80-40))*(X159-40),IF(X159&lt;=380,100+((200-100)/(380-80))*(X159-80),IF(X159&lt;=800,200+((300-200)/(800-380))*(X159-380),IF(X159&lt;=1600,300+((400-300)/(1600-800))*(X159-800),IF(X159&lt;=2100,400+((500-400)/(2100-1600))*(X159-1600),500)))))))</f>
        <v>13</v>
      </c>
      <c r="AK159" s="4" t="n">
        <f aca="false">IF(Y159="","",IF(Y159&lt;=50,(50/50)*Y159,IF(Y159&lt;=100,50+((100-50)/(100-50))*(Y159-50),IF(Y159&lt;=168,100+((200-100)/(168-100))*(Y159-100),IF(Y159&lt;=208,200+((300-200)/(208-168))*(Y159-168),IF(Y159&lt;=748,300+((400-300)/(748-208))*(Y159-208),IF(Y159&lt;=1000,400+((500-400)/(1000-748))*(Y159-748),500)))))))</f>
        <v>138.235294117647</v>
      </c>
      <c r="AL159" s="4" t="n">
        <f aca="false">ROUND(MAX(AF159,AG159,AH159,AI159,AJ159,AK159),0)</f>
        <v>138</v>
      </c>
      <c r="AM159" s="4" t="str">
        <f aca="false">IF(AL159="","",IF(AL159&lt;=50,"Good",IF(AL159&lt;=100,"Satisfactory",IF(AL159&lt;=200,"Moderate",IF(AL159&lt;=300,"Poor",IF(AL159&lt;=400,"Very Poor","Severe"))))))</f>
        <v>Moderate</v>
      </c>
    </row>
    <row r="160" customFormat="false" ht="15.75" hidden="false" customHeight="false" outlineLevel="0" collapsed="false">
      <c r="A160" s="1" t="s">
        <v>39</v>
      </c>
      <c r="B160" s="1" t="s">
        <v>40</v>
      </c>
      <c r="C160" s="1" t="n">
        <v>28.4595</v>
      </c>
      <c r="D160" s="1" t="n">
        <v>77.0266</v>
      </c>
      <c r="E160" s="5" t="n">
        <v>45907</v>
      </c>
      <c r="F160" s="6" t="s">
        <v>66</v>
      </c>
      <c r="G160" s="1" t="n">
        <v>9</v>
      </c>
      <c r="H160" s="7" t="s">
        <v>87</v>
      </c>
      <c r="I160" s="6" t="s">
        <v>46</v>
      </c>
      <c r="J160" s="7" t="s">
        <v>44</v>
      </c>
      <c r="K160" s="7" t="s">
        <v>65</v>
      </c>
      <c r="L160" s="1" t="n">
        <v>68</v>
      </c>
      <c r="M160" s="1" t="n">
        <v>25.1</v>
      </c>
      <c r="N160" s="1" t="n">
        <v>33.8</v>
      </c>
      <c r="O160" s="1" t="n">
        <v>0.2</v>
      </c>
      <c r="P160" s="6" t="s">
        <v>46</v>
      </c>
      <c r="Q160" s="6" t="s">
        <v>43</v>
      </c>
      <c r="R160" s="1" t="n">
        <v>1002</v>
      </c>
      <c r="S160" s="1" t="n">
        <v>39</v>
      </c>
      <c r="T160" s="1" t="n">
        <v>30.2</v>
      </c>
      <c r="U160" s="1" t="n">
        <v>30.6</v>
      </c>
      <c r="V160" s="1" t="n">
        <v>307</v>
      </c>
      <c r="W160" s="1" t="n">
        <v>9.1</v>
      </c>
      <c r="X160" s="1" t="n">
        <v>9.8</v>
      </c>
      <c r="Y160" s="1" t="n">
        <v>120</v>
      </c>
      <c r="Z160" s="1" t="n">
        <v>1</v>
      </c>
      <c r="AA160" s="1" t="n">
        <v>108</v>
      </c>
      <c r="AB160" s="7" t="s">
        <v>81</v>
      </c>
      <c r="AC160" s="7" t="s">
        <v>82</v>
      </c>
      <c r="AD160" s="7" t="s">
        <v>83</v>
      </c>
      <c r="AE160" s="7" t="s">
        <v>84</v>
      </c>
      <c r="AF160" s="4" t="n">
        <f aca="false">IF(T160="","",IF(T160&lt;=30,(50/30)*T160,IF(T160&lt;=60,50+((100-50)/(60-30))*(T160-30),IF(T160&lt;=90,100+((200-100)/(90-60))*(T160-60),IF(T160&lt;=120,200+((300-200)/(120-90))*(T160-90),IF(T160&lt;=250,300+((400-300)/(250-120))*(T160-120),IF(T160&lt;=380,400+((500-400)/(380-250))*(T160-250),500)))))))</f>
        <v>50.3333333333333</v>
      </c>
      <c r="AG160" s="4" t="n">
        <f aca="false">IF(U160="","",IF(U160&lt;=50,(50/50)*U160,IF(U160&lt;=100,50+((100-50)/(100-50))*(U160-50),IF(U160&lt;=250,100+((200-100)/(250-100))*(U160-100),IF(U160&lt;=350,200+((300-200)/(350-250))*(U160-250),IF(U160&lt;=430,300+((400-300)/(430-350))*(U160-350),IF(U160&lt;=600,400+((500-400)/(600-430))*(U160-430),500)))))))</f>
        <v>30.6</v>
      </c>
      <c r="AH160" s="4" t="n">
        <f aca="false">IF(V160="","",IF((V160/1000)&lt;=1,(50/1)*(V160/1000),IF((V160/1000)&lt;=2,50+((100-50)/(2-1))*(V160/1000-1),IF((V160/1000)&lt;=10,100+((200-100)/(10-2))*(V160/1000-2),IF((V160/1000)&lt;=17,200+((300-200)/(17-10))*(V160/1000-10),IF((V160/1000)&lt;=34,300+((400-300)/(34-17))*(V160/1000-17),IF((V160/1000)&lt;=57,400+((500-400)/(57-34))*(V160/1000-34),500)))))))</f>
        <v>15.35</v>
      </c>
      <c r="AI160" s="4" t="n">
        <f aca="false">IF(W160="","",IF(W160&lt;=40,(50/40)*W160,IF(W160&lt;=80,50+((100-50)/(80-40))*(W160-40),IF(W160&lt;=180,100+((200-100)/(180-80))*(W160-80),IF(W160&lt;=280,200+((300-200)/(280-180))*(W160-180),IF(W160&lt;=400,300+((400-300)/(400-280))*(W160-280),IF(W160&lt;=800,400+((500-400)/(800-400))*(W160-400),500)))))))</f>
        <v>11.375</v>
      </c>
      <c r="AJ160" s="4" t="n">
        <f aca="false">IF(X160="","",IF(X160&lt;=40,(50/40)*X160,IF(X160&lt;=80,50+((100-50)/(80-40))*(X160-40),IF(X160&lt;=380,100+((200-100)/(380-80))*(X160-80),IF(X160&lt;=800,200+((300-200)/(800-380))*(X160-380),IF(X160&lt;=1600,300+((400-300)/(1600-800))*(X160-800),IF(X160&lt;=2100,400+((500-400)/(2100-1600))*(X160-1600),500)))))))</f>
        <v>12.25</v>
      </c>
      <c r="AK160" s="4" t="n">
        <f aca="false">IF(Y160="","",IF(Y160&lt;=50,(50/50)*Y160,IF(Y160&lt;=100,50+((100-50)/(100-50))*(Y160-50),IF(Y160&lt;=168,100+((200-100)/(168-100))*(Y160-100),IF(Y160&lt;=208,200+((300-200)/(208-168))*(Y160-168),IF(Y160&lt;=748,300+((400-300)/(748-208))*(Y160-208),IF(Y160&lt;=1000,400+((500-400)/(1000-748))*(Y160-748),500)))))))</f>
        <v>129.411764705882</v>
      </c>
      <c r="AL160" s="4" t="n">
        <f aca="false">ROUND(MAX(AF160,AG160,AH160,AI160,AJ160,AK160),0)</f>
        <v>129</v>
      </c>
      <c r="AM160" s="4" t="str">
        <f aca="false">IF(AL160="","",IF(AL160&lt;=50,"Good",IF(AL160&lt;=100,"Satisfactory",IF(AL160&lt;=200,"Moderate",IF(AL160&lt;=300,"Poor",IF(AL160&lt;=400,"Very Poor","Severe"))))))</f>
        <v>Moderate</v>
      </c>
    </row>
    <row r="161" customFormat="false" ht="15.75" hidden="false" customHeight="false" outlineLevel="0" collapsed="false">
      <c r="A161" s="1" t="s">
        <v>39</v>
      </c>
      <c r="B161" s="1" t="s">
        <v>40</v>
      </c>
      <c r="C161" s="1" t="n">
        <v>28.4595</v>
      </c>
      <c r="D161" s="1" t="n">
        <v>77.0266</v>
      </c>
      <c r="E161" s="5" t="n">
        <v>45907</v>
      </c>
      <c r="F161" s="6" t="s">
        <v>67</v>
      </c>
      <c r="G161" s="1" t="n">
        <v>9</v>
      </c>
      <c r="H161" s="7" t="s">
        <v>87</v>
      </c>
      <c r="I161" s="6" t="s">
        <v>46</v>
      </c>
      <c r="J161" s="7" t="s">
        <v>44</v>
      </c>
      <c r="K161" s="7" t="s">
        <v>65</v>
      </c>
      <c r="L161" s="1" t="n">
        <v>71</v>
      </c>
      <c r="M161" s="1" t="n">
        <v>25.2</v>
      </c>
      <c r="N161" s="1" t="n">
        <v>29.5</v>
      </c>
      <c r="O161" s="1" t="n">
        <v>0.7</v>
      </c>
      <c r="P161" s="6" t="s">
        <v>46</v>
      </c>
      <c r="Q161" s="6" t="s">
        <v>43</v>
      </c>
      <c r="R161" s="1" t="n">
        <v>1001</v>
      </c>
      <c r="S161" s="1" t="n">
        <v>95</v>
      </c>
      <c r="T161" s="1" t="n">
        <v>33.2</v>
      </c>
      <c r="U161" s="1" t="n">
        <v>33.6</v>
      </c>
      <c r="V161" s="1" t="n">
        <v>350</v>
      </c>
      <c r="W161" s="1" t="n">
        <v>11</v>
      </c>
      <c r="X161" s="1" t="n">
        <v>10.3</v>
      </c>
      <c r="Y161" s="1" t="n">
        <v>120</v>
      </c>
      <c r="Z161" s="1" t="n">
        <v>1</v>
      </c>
      <c r="AA161" s="1" t="n">
        <v>108</v>
      </c>
      <c r="AB161" s="7" t="s">
        <v>81</v>
      </c>
      <c r="AC161" s="7" t="s">
        <v>82</v>
      </c>
      <c r="AD161" s="7" t="s">
        <v>83</v>
      </c>
      <c r="AE161" s="7" t="s">
        <v>84</v>
      </c>
      <c r="AF161" s="4" t="n">
        <f aca="false">IF(T161="","",IF(T161&lt;=30,(50/30)*T161,IF(T161&lt;=60,50+((100-50)/(60-30))*(T161-30),IF(T161&lt;=90,100+((200-100)/(90-60))*(T161-60),IF(T161&lt;=120,200+((300-200)/(120-90))*(T161-90),IF(T161&lt;=250,300+((400-300)/(250-120))*(T161-120),IF(T161&lt;=380,400+((500-400)/(380-250))*(T161-250),500)))))))</f>
        <v>55.3333333333333</v>
      </c>
      <c r="AG161" s="4" t="n">
        <f aca="false">IF(U161="","",IF(U161&lt;=50,(50/50)*U161,IF(U161&lt;=100,50+((100-50)/(100-50))*(U161-50),IF(U161&lt;=250,100+((200-100)/(250-100))*(U161-100),IF(U161&lt;=350,200+((300-200)/(350-250))*(U161-250),IF(U161&lt;=430,300+((400-300)/(430-350))*(U161-350),IF(U161&lt;=600,400+((500-400)/(600-430))*(U161-430),500)))))))</f>
        <v>33.6</v>
      </c>
      <c r="AH161" s="4" t="n">
        <f aca="false">IF(V161="","",IF((V161/1000)&lt;=1,(50/1)*(V161/1000),IF((V161/1000)&lt;=2,50+((100-50)/(2-1))*(V161/1000-1),IF((V161/1000)&lt;=10,100+((200-100)/(10-2))*(V161/1000-2),IF((V161/1000)&lt;=17,200+((300-200)/(17-10))*(V161/1000-10),IF((V161/1000)&lt;=34,300+((400-300)/(34-17))*(V161/1000-17),IF((V161/1000)&lt;=57,400+((500-400)/(57-34))*(V161/1000-34),500)))))))</f>
        <v>17.5</v>
      </c>
      <c r="AI161" s="4" t="n">
        <f aca="false">IF(W161="","",IF(W161&lt;=40,(50/40)*W161,IF(W161&lt;=80,50+((100-50)/(80-40))*(W161-40),IF(W161&lt;=180,100+((200-100)/(180-80))*(W161-80),IF(W161&lt;=280,200+((300-200)/(280-180))*(W161-180),IF(W161&lt;=400,300+((400-300)/(400-280))*(W161-280),IF(W161&lt;=800,400+((500-400)/(800-400))*(W161-400),500)))))))</f>
        <v>13.75</v>
      </c>
      <c r="AJ161" s="4" t="n">
        <f aca="false">IF(X161="","",IF(X161&lt;=40,(50/40)*X161,IF(X161&lt;=80,50+((100-50)/(80-40))*(X161-40),IF(X161&lt;=380,100+((200-100)/(380-80))*(X161-80),IF(X161&lt;=800,200+((300-200)/(800-380))*(X161-380),IF(X161&lt;=1600,300+((400-300)/(1600-800))*(X161-800),IF(X161&lt;=2100,400+((500-400)/(2100-1600))*(X161-1600),500)))))))</f>
        <v>12.875</v>
      </c>
      <c r="AK161" s="4" t="n">
        <f aca="false">IF(Y161="","",IF(Y161&lt;=50,(50/50)*Y161,IF(Y161&lt;=100,50+((100-50)/(100-50))*(Y161-50),IF(Y161&lt;=168,100+((200-100)/(168-100))*(Y161-100),IF(Y161&lt;=208,200+((300-200)/(208-168))*(Y161-168),IF(Y161&lt;=748,300+((400-300)/(748-208))*(Y161-208),IF(Y161&lt;=1000,400+((500-400)/(1000-748))*(Y161-748),500)))))))</f>
        <v>129.411764705882</v>
      </c>
      <c r="AL161" s="4" t="n">
        <f aca="false">ROUND(MAX(AF161,AG161,AH161,AI161,AJ161,AK161),0)</f>
        <v>129</v>
      </c>
      <c r="AM161" s="4" t="str">
        <f aca="false">IF(AL161="","",IF(AL161&lt;=50,"Good",IF(AL161&lt;=100,"Satisfactory",IF(AL161&lt;=200,"Moderate",IF(AL161&lt;=300,"Poor",IF(AL161&lt;=400,"Very Poor","Severe"))))))</f>
        <v>Moderate</v>
      </c>
    </row>
    <row r="162" customFormat="false" ht="15.75" hidden="false" customHeight="false" outlineLevel="0" collapsed="false">
      <c r="A162" s="1" t="s">
        <v>39</v>
      </c>
      <c r="B162" s="1" t="s">
        <v>40</v>
      </c>
      <c r="C162" s="1" t="n">
        <v>28.4595</v>
      </c>
      <c r="D162" s="1" t="n">
        <v>77.0266</v>
      </c>
      <c r="E162" s="5" t="n">
        <v>45907</v>
      </c>
      <c r="F162" s="6" t="s">
        <v>68</v>
      </c>
      <c r="G162" s="1" t="n">
        <v>9</v>
      </c>
      <c r="H162" s="7" t="s">
        <v>87</v>
      </c>
      <c r="I162" s="6" t="s">
        <v>46</v>
      </c>
      <c r="J162" s="7" t="s">
        <v>44</v>
      </c>
      <c r="K162" s="7" t="s">
        <v>65</v>
      </c>
      <c r="L162" s="1" t="n">
        <v>77</v>
      </c>
      <c r="M162" s="1" t="n">
        <v>25.2</v>
      </c>
      <c r="N162" s="1" t="n">
        <v>29.2</v>
      </c>
      <c r="O162" s="1" t="n">
        <v>0.8</v>
      </c>
      <c r="P162" s="6" t="s">
        <v>46</v>
      </c>
      <c r="Q162" s="6" t="s">
        <v>43</v>
      </c>
      <c r="R162" s="1" t="n">
        <v>1001</v>
      </c>
      <c r="S162" s="1" t="n">
        <v>97</v>
      </c>
      <c r="T162" s="1" t="n">
        <v>33.8</v>
      </c>
      <c r="U162" s="1" t="n">
        <v>34.2</v>
      </c>
      <c r="V162" s="1" t="n">
        <v>417</v>
      </c>
      <c r="W162" s="1" t="n">
        <v>13.7</v>
      </c>
      <c r="X162" s="1" t="n">
        <v>11.6</v>
      </c>
      <c r="Y162" s="1" t="n">
        <v>121</v>
      </c>
      <c r="Z162" s="1" t="n">
        <v>1</v>
      </c>
      <c r="AA162" s="1" t="n">
        <v>108</v>
      </c>
      <c r="AB162" s="7" t="s">
        <v>81</v>
      </c>
      <c r="AC162" s="7" t="s">
        <v>82</v>
      </c>
      <c r="AD162" s="7" t="s">
        <v>83</v>
      </c>
      <c r="AE162" s="7" t="s">
        <v>84</v>
      </c>
      <c r="AF162" s="4" t="n">
        <f aca="false">IF(T162="","",IF(T162&lt;=30,(50/30)*T162,IF(T162&lt;=60,50+((100-50)/(60-30))*(T162-30),IF(T162&lt;=90,100+((200-100)/(90-60))*(T162-60),IF(T162&lt;=120,200+((300-200)/(120-90))*(T162-90),IF(T162&lt;=250,300+((400-300)/(250-120))*(T162-120),IF(T162&lt;=380,400+((500-400)/(380-250))*(T162-250),500)))))))</f>
        <v>56.3333333333333</v>
      </c>
      <c r="AG162" s="4" t="n">
        <f aca="false">IF(U162="","",IF(U162&lt;=50,(50/50)*U162,IF(U162&lt;=100,50+((100-50)/(100-50))*(U162-50),IF(U162&lt;=250,100+((200-100)/(250-100))*(U162-100),IF(U162&lt;=350,200+((300-200)/(350-250))*(U162-250),IF(U162&lt;=430,300+((400-300)/(430-350))*(U162-350),IF(U162&lt;=600,400+((500-400)/(600-430))*(U162-430),500)))))))</f>
        <v>34.2</v>
      </c>
      <c r="AH162" s="4" t="n">
        <f aca="false">IF(V162="","",IF((V162/1000)&lt;=1,(50/1)*(V162/1000),IF((V162/1000)&lt;=2,50+((100-50)/(2-1))*(V162/1000-1),IF((V162/1000)&lt;=10,100+((200-100)/(10-2))*(V162/1000-2),IF((V162/1000)&lt;=17,200+((300-200)/(17-10))*(V162/1000-10),IF((V162/1000)&lt;=34,300+((400-300)/(34-17))*(V162/1000-17),IF((V162/1000)&lt;=57,400+((500-400)/(57-34))*(V162/1000-34),500)))))))</f>
        <v>20.85</v>
      </c>
      <c r="AI162" s="4" t="n">
        <f aca="false">IF(W162="","",IF(W162&lt;=40,(50/40)*W162,IF(W162&lt;=80,50+((100-50)/(80-40))*(W162-40),IF(W162&lt;=180,100+((200-100)/(180-80))*(W162-80),IF(W162&lt;=280,200+((300-200)/(280-180))*(W162-180),IF(W162&lt;=400,300+((400-300)/(400-280))*(W162-280),IF(W162&lt;=800,400+((500-400)/(800-400))*(W162-400),500)))))))</f>
        <v>17.125</v>
      </c>
      <c r="AJ162" s="4" t="n">
        <f aca="false">IF(X162="","",IF(X162&lt;=40,(50/40)*X162,IF(X162&lt;=80,50+((100-50)/(80-40))*(X162-40),IF(X162&lt;=380,100+((200-100)/(380-80))*(X162-80),IF(X162&lt;=800,200+((300-200)/(800-380))*(X162-380),IF(X162&lt;=1600,300+((400-300)/(1600-800))*(X162-800),IF(X162&lt;=2100,400+((500-400)/(2100-1600))*(X162-1600),500)))))))</f>
        <v>14.5</v>
      </c>
      <c r="AK162" s="4" t="n">
        <f aca="false">IF(Y162="","",IF(Y162&lt;=50,(50/50)*Y162,IF(Y162&lt;=100,50+((100-50)/(100-50))*(Y162-50),IF(Y162&lt;=168,100+((200-100)/(168-100))*(Y162-100),IF(Y162&lt;=208,200+((300-200)/(208-168))*(Y162-168),IF(Y162&lt;=748,300+((400-300)/(748-208))*(Y162-208),IF(Y162&lt;=1000,400+((500-400)/(1000-748))*(Y162-748),500)))))))</f>
        <v>130.882352941176</v>
      </c>
      <c r="AL162" s="4" t="n">
        <f aca="false">ROUND(MAX(AF162,AG162,AH162,AI162,AJ162,AK162),0)</f>
        <v>131</v>
      </c>
      <c r="AM162" s="4" t="str">
        <f aca="false">IF(AL162="","",IF(AL162&lt;=50,"Good",IF(AL162&lt;=100,"Satisfactory",IF(AL162&lt;=200,"Moderate",IF(AL162&lt;=300,"Poor",IF(AL162&lt;=400,"Very Poor","Severe"))))))</f>
        <v>Moderate</v>
      </c>
    </row>
    <row r="163" customFormat="false" ht="15.75" hidden="false" customHeight="false" outlineLevel="0" collapsed="false">
      <c r="A163" s="1" t="s">
        <v>39</v>
      </c>
      <c r="B163" s="1" t="s">
        <v>40</v>
      </c>
      <c r="C163" s="1" t="n">
        <v>28.4595</v>
      </c>
      <c r="D163" s="1" t="n">
        <v>77.0266</v>
      </c>
      <c r="E163" s="5" t="n">
        <v>45907</v>
      </c>
      <c r="F163" s="6" t="s">
        <v>69</v>
      </c>
      <c r="G163" s="1" t="n">
        <v>9</v>
      </c>
      <c r="H163" s="7" t="s">
        <v>87</v>
      </c>
      <c r="I163" s="6" t="s">
        <v>46</v>
      </c>
      <c r="J163" s="7" t="s">
        <v>44</v>
      </c>
      <c r="K163" s="7" t="s">
        <v>65</v>
      </c>
      <c r="L163" s="1" t="n">
        <v>80</v>
      </c>
      <c r="M163" s="1" t="n">
        <v>25.7</v>
      </c>
      <c r="N163" s="1" t="n">
        <v>19.1</v>
      </c>
      <c r="O163" s="1" t="n">
        <v>0</v>
      </c>
      <c r="P163" s="6" t="s">
        <v>43</v>
      </c>
      <c r="Q163" s="6" t="s">
        <v>43</v>
      </c>
      <c r="R163" s="1" t="n">
        <v>1001.2</v>
      </c>
      <c r="S163" s="1" t="n">
        <v>88</v>
      </c>
      <c r="T163" s="1" t="n">
        <v>23.9</v>
      </c>
      <c r="U163" s="1" t="n">
        <v>23.9</v>
      </c>
      <c r="V163" s="1" t="n">
        <v>525</v>
      </c>
      <c r="W163" s="1" t="n">
        <v>17.8</v>
      </c>
      <c r="X163" s="1" t="n">
        <v>12.6</v>
      </c>
      <c r="Y163" s="1" t="n">
        <v>103</v>
      </c>
      <c r="Z163" s="1" t="n">
        <v>0</v>
      </c>
      <c r="AA163" s="1" t="n">
        <v>108</v>
      </c>
      <c r="AB163" s="7" t="s">
        <v>81</v>
      </c>
      <c r="AC163" s="7" t="s">
        <v>82</v>
      </c>
      <c r="AD163" s="7" t="s">
        <v>83</v>
      </c>
      <c r="AE163" s="7" t="s">
        <v>84</v>
      </c>
      <c r="AF163" s="4" t="n">
        <f aca="false">IF(T163="","",IF(T163&lt;=30,(50/30)*T163,IF(T163&lt;=60,50+((100-50)/(60-30))*(T163-30),IF(T163&lt;=90,100+((200-100)/(90-60))*(T163-60),IF(T163&lt;=120,200+((300-200)/(120-90))*(T163-90),IF(T163&lt;=250,300+((400-300)/(250-120))*(T163-120),IF(T163&lt;=380,400+((500-400)/(380-250))*(T163-250),500)))))))</f>
        <v>39.8333333333333</v>
      </c>
      <c r="AG163" s="4" t="n">
        <f aca="false">IF(U163="","",IF(U163&lt;=50,(50/50)*U163,IF(U163&lt;=100,50+((100-50)/(100-50))*(U163-50),IF(U163&lt;=250,100+((200-100)/(250-100))*(U163-100),IF(U163&lt;=350,200+((300-200)/(350-250))*(U163-250),IF(U163&lt;=430,300+((400-300)/(430-350))*(U163-350),IF(U163&lt;=600,400+((500-400)/(600-430))*(U163-430),500)))))))</f>
        <v>23.9</v>
      </c>
      <c r="AH163" s="4" t="n">
        <f aca="false">IF(V163="","",IF((V163/1000)&lt;=1,(50/1)*(V163/1000),IF((V163/1000)&lt;=2,50+((100-50)/(2-1))*(V163/1000-1),IF((V163/1000)&lt;=10,100+((200-100)/(10-2))*(V163/1000-2),IF((V163/1000)&lt;=17,200+((300-200)/(17-10))*(V163/1000-10),IF((V163/1000)&lt;=34,300+((400-300)/(34-17))*(V163/1000-17),IF((V163/1000)&lt;=57,400+((500-400)/(57-34))*(V163/1000-34),500)))))))</f>
        <v>26.25</v>
      </c>
      <c r="AI163" s="4" t="n">
        <f aca="false">IF(W163="","",IF(W163&lt;=40,(50/40)*W163,IF(W163&lt;=80,50+((100-50)/(80-40))*(W163-40),IF(W163&lt;=180,100+((200-100)/(180-80))*(W163-80),IF(W163&lt;=280,200+((300-200)/(280-180))*(W163-180),IF(W163&lt;=400,300+((400-300)/(400-280))*(W163-280),IF(W163&lt;=800,400+((500-400)/(800-400))*(W163-400),500)))))))</f>
        <v>22.25</v>
      </c>
      <c r="AJ163" s="4" t="n">
        <f aca="false">IF(X163="","",IF(X163&lt;=40,(50/40)*X163,IF(X163&lt;=80,50+((100-50)/(80-40))*(X163-40),IF(X163&lt;=380,100+((200-100)/(380-80))*(X163-80),IF(X163&lt;=800,200+((300-200)/(800-380))*(X163-380),IF(X163&lt;=1600,300+((400-300)/(1600-800))*(X163-800),IF(X163&lt;=2100,400+((500-400)/(2100-1600))*(X163-1600),500)))))))</f>
        <v>15.75</v>
      </c>
      <c r="AK163" s="4" t="n">
        <f aca="false">IF(Y163="","",IF(Y163&lt;=50,(50/50)*Y163,IF(Y163&lt;=100,50+((100-50)/(100-50))*(Y163-50),IF(Y163&lt;=168,100+((200-100)/(168-100))*(Y163-100),IF(Y163&lt;=208,200+((300-200)/(208-168))*(Y163-168),IF(Y163&lt;=748,300+((400-300)/(748-208))*(Y163-208),IF(Y163&lt;=1000,400+((500-400)/(1000-748))*(Y163-748),500)))))))</f>
        <v>104.411764705882</v>
      </c>
      <c r="AL163" s="4" t="n">
        <f aca="false">ROUND(MAX(AF163,AG163,AH163,AI163,AJ163,AK163),0)</f>
        <v>104</v>
      </c>
      <c r="AM163" s="4" t="str">
        <f aca="false">IF(AL163="","",IF(AL163&lt;=50,"Good",IF(AL163&lt;=100,"Satisfactory",IF(AL163&lt;=200,"Moderate",IF(AL163&lt;=300,"Poor",IF(AL163&lt;=400,"Very Poor","Severe"))))))</f>
        <v>Moderate</v>
      </c>
    </row>
    <row r="164" customFormat="false" ht="15.75" hidden="false" customHeight="false" outlineLevel="0" collapsed="false">
      <c r="A164" s="1" t="s">
        <v>39</v>
      </c>
      <c r="B164" s="1" t="s">
        <v>40</v>
      </c>
      <c r="C164" s="1" t="n">
        <v>28.4595</v>
      </c>
      <c r="D164" s="1" t="n">
        <v>77.0266</v>
      </c>
      <c r="E164" s="5" t="n">
        <v>45907</v>
      </c>
      <c r="F164" s="6" t="s">
        <v>70</v>
      </c>
      <c r="G164" s="1" t="n">
        <v>9</v>
      </c>
      <c r="H164" s="7" t="s">
        <v>87</v>
      </c>
      <c r="I164" s="6" t="s">
        <v>46</v>
      </c>
      <c r="J164" s="7" t="s">
        <v>44</v>
      </c>
      <c r="K164" s="7" t="s">
        <v>71</v>
      </c>
      <c r="L164" s="1" t="n">
        <v>85</v>
      </c>
      <c r="M164" s="1" t="n">
        <v>25.4</v>
      </c>
      <c r="N164" s="1" t="n">
        <v>18.4</v>
      </c>
      <c r="O164" s="1" t="n">
        <v>0</v>
      </c>
      <c r="P164" s="6" t="s">
        <v>43</v>
      </c>
      <c r="Q164" s="6" t="s">
        <v>43</v>
      </c>
      <c r="R164" s="1" t="n">
        <v>1002.7</v>
      </c>
      <c r="S164" s="1" t="n">
        <v>100</v>
      </c>
      <c r="T164" s="1" t="n">
        <v>33.3</v>
      </c>
      <c r="U164" s="1" t="n">
        <v>33.3</v>
      </c>
      <c r="V164" s="1" t="n">
        <v>731</v>
      </c>
      <c r="W164" s="1" t="n">
        <v>33.5</v>
      </c>
      <c r="X164" s="1" t="n">
        <v>14.7</v>
      </c>
      <c r="Y164" s="1" t="n">
        <v>80</v>
      </c>
      <c r="Z164" s="1" t="n">
        <v>0</v>
      </c>
      <c r="AA164" s="1" t="n">
        <v>104</v>
      </c>
      <c r="AB164" s="7" t="s">
        <v>81</v>
      </c>
      <c r="AC164" s="7" t="s">
        <v>82</v>
      </c>
      <c r="AD164" s="7" t="s">
        <v>83</v>
      </c>
      <c r="AE164" s="7" t="s">
        <v>84</v>
      </c>
      <c r="AF164" s="4" t="n">
        <f aca="false">IF(T164="","",IF(T164&lt;=30,(50/30)*T164,IF(T164&lt;=60,50+((100-50)/(60-30))*(T164-30),IF(T164&lt;=90,100+((200-100)/(90-60))*(T164-60),IF(T164&lt;=120,200+((300-200)/(120-90))*(T164-90),IF(T164&lt;=250,300+((400-300)/(250-120))*(T164-120),IF(T164&lt;=380,400+((500-400)/(380-250))*(T164-250),500)))))))</f>
        <v>55.5</v>
      </c>
      <c r="AG164" s="4" t="n">
        <f aca="false">IF(U164="","",IF(U164&lt;=50,(50/50)*U164,IF(U164&lt;=100,50+((100-50)/(100-50))*(U164-50),IF(U164&lt;=250,100+((200-100)/(250-100))*(U164-100),IF(U164&lt;=350,200+((300-200)/(350-250))*(U164-250),IF(U164&lt;=430,300+((400-300)/(430-350))*(U164-350),IF(U164&lt;=600,400+((500-400)/(600-430))*(U164-430),500)))))))</f>
        <v>33.3</v>
      </c>
      <c r="AH164" s="4" t="n">
        <f aca="false">IF(V164="","",IF((V164/1000)&lt;=1,(50/1)*(V164/1000),IF((V164/1000)&lt;=2,50+((100-50)/(2-1))*(V164/1000-1),IF((V164/1000)&lt;=10,100+((200-100)/(10-2))*(V164/1000-2),IF((V164/1000)&lt;=17,200+((300-200)/(17-10))*(V164/1000-10),IF((V164/1000)&lt;=34,300+((400-300)/(34-17))*(V164/1000-17),IF((V164/1000)&lt;=57,400+((500-400)/(57-34))*(V164/1000-34),500)))))))</f>
        <v>36.55</v>
      </c>
      <c r="AI164" s="4" t="n">
        <f aca="false">IF(W164="","",IF(W164&lt;=40,(50/40)*W164,IF(W164&lt;=80,50+((100-50)/(80-40))*(W164-40),IF(W164&lt;=180,100+((200-100)/(180-80))*(W164-80),IF(W164&lt;=280,200+((300-200)/(280-180))*(W164-180),IF(W164&lt;=400,300+((400-300)/(400-280))*(W164-280),IF(W164&lt;=800,400+((500-400)/(800-400))*(W164-400),500)))))))</f>
        <v>41.875</v>
      </c>
      <c r="AJ164" s="4" t="n">
        <f aca="false">IF(X164="","",IF(X164&lt;=40,(50/40)*X164,IF(X164&lt;=80,50+((100-50)/(80-40))*(X164-40),IF(X164&lt;=380,100+((200-100)/(380-80))*(X164-80),IF(X164&lt;=800,200+((300-200)/(800-380))*(X164-380),IF(X164&lt;=1600,300+((400-300)/(1600-800))*(X164-800),IF(X164&lt;=2100,400+((500-400)/(2100-1600))*(X164-1600),500)))))))</f>
        <v>18.375</v>
      </c>
      <c r="AK164" s="4" t="n">
        <f aca="false">IF(Y164="","",IF(Y164&lt;=50,(50/50)*Y164,IF(Y164&lt;=100,50+((100-50)/(100-50))*(Y164-50),IF(Y164&lt;=168,100+((200-100)/(168-100))*(Y164-100),IF(Y164&lt;=208,200+((300-200)/(208-168))*(Y164-168),IF(Y164&lt;=748,300+((400-300)/(748-208))*(Y164-208),IF(Y164&lt;=1000,400+((500-400)/(1000-748))*(Y164-748),500)))))))</f>
        <v>80</v>
      </c>
      <c r="AL164" s="4" t="n">
        <f aca="false">ROUND(MAX(AF164,AG164,AH164,AI164,AJ164,AK164),0)</f>
        <v>80</v>
      </c>
      <c r="AM164" s="4" t="str">
        <f aca="false">IF(AL164="","",IF(AL164&lt;=50,"Good",IF(AL164&lt;=100,"Satisfactory",IF(AL164&lt;=200,"Moderate",IF(AL164&lt;=300,"Poor",IF(AL164&lt;=400,"Very Poor","Severe"))))))</f>
        <v>Satisfactory</v>
      </c>
    </row>
    <row r="165" customFormat="false" ht="15.75" hidden="false" customHeight="false" outlineLevel="0" collapsed="false">
      <c r="A165" s="1" t="s">
        <v>39</v>
      </c>
      <c r="B165" s="1" t="s">
        <v>40</v>
      </c>
      <c r="C165" s="1" t="n">
        <v>28.4595</v>
      </c>
      <c r="D165" s="1" t="n">
        <v>77.0266</v>
      </c>
      <c r="E165" s="5" t="n">
        <v>45907</v>
      </c>
      <c r="F165" s="6" t="s">
        <v>72</v>
      </c>
      <c r="G165" s="1" t="n">
        <v>9</v>
      </c>
      <c r="H165" s="7" t="s">
        <v>87</v>
      </c>
      <c r="I165" s="6" t="s">
        <v>46</v>
      </c>
      <c r="J165" s="7" t="s">
        <v>44</v>
      </c>
      <c r="K165" s="7" t="s">
        <v>71</v>
      </c>
      <c r="L165" s="1" t="n">
        <v>88</v>
      </c>
      <c r="M165" s="1" t="n">
        <v>25.2</v>
      </c>
      <c r="N165" s="1" t="n">
        <v>17.6</v>
      </c>
      <c r="O165" s="1" t="n">
        <v>0</v>
      </c>
      <c r="P165" s="6" t="s">
        <v>43</v>
      </c>
      <c r="Q165" s="6" t="s">
        <v>43</v>
      </c>
      <c r="R165" s="1" t="n">
        <v>1003.8</v>
      </c>
      <c r="S165" s="1" t="n">
        <v>100</v>
      </c>
      <c r="T165" s="1" t="n">
        <v>46.3</v>
      </c>
      <c r="U165" s="1" t="n">
        <v>46.3</v>
      </c>
      <c r="V165" s="1" t="n">
        <v>977</v>
      </c>
      <c r="W165" s="1" t="n">
        <v>54.7</v>
      </c>
      <c r="X165" s="1" t="n">
        <v>17.5</v>
      </c>
      <c r="Y165" s="1" t="n">
        <v>48</v>
      </c>
      <c r="Z165" s="1" t="n">
        <v>0</v>
      </c>
      <c r="AA165" s="1" t="n">
        <v>101</v>
      </c>
      <c r="AB165" s="7" t="s">
        <v>81</v>
      </c>
      <c r="AC165" s="7" t="s">
        <v>82</v>
      </c>
      <c r="AD165" s="7" t="s">
        <v>83</v>
      </c>
      <c r="AE165" s="7" t="s">
        <v>84</v>
      </c>
      <c r="AF165" s="4" t="n">
        <f aca="false">IF(T165="","",IF(T165&lt;=30,(50/30)*T165,IF(T165&lt;=60,50+((100-50)/(60-30))*(T165-30),IF(T165&lt;=90,100+((200-100)/(90-60))*(T165-60),IF(T165&lt;=120,200+((300-200)/(120-90))*(T165-90),IF(T165&lt;=250,300+((400-300)/(250-120))*(T165-120),IF(T165&lt;=380,400+((500-400)/(380-250))*(T165-250),500)))))))</f>
        <v>77.1666666666667</v>
      </c>
      <c r="AG165" s="4" t="n">
        <f aca="false">IF(U165="","",IF(U165&lt;=50,(50/50)*U165,IF(U165&lt;=100,50+((100-50)/(100-50))*(U165-50),IF(U165&lt;=250,100+((200-100)/(250-100))*(U165-100),IF(U165&lt;=350,200+((300-200)/(350-250))*(U165-250),IF(U165&lt;=430,300+((400-300)/(430-350))*(U165-350),IF(U165&lt;=600,400+((500-400)/(600-430))*(U165-430),500)))))))</f>
        <v>46.3</v>
      </c>
      <c r="AH165" s="4" t="n">
        <f aca="false">IF(V165="","",IF((V165/1000)&lt;=1,(50/1)*(V165/1000),IF((V165/1000)&lt;=2,50+((100-50)/(2-1))*(V165/1000-1),IF((V165/1000)&lt;=10,100+((200-100)/(10-2))*(V165/1000-2),IF((V165/1000)&lt;=17,200+((300-200)/(17-10))*(V165/1000-10),IF((V165/1000)&lt;=34,300+((400-300)/(34-17))*(V165/1000-17),IF((V165/1000)&lt;=57,400+((500-400)/(57-34))*(V165/1000-34),500)))))))</f>
        <v>48.85</v>
      </c>
      <c r="AI165" s="4" t="n">
        <f aca="false">IF(W165="","",IF(W165&lt;=40,(50/40)*W165,IF(W165&lt;=80,50+((100-50)/(80-40))*(W165-40),IF(W165&lt;=180,100+((200-100)/(180-80))*(W165-80),IF(W165&lt;=280,200+((300-200)/(280-180))*(W165-180),IF(W165&lt;=400,300+((400-300)/(400-280))*(W165-280),IF(W165&lt;=800,400+((500-400)/(800-400))*(W165-400),500)))))))</f>
        <v>68.375</v>
      </c>
      <c r="AJ165" s="4" t="n">
        <f aca="false">IF(X165="","",IF(X165&lt;=40,(50/40)*X165,IF(X165&lt;=80,50+((100-50)/(80-40))*(X165-40),IF(X165&lt;=380,100+((200-100)/(380-80))*(X165-80),IF(X165&lt;=800,200+((300-200)/(800-380))*(X165-380),IF(X165&lt;=1600,300+((400-300)/(1600-800))*(X165-800),IF(X165&lt;=2100,400+((500-400)/(2100-1600))*(X165-1600),500)))))))</f>
        <v>21.875</v>
      </c>
      <c r="AK165" s="4" t="n">
        <f aca="false">IF(Y165="","",IF(Y165&lt;=50,(50/50)*Y165,IF(Y165&lt;=100,50+((100-50)/(100-50))*(Y165-50),IF(Y165&lt;=168,100+((200-100)/(168-100))*(Y165-100),IF(Y165&lt;=208,200+((300-200)/(208-168))*(Y165-168),IF(Y165&lt;=748,300+((400-300)/(748-208))*(Y165-208),IF(Y165&lt;=1000,400+((500-400)/(1000-748))*(Y165-748),500)))))))</f>
        <v>48</v>
      </c>
      <c r="AL165" s="4" t="n">
        <f aca="false">ROUND(MAX(AF165,AG165,AH165,AI165,AJ165,AK165),0)</f>
        <v>77</v>
      </c>
      <c r="AM165" s="4" t="str">
        <f aca="false">IF(AL165="","",IF(AL165&lt;=50,"Good",IF(AL165&lt;=100,"Satisfactory",IF(AL165&lt;=200,"Moderate",IF(AL165&lt;=300,"Poor",IF(AL165&lt;=400,"Very Poor","Severe"))))))</f>
        <v>Satisfactory</v>
      </c>
    </row>
    <row r="166" customFormat="false" ht="15.75" hidden="false" customHeight="false" outlineLevel="0" collapsed="false">
      <c r="A166" s="1" t="s">
        <v>39</v>
      </c>
      <c r="B166" s="1" t="s">
        <v>40</v>
      </c>
      <c r="C166" s="1" t="n">
        <v>28.4595</v>
      </c>
      <c r="D166" s="1" t="n">
        <v>77.0266</v>
      </c>
      <c r="E166" s="5" t="n">
        <v>45907</v>
      </c>
      <c r="F166" s="6" t="s">
        <v>73</v>
      </c>
      <c r="G166" s="1" t="n">
        <v>9</v>
      </c>
      <c r="H166" s="7" t="s">
        <v>87</v>
      </c>
      <c r="I166" s="6" t="s">
        <v>46</v>
      </c>
      <c r="J166" s="7" t="s">
        <v>44</v>
      </c>
      <c r="K166" s="7" t="s">
        <v>71</v>
      </c>
      <c r="L166" s="1" t="n">
        <v>91</v>
      </c>
      <c r="M166" s="1" t="n">
        <v>25.2</v>
      </c>
      <c r="N166" s="1" t="n">
        <v>16.2</v>
      </c>
      <c r="O166" s="1" t="n">
        <v>0</v>
      </c>
      <c r="P166" s="6" t="s">
        <v>43</v>
      </c>
      <c r="Q166" s="6" t="s">
        <v>43</v>
      </c>
      <c r="R166" s="1" t="n">
        <v>1004.7</v>
      </c>
      <c r="S166" s="1" t="n">
        <v>99</v>
      </c>
      <c r="T166" s="1" t="n">
        <v>46.1</v>
      </c>
      <c r="U166" s="1" t="n">
        <v>46.2</v>
      </c>
      <c r="V166" s="1" t="n">
        <v>1106</v>
      </c>
      <c r="W166" s="1" t="n">
        <v>67.7</v>
      </c>
      <c r="X166" s="1" t="n">
        <v>19.1</v>
      </c>
      <c r="Y166" s="1" t="n">
        <v>26</v>
      </c>
      <c r="Z166" s="1" t="n">
        <v>0</v>
      </c>
      <c r="AA166" s="1" t="n">
        <v>100</v>
      </c>
      <c r="AB166" s="7" t="s">
        <v>47</v>
      </c>
      <c r="AC166" s="7" t="s">
        <v>48</v>
      </c>
      <c r="AD166" s="6" t="s">
        <v>43</v>
      </c>
      <c r="AE166" s="6" t="s">
        <v>43</v>
      </c>
      <c r="AF166" s="4" t="n">
        <f aca="false">IF(T166="","",IF(T166&lt;=30,(50/30)*T166,IF(T166&lt;=60,50+((100-50)/(60-30))*(T166-30),IF(T166&lt;=90,100+((200-100)/(90-60))*(T166-60),IF(T166&lt;=120,200+((300-200)/(120-90))*(T166-90),IF(T166&lt;=250,300+((400-300)/(250-120))*(T166-120),IF(T166&lt;=380,400+((500-400)/(380-250))*(T166-250),500)))))))</f>
        <v>76.8333333333333</v>
      </c>
      <c r="AG166" s="4" t="n">
        <f aca="false">IF(U166="","",IF(U166&lt;=50,(50/50)*U166,IF(U166&lt;=100,50+((100-50)/(100-50))*(U166-50),IF(U166&lt;=250,100+((200-100)/(250-100))*(U166-100),IF(U166&lt;=350,200+((300-200)/(350-250))*(U166-250),IF(U166&lt;=430,300+((400-300)/(430-350))*(U166-350),IF(U166&lt;=600,400+((500-400)/(600-430))*(U166-430),500)))))))</f>
        <v>46.2</v>
      </c>
      <c r="AH166" s="4" t="n">
        <f aca="false">IF(V166="","",IF((V166/1000)&lt;=1,(50/1)*(V166/1000),IF((V166/1000)&lt;=2,50+((100-50)/(2-1))*(V166/1000-1),IF((V166/1000)&lt;=10,100+((200-100)/(10-2))*(V166/1000-2),IF((V166/1000)&lt;=17,200+((300-200)/(17-10))*(V166/1000-10),IF((V166/1000)&lt;=34,300+((400-300)/(34-17))*(V166/1000-17),IF((V166/1000)&lt;=57,400+((500-400)/(57-34))*(V166/1000-34),500)))))))</f>
        <v>55.3</v>
      </c>
      <c r="AI166" s="4" t="n">
        <f aca="false">IF(W166="","",IF(W166&lt;=40,(50/40)*W166,IF(W166&lt;=80,50+((100-50)/(80-40))*(W166-40),IF(W166&lt;=180,100+((200-100)/(180-80))*(W166-80),IF(W166&lt;=280,200+((300-200)/(280-180))*(W166-180),IF(W166&lt;=400,300+((400-300)/(400-280))*(W166-280),IF(W166&lt;=800,400+((500-400)/(800-400))*(W166-400),500)))))))</f>
        <v>84.625</v>
      </c>
      <c r="AJ166" s="4" t="n">
        <f aca="false">IF(X166="","",IF(X166&lt;=40,(50/40)*X166,IF(X166&lt;=80,50+((100-50)/(80-40))*(X166-40),IF(X166&lt;=380,100+((200-100)/(380-80))*(X166-80),IF(X166&lt;=800,200+((300-200)/(800-380))*(X166-380),IF(X166&lt;=1600,300+((400-300)/(1600-800))*(X166-800),IF(X166&lt;=2100,400+((500-400)/(2100-1600))*(X166-1600),500)))))))</f>
        <v>23.875</v>
      </c>
      <c r="AK166" s="4" t="n">
        <f aca="false">IF(Y166="","",IF(Y166&lt;=50,(50/50)*Y166,IF(Y166&lt;=100,50+((100-50)/(100-50))*(Y166-50),IF(Y166&lt;=168,100+((200-100)/(168-100))*(Y166-100),IF(Y166&lt;=208,200+((300-200)/(208-168))*(Y166-168),IF(Y166&lt;=748,300+((400-300)/(748-208))*(Y166-208),IF(Y166&lt;=1000,400+((500-400)/(1000-748))*(Y166-748),500)))))))</f>
        <v>26</v>
      </c>
      <c r="AL166" s="4" t="n">
        <f aca="false">ROUND(MAX(AF166,AG166,AH166,AI166,AJ166,AK166),0)</f>
        <v>85</v>
      </c>
      <c r="AM166" s="4" t="str">
        <f aca="false">IF(AL166="","",IF(AL166&lt;=50,"Good",IF(AL166&lt;=100,"Satisfactory",IF(AL166&lt;=200,"Moderate",IF(AL166&lt;=300,"Poor",IF(AL166&lt;=400,"Very Poor","Severe"))))))</f>
        <v>Satisfactory</v>
      </c>
    </row>
    <row r="167" customFormat="false" ht="15.75" hidden="false" customHeight="false" outlineLevel="0" collapsed="false">
      <c r="A167" s="1" t="s">
        <v>39</v>
      </c>
      <c r="B167" s="1" t="s">
        <v>40</v>
      </c>
      <c r="C167" s="1" t="n">
        <v>28.4595</v>
      </c>
      <c r="D167" s="1" t="n">
        <v>77.0266</v>
      </c>
      <c r="E167" s="5" t="n">
        <v>45907</v>
      </c>
      <c r="F167" s="6" t="s">
        <v>74</v>
      </c>
      <c r="G167" s="1" t="n">
        <v>9</v>
      </c>
      <c r="H167" s="7" t="s">
        <v>87</v>
      </c>
      <c r="I167" s="6" t="s">
        <v>46</v>
      </c>
      <c r="J167" s="7" t="s">
        <v>44</v>
      </c>
      <c r="K167" s="7" t="s">
        <v>75</v>
      </c>
      <c r="L167" s="1" t="n">
        <v>91</v>
      </c>
      <c r="M167" s="1" t="n">
        <v>25</v>
      </c>
      <c r="N167" s="1" t="n">
        <v>15.8</v>
      </c>
      <c r="O167" s="1" t="n">
        <v>0</v>
      </c>
      <c r="P167" s="6" t="s">
        <v>43</v>
      </c>
      <c r="Q167" s="6" t="s">
        <v>43</v>
      </c>
      <c r="R167" s="1" t="n">
        <v>1005.4</v>
      </c>
      <c r="S167" s="1" t="n">
        <v>100</v>
      </c>
      <c r="T167" s="1" t="n">
        <v>42.6</v>
      </c>
      <c r="U167" s="1" t="n">
        <v>42.6</v>
      </c>
      <c r="V167" s="1" t="n">
        <v>1013</v>
      </c>
      <c r="W167" s="1" t="n">
        <v>64.9</v>
      </c>
      <c r="X167" s="1" t="n">
        <v>18.3</v>
      </c>
      <c r="Y167" s="1" t="n">
        <v>22</v>
      </c>
      <c r="Z167" s="1" t="n">
        <v>0</v>
      </c>
      <c r="AA167" s="1" t="n">
        <v>100</v>
      </c>
      <c r="AB167" s="7" t="s">
        <v>47</v>
      </c>
      <c r="AC167" s="7" t="s">
        <v>48</v>
      </c>
      <c r="AD167" s="6" t="s">
        <v>43</v>
      </c>
      <c r="AE167" s="6" t="s">
        <v>43</v>
      </c>
      <c r="AF167" s="4" t="n">
        <f aca="false">IF(T167="","",IF(T167&lt;=30,(50/30)*T167,IF(T167&lt;=60,50+((100-50)/(60-30))*(T167-30),IF(T167&lt;=90,100+((200-100)/(90-60))*(T167-60),IF(T167&lt;=120,200+((300-200)/(120-90))*(T167-90),IF(T167&lt;=250,300+((400-300)/(250-120))*(T167-120),IF(T167&lt;=380,400+((500-400)/(380-250))*(T167-250),500)))))))</f>
        <v>71</v>
      </c>
      <c r="AG167" s="4" t="n">
        <f aca="false">IF(U167="","",IF(U167&lt;=50,(50/50)*U167,IF(U167&lt;=100,50+((100-50)/(100-50))*(U167-50),IF(U167&lt;=250,100+((200-100)/(250-100))*(U167-100),IF(U167&lt;=350,200+((300-200)/(350-250))*(U167-250),IF(U167&lt;=430,300+((400-300)/(430-350))*(U167-350),IF(U167&lt;=600,400+((500-400)/(600-430))*(U167-430),500)))))))</f>
        <v>42.6</v>
      </c>
      <c r="AH167" s="4" t="n">
        <f aca="false">IF(V167="","",IF((V167/1000)&lt;=1,(50/1)*(V167/1000),IF((V167/1000)&lt;=2,50+((100-50)/(2-1))*(V167/1000-1),IF((V167/1000)&lt;=10,100+((200-100)/(10-2))*(V167/1000-2),IF((V167/1000)&lt;=17,200+((300-200)/(17-10))*(V167/1000-10),IF((V167/1000)&lt;=34,300+((400-300)/(34-17))*(V167/1000-17),IF((V167/1000)&lt;=57,400+((500-400)/(57-34))*(V167/1000-34),500)))))))</f>
        <v>50.65</v>
      </c>
      <c r="AI167" s="4" t="n">
        <f aca="false">IF(W167="","",IF(W167&lt;=40,(50/40)*W167,IF(W167&lt;=80,50+((100-50)/(80-40))*(W167-40),IF(W167&lt;=180,100+((200-100)/(180-80))*(W167-80),IF(W167&lt;=280,200+((300-200)/(280-180))*(W167-180),IF(W167&lt;=400,300+((400-300)/(400-280))*(W167-280),IF(W167&lt;=800,400+((500-400)/(800-400))*(W167-400),500)))))))</f>
        <v>81.125</v>
      </c>
      <c r="AJ167" s="4" t="n">
        <f aca="false">IF(X167="","",IF(X167&lt;=40,(50/40)*X167,IF(X167&lt;=80,50+((100-50)/(80-40))*(X167-40),IF(X167&lt;=380,100+((200-100)/(380-80))*(X167-80),IF(X167&lt;=800,200+((300-200)/(800-380))*(X167-380),IF(X167&lt;=1600,300+((400-300)/(1600-800))*(X167-800),IF(X167&lt;=2100,400+((500-400)/(2100-1600))*(X167-1600),500)))))))</f>
        <v>22.875</v>
      </c>
      <c r="AK167" s="4" t="n">
        <f aca="false">IF(Y167="","",IF(Y167&lt;=50,(50/50)*Y167,IF(Y167&lt;=100,50+((100-50)/(100-50))*(Y167-50),IF(Y167&lt;=168,100+((200-100)/(168-100))*(Y167-100),IF(Y167&lt;=208,200+((300-200)/(208-168))*(Y167-168),IF(Y167&lt;=748,300+((400-300)/(748-208))*(Y167-208),IF(Y167&lt;=1000,400+((500-400)/(1000-748))*(Y167-748),500)))))))</f>
        <v>22</v>
      </c>
      <c r="AL167" s="4" t="n">
        <f aca="false">ROUND(MAX(AF167,AG167,AH167,AI167,AJ167,AK167),0)</f>
        <v>81</v>
      </c>
      <c r="AM167" s="4" t="str">
        <f aca="false">IF(AL167="","",IF(AL167&lt;=50,"Good",IF(AL167&lt;=100,"Satisfactory",IF(AL167&lt;=200,"Moderate",IF(AL167&lt;=300,"Poor",IF(AL167&lt;=400,"Very Poor","Severe"))))))</f>
        <v>Satisfactory</v>
      </c>
    </row>
    <row r="168" customFormat="false" ht="15.75" hidden="false" customHeight="false" outlineLevel="0" collapsed="false">
      <c r="A168" s="1" t="s">
        <v>39</v>
      </c>
      <c r="B168" s="1" t="s">
        <v>40</v>
      </c>
      <c r="C168" s="1" t="n">
        <v>28.4595</v>
      </c>
      <c r="D168" s="1" t="n">
        <v>77.0266</v>
      </c>
      <c r="E168" s="5" t="n">
        <v>45907</v>
      </c>
      <c r="F168" s="6" t="s">
        <v>76</v>
      </c>
      <c r="G168" s="1" t="n">
        <v>9</v>
      </c>
      <c r="H168" s="7" t="s">
        <v>87</v>
      </c>
      <c r="I168" s="6" t="s">
        <v>46</v>
      </c>
      <c r="J168" s="7" t="s">
        <v>44</v>
      </c>
      <c r="K168" s="7" t="s">
        <v>75</v>
      </c>
      <c r="L168" s="1" t="n">
        <v>92</v>
      </c>
      <c r="M168" s="1" t="n">
        <v>24.9</v>
      </c>
      <c r="N168" s="1" t="n">
        <v>15.8</v>
      </c>
      <c r="O168" s="1" t="n">
        <v>0</v>
      </c>
      <c r="P168" s="6" t="s">
        <v>43</v>
      </c>
      <c r="Q168" s="6" t="s">
        <v>43</v>
      </c>
      <c r="R168" s="1" t="n">
        <v>1005.7</v>
      </c>
      <c r="S168" s="1" t="n">
        <v>5</v>
      </c>
      <c r="T168" s="1" t="n">
        <v>38.6</v>
      </c>
      <c r="U168" s="1" t="n">
        <v>38.8</v>
      </c>
      <c r="V168" s="1" t="n">
        <v>803</v>
      </c>
      <c r="W168" s="1" t="n">
        <v>53.9</v>
      </c>
      <c r="X168" s="1" t="n">
        <v>16.3</v>
      </c>
      <c r="Y168" s="1" t="n">
        <v>28</v>
      </c>
      <c r="Z168" s="1" t="n">
        <v>0</v>
      </c>
      <c r="AA168" s="1" t="n">
        <v>100</v>
      </c>
      <c r="AB168" s="7" t="s">
        <v>47</v>
      </c>
      <c r="AC168" s="7" t="s">
        <v>48</v>
      </c>
      <c r="AD168" s="6" t="s">
        <v>43</v>
      </c>
      <c r="AE168" s="6" t="s">
        <v>43</v>
      </c>
      <c r="AF168" s="4" t="n">
        <f aca="false">IF(T168="","",IF(T168&lt;=30,(50/30)*T168,IF(T168&lt;=60,50+((100-50)/(60-30))*(T168-30),IF(T168&lt;=90,100+((200-100)/(90-60))*(T168-60),IF(T168&lt;=120,200+((300-200)/(120-90))*(T168-90),IF(T168&lt;=250,300+((400-300)/(250-120))*(T168-120),IF(T168&lt;=380,400+((500-400)/(380-250))*(T168-250),500)))))))</f>
        <v>64.3333333333333</v>
      </c>
      <c r="AG168" s="4" t="n">
        <f aca="false">IF(U168="","",IF(U168&lt;=50,(50/50)*U168,IF(U168&lt;=100,50+((100-50)/(100-50))*(U168-50),IF(U168&lt;=250,100+((200-100)/(250-100))*(U168-100),IF(U168&lt;=350,200+((300-200)/(350-250))*(U168-250),IF(U168&lt;=430,300+((400-300)/(430-350))*(U168-350),IF(U168&lt;=600,400+((500-400)/(600-430))*(U168-430),500)))))))</f>
        <v>38.8</v>
      </c>
      <c r="AH168" s="4" t="n">
        <f aca="false">IF(V168="","",IF((V168/1000)&lt;=1,(50/1)*(V168/1000),IF((V168/1000)&lt;=2,50+((100-50)/(2-1))*(V168/1000-1),IF((V168/1000)&lt;=10,100+((200-100)/(10-2))*(V168/1000-2),IF((V168/1000)&lt;=17,200+((300-200)/(17-10))*(V168/1000-10),IF((V168/1000)&lt;=34,300+((400-300)/(34-17))*(V168/1000-17),IF((V168/1000)&lt;=57,400+((500-400)/(57-34))*(V168/1000-34),500)))))))</f>
        <v>40.15</v>
      </c>
      <c r="AI168" s="4" t="n">
        <f aca="false">IF(W168="","",IF(W168&lt;=40,(50/40)*W168,IF(W168&lt;=80,50+((100-50)/(80-40))*(W168-40),IF(W168&lt;=180,100+((200-100)/(180-80))*(W168-80),IF(W168&lt;=280,200+((300-200)/(280-180))*(W168-180),IF(W168&lt;=400,300+((400-300)/(400-280))*(W168-280),IF(W168&lt;=800,400+((500-400)/(800-400))*(W168-400),500)))))))</f>
        <v>67.375</v>
      </c>
      <c r="AJ168" s="4" t="n">
        <f aca="false">IF(X168="","",IF(X168&lt;=40,(50/40)*X168,IF(X168&lt;=80,50+((100-50)/(80-40))*(X168-40),IF(X168&lt;=380,100+((200-100)/(380-80))*(X168-80),IF(X168&lt;=800,200+((300-200)/(800-380))*(X168-380),IF(X168&lt;=1600,300+((400-300)/(1600-800))*(X168-800),IF(X168&lt;=2100,400+((500-400)/(2100-1600))*(X168-1600),500)))))))</f>
        <v>20.375</v>
      </c>
      <c r="AK168" s="4" t="n">
        <f aca="false">IF(Y168="","",IF(Y168&lt;=50,(50/50)*Y168,IF(Y168&lt;=100,50+((100-50)/(100-50))*(Y168-50),IF(Y168&lt;=168,100+((200-100)/(168-100))*(Y168-100),IF(Y168&lt;=208,200+((300-200)/(208-168))*(Y168-168),IF(Y168&lt;=748,300+((400-300)/(748-208))*(Y168-208),IF(Y168&lt;=1000,400+((500-400)/(1000-748))*(Y168-748),500)))))))</f>
        <v>28</v>
      </c>
      <c r="AL168" s="4" t="n">
        <f aca="false">ROUND(MAX(AF168,AG168,AH168,AI168,AJ168,AK168),0)</f>
        <v>67</v>
      </c>
      <c r="AM168" s="4" t="str">
        <f aca="false">IF(AL168="","",IF(AL168&lt;=50,"Good",IF(AL168&lt;=100,"Satisfactory",IF(AL168&lt;=200,"Moderate",IF(AL168&lt;=300,"Poor",IF(AL168&lt;=400,"Very Poor","Severe"))))))</f>
        <v>Satisfactory</v>
      </c>
    </row>
    <row r="169" customFormat="false" ht="15.75" hidden="false" customHeight="false" outlineLevel="0" collapsed="false">
      <c r="A169" s="1" t="s">
        <v>39</v>
      </c>
      <c r="B169" s="1" t="s">
        <v>40</v>
      </c>
      <c r="C169" s="1" t="n">
        <v>28.4595</v>
      </c>
      <c r="D169" s="1" t="n">
        <v>77.0266</v>
      </c>
      <c r="E169" s="5" t="n">
        <v>45907</v>
      </c>
      <c r="F169" s="6" t="s">
        <v>77</v>
      </c>
      <c r="G169" s="1" t="n">
        <v>9</v>
      </c>
      <c r="H169" s="7" t="s">
        <v>87</v>
      </c>
      <c r="I169" s="6" t="s">
        <v>46</v>
      </c>
      <c r="J169" s="7" t="s">
        <v>44</v>
      </c>
      <c r="K169" s="7" t="s">
        <v>75</v>
      </c>
      <c r="L169" s="1" t="n">
        <v>93</v>
      </c>
      <c r="M169" s="1" t="n">
        <v>24.9</v>
      </c>
      <c r="N169" s="1" t="n">
        <v>16.2</v>
      </c>
      <c r="O169" s="1" t="n">
        <v>0</v>
      </c>
      <c r="P169" s="6" t="s">
        <v>43</v>
      </c>
      <c r="Q169" s="6" t="s">
        <v>43</v>
      </c>
      <c r="R169" s="1" t="n">
        <v>1005.4</v>
      </c>
      <c r="S169" s="1" t="n">
        <v>3</v>
      </c>
      <c r="T169" s="1" t="n">
        <v>34.3</v>
      </c>
      <c r="U169" s="1" t="n">
        <v>34.3</v>
      </c>
      <c r="V169" s="1" t="n">
        <v>634</v>
      </c>
      <c r="W169" s="1" t="n">
        <v>43.8</v>
      </c>
      <c r="X169" s="1" t="n">
        <v>14.6</v>
      </c>
      <c r="Y169" s="1" t="n">
        <v>34</v>
      </c>
      <c r="Z169" s="1" t="n">
        <v>0</v>
      </c>
      <c r="AA169" s="1" t="n">
        <v>99</v>
      </c>
      <c r="AB169" s="7" t="s">
        <v>47</v>
      </c>
      <c r="AC169" s="7" t="s">
        <v>48</v>
      </c>
      <c r="AD169" s="6" t="s">
        <v>43</v>
      </c>
      <c r="AE169" s="6" t="s">
        <v>43</v>
      </c>
      <c r="AF169" s="4" t="n">
        <f aca="false">IF(T169="","",IF(T169&lt;=30,(50/30)*T169,IF(T169&lt;=60,50+((100-50)/(60-30))*(T169-30),IF(T169&lt;=90,100+((200-100)/(90-60))*(T169-60),IF(T169&lt;=120,200+((300-200)/(120-90))*(T169-90),IF(T169&lt;=250,300+((400-300)/(250-120))*(T169-120),IF(T169&lt;=380,400+((500-400)/(380-250))*(T169-250),500)))))))</f>
        <v>57.1666666666667</v>
      </c>
      <c r="AG169" s="4" t="n">
        <f aca="false">IF(U169="","",IF(U169&lt;=50,(50/50)*U169,IF(U169&lt;=100,50+((100-50)/(100-50))*(U169-50),IF(U169&lt;=250,100+((200-100)/(250-100))*(U169-100),IF(U169&lt;=350,200+((300-200)/(350-250))*(U169-250),IF(U169&lt;=430,300+((400-300)/(430-350))*(U169-350),IF(U169&lt;=600,400+((500-400)/(600-430))*(U169-430),500)))))))</f>
        <v>34.3</v>
      </c>
      <c r="AH169" s="4" t="n">
        <f aca="false">IF(V169="","",IF((V169/1000)&lt;=1,(50/1)*(V169/1000),IF((V169/1000)&lt;=2,50+((100-50)/(2-1))*(V169/1000-1),IF((V169/1000)&lt;=10,100+((200-100)/(10-2))*(V169/1000-2),IF((V169/1000)&lt;=17,200+((300-200)/(17-10))*(V169/1000-10),IF((V169/1000)&lt;=34,300+((400-300)/(34-17))*(V169/1000-17),IF((V169/1000)&lt;=57,400+((500-400)/(57-34))*(V169/1000-34),500)))))))</f>
        <v>31.7</v>
      </c>
      <c r="AI169" s="4" t="n">
        <f aca="false">IF(W169="","",IF(W169&lt;=40,(50/40)*W169,IF(W169&lt;=80,50+((100-50)/(80-40))*(W169-40),IF(W169&lt;=180,100+((200-100)/(180-80))*(W169-80),IF(W169&lt;=280,200+((300-200)/(280-180))*(W169-180),IF(W169&lt;=400,300+((400-300)/(400-280))*(W169-280),IF(W169&lt;=800,400+((500-400)/(800-400))*(W169-400),500)))))))</f>
        <v>54.75</v>
      </c>
      <c r="AJ169" s="4" t="n">
        <f aca="false">IF(X169="","",IF(X169&lt;=40,(50/40)*X169,IF(X169&lt;=80,50+((100-50)/(80-40))*(X169-40),IF(X169&lt;=380,100+((200-100)/(380-80))*(X169-80),IF(X169&lt;=800,200+((300-200)/(800-380))*(X169-380),IF(X169&lt;=1600,300+((400-300)/(1600-800))*(X169-800),IF(X169&lt;=2100,400+((500-400)/(2100-1600))*(X169-1600),500)))))))</f>
        <v>18.25</v>
      </c>
      <c r="AK169" s="4" t="n">
        <f aca="false">IF(Y169="","",IF(Y169&lt;=50,(50/50)*Y169,IF(Y169&lt;=100,50+((100-50)/(100-50))*(Y169-50),IF(Y169&lt;=168,100+((200-100)/(168-100))*(Y169-100),IF(Y169&lt;=208,200+((300-200)/(208-168))*(Y169-168),IF(Y169&lt;=748,300+((400-300)/(748-208))*(Y169-208),IF(Y169&lt;=1000,400+((500-400)/(1000-748))*(Y169-748),500)))))))</f>
        <v>34</v>
      </c>
      <c r="AL169" s="4" t="n">
        <f aca="false">ROUND(MAX(AF169,AG169,AH169,AI169,AJ169,AK169),0)</f>
        <v>57</v>
      </c>
      <c r="AM169" s="4" t="str">
        <f aca="false">IF(AL169="","",IF(AL169&lt;=50,"Good",IF(AL169&lt;=100,"Satisfactory",IF(AL169&lt;=200,"Moderate",IF(AL169&lt;=300,"Poor",IF(AL169&lt;=400,"Very Poor","Severe"))))))</f>
        <v>Satisfactory</v>
      </c>
    </row>
    <row r="170" customFormat="false" ht="15.75" hidden="false" customHeight="false" outlineLevel="0" collapsed="false">
      <c r="A170" s="1" t="s">
        <v>39</v>
      </c>
      <c r="B170" s="1" t="s">
        <v>40</v>
      </c>
      <c r="C170" s="1" t="n">
        <v>28.4595</v>
      </c>
      <c r="D170" s="1" t="n">
        <v>77.0266</v>
      </c>
      <c r="E170" s="5" t="n">
        <v>45908</v>
      </c>
      <c r="F170" s="6" t="s">
        <v>41</v>
      </c>
      <c r="G170" s="1" t="n">
        <v>9</v>
      </c>
      <c r="H170" s="7" t="s">
        <v>42</v>
      </c>
      <c r="I170" s="6" t="s">
        <v>43</v>
      </c>
      <c r="J170" s="7" t="s">
        <v>44</v>
      </c>
      <c r="K170" s="7" t="s">
        <v>45</v>
      </c>
      <c r="L170" s="1" t="n">
        <v>95</v>
      </c>
      <c r="M170" s="1" t="n">
        <v>24.9</v>
      </c>
      <c r="N170" s="1" t="n">
        <v>17.3</v>
      </c>
      <c r="O170" s="1" t="n">
        <v>0</v>
      </c>
      <c r="P170" s="6" t="s">
        <v>43</v>
      </c>
      <c r="Q170" s="6" t="s">
        <v>43</v>
      </c>
      <c r="R170" s="1" t="n">
        <v>1004.9</v>
      </c>
      <c r="S170" s="1" t="n">
        <v>5</v>
      </c>
      <c r="T170" s="1" t="n">
        <v>31.9</v>
      </c>
      <c r="U170" s="1" t="n">
        <v>32</v>
      </c>
      <c r="V170" s="1" t="n">
        <v>569</v>
      </c>
      <c r="W170" s="1" t="n">
        <v>37.7</v>
      </c>
      <c r="X170" s="1" t="n">
        <v>13.6</v>
      </c>
      <c r="Y170" s="1" t="n">
        <v>37</v>
      </c>
      <c r="Z170" s="1" t="n">
        <v>0</v>
      </c>
      <c r="AA170" s="1" t="n">
        <v>98</v>
      </c>
      <c r="AB170" s="7" t="s">
        <v>47</v>
      </c>
      <c r="AC170" s="7" t="s">
        <v>48</v>
      </c>
      <c r="AD170" s="6" t="s">
        <v>43</v>
      </c>
      <c r="AE170" s="6" t="s">
        <v>43</v>
      </c>
      <c r="AF170" s="4" t="n">
        <f aca="false">IF(T170="","",IF(T170&lt;=30,(50/30)*T170,IF(T170&lt;=60,50+((100-50)/(60-30))*(T170-30),IF(T170&lt;=90,100+((200-100)/(90-60))*(T170-60),IF(T170&lt;=120,200+((300-200)/(120-90))*(T170-90),IF(T170&lt;=250,300+((400-300)/(250-120))*(T170-120),IF(T170&lt;=380,400+((500-400)/(380-250))*(T170-250),500)))))))</f>
        <v>53.1666666666667</v>
      </c>
      <c r="AG170" s="4" t="n">
        <f aca="false">IF(U170="","",IF(U170&lt;=50,(50/50)*U170,IF(U170&lt;=100,50+((100-50)/(100-50))*(U170-50),IF(U170&lt;=250,100+((200-100)/(250-100))*(U170-100),IF(U170&lt;=350,200+((300-200)/(350-250))*(U170-250),IF(U170&lt;=430,300+((400-300)/(430-350))*(U170-350),IF(U170&lt;=600,400+((500-400)/(600-430))*(U170-430),500)))))))</f>
        <v>32</v>
      </c>
      <c r="AH170" s="4" t="n">
        <f aca="false">IF(V170="","",IF((V170/1000)&lt;=1,(50/1)*(V170/1000),IF((V170/1000)&lt;=2,50+((100-50)/(2-1))*(V170/1000-1),IF((V170/1000)&lt;=10,100+((200-100)/(10-2))*(V170/1000-2),IF((V170/1000)&lt;=17,200+((300-200)/(17-10))*(V170/1000-10),IF((V170/1000)&lt;=34,300+((400-300)/(34-17))*(V170/1000-17),IF((V170/1000)&lt;=57,400+((500-400)/(57-34))*(V170/1000-34),500)))))))</f>
        <v>28.45</v>
      </c>
      <c r="AI170" s="4" t="n">
        <f aca="false">IF(W170="","",IF(W170&lt;=40,(50/40)*W170,IF(W170&lt;=80,50+((100-50)/(80-40))*(W170-40),IF(W170&lt;=180,100+((200-100)/(180-80))*(W170-80),IF(W170&lt;=280,200+((300-200)/(280-180))*(W170-180),IF(W170&lt;=400,300+((400-300)/(400-280))*(W170-280),IF(W170&lt;=800,400+((500-400)/(800-400))*(W170-400),500)))))))</f>
        <v>47.125</v>
      </c>
      <c r="AJ170" s="4" t="n">
        <f aca="false">IF(X170="","",IF(X170&lt;=40,(50/40)*X170,IF(X170&lt;=80,50+((100-50)/(80-40))*(X170-40),IF(X170&lt;=380,100+((200-100)/(380-80))*(X170-80),IF(X170&lt;=800,200+((300-200)/(800-380))*(X170-380),IF(X170&lt;=1600,300+((400-300)/(1600-800))*(X170-800),IF(X170&lt;=2100,400+((500-400)/(2100-1600))*(X170-1600),500)))))))</f>
        <v>17</v>
      </c>
      <c r="AK170" s="4" t="n">
        <f aca="false">IF(Y170="","",IF(Y170&lt;=50,(50/50)*Y170,IF(Y170&lt;=100,50+((100-50)/(100-50))*(Y170-50),IF(Y170&lt;=168,100+((200-100)/(168-100))*(Y170-100),IF(Y170&lt;=208,200+((300-200)/(208-168))*(Y170-168),IF(Y170&lt;=748,300+((400-300)/(748-208))*(Y170-208),IF(Y170&lt;=1000,400+((500-400)/(1000-748))*(Y170-748),500)))))))</f>
        <v>37</v>
      </c>
      <c r="AL170" s="4" t="n">
        <f aca="false">ROUND(MAX(AF170,AG170,AH170,AI170,AJ170,AK170),0)</f>
        <v>53</v>
      </c>
      <c r="AM170" s="4" t="str">
        <f aca="false">IF(AL170="","",IF(AL170&lt;=50,"Good",IF(AL170&lt;=100,"Satisfactory",IF(AL170&lt;=200,"Moderate",IF(AL170&lt;=300,"Poor",IF(AL170&lt;=400,"Very Poor","Severe"))))))</f>
        <v>Satisfactory</v>
      </c>
    </row>
    <row r="171" customFormat="false" ht="15.75" hidden="false" customHeight="false" outlineLevel="0" collapsed="false">
      <c r="A171" s="1" t="s">
        <v>39</v>
      </c>
      <c r="B171" s="1" t="s">
        <v>40</v>
      </c>
      <c r="C171" s="1" t="n">
        <v>28.4595</v>
      </c>
      <c r="D171" s="1" t="n">
        <v>77.0266</v>
      </c>
      <c r="E171" s="5" t="n">
        <v>45908</v>
      </c>
      <c r="F171" s="6" t="s">
        <v>49</v>
      </c>
      <c r="G171" s="1" t="n">
        <v>9</v>
      </c>
      <c r="H171" s="7" t="s">
        <v>42</v>
      </c>
      <c r="I171" s="6" t="s">
        <v>43</v>
      </c>
      <c r="J171" s="7" t="s">
        <v>44</v>
      </c>
      <c r="K171" s="7" t="s">
        <v>45</v>
      </c>
      <c r="L171" s="1" t="n">
        <v>95</v>
      </c>
      <c r="M171" s="1" t="n">
        <v>24.8</v>
      </c>
      <c r="N171" s="1" t="n">
        <v>17.3</v>
      </c>
      <c r="O171" s="1" t="n">
        <v>0</v>
      </c>
      <c r="P171" s="6" t="s">
        <v>43</v>
      </c>
      <c r="Q171" s="6" t="s">
        <v>43</v>
      </c>
      <c r="R171" s="1" t="n">
        <v>1004.2</v>
      </c>
      <c r="S171" s="1" t="n">
        <v>10</v>
      </c>
      <c r="T171" s="1" t="n">
        <v>31.1</v>
      </c>
      <c r="U171" s="1" t="n">
        <v>31.2</v>
      </c>
      <c r="V171" s="1" t="n">
        <v>544</v>
      </c>
      <c r="W171" s="1" t="n">
        <v>32.5</v>
      </c>
      <c r="X171" s="1" t="n">
        <v>12.9</v>
      </c>
      <c r="Y171" s="1" t="n">
        <v>40</v>
      </c>
      <c r="Z171" s="1" t="n">
        <v>0</v>
      </c>
      <c r="AA171" s="1" t="n">
        <v>98</v>
      </c>
      <c r="AB171" s="7" t="s">
        <v>47</v>
      </c>
      <c r="AC171" s="7" t="s">
        <v>48</v>
      </c>
      <c r="AD171" s="6" t="s">
        <v>43</v>
      </c>
      <c r="AE171" s="6" t="s">
        <v>43</v>
      </c>
      <c r="AF171" s="4" t="n">
        <f aca="false">IF(T171="","",IF(T171&lt;=30,(50/30)*T171,IF(T171&lt;=60,50+((100-50)/(60-30))*(T171-30),IF(T171&lt;=90,100+((200-100)/(90-60))*(T171-60),IF(T171&lt;=120,200+((300-200)/(120-90))*(T171-90),IF(T171&lt;=250,300+((400-300)/(250-120))*(T171-120),IF(T171&lt;=380,400+((500-400)/(380-250))*(T171-250),500)))))))</f>
        <v>51.8333333333333</v>
      </c>
      <c r="AG171" s="4" t="n">
        <f aca="false">IF(U171="","",IF(U171&lt;=50,(50/50)*U171,IF(U171&lt;=100,50+((100-50)/(100-50))*(U171-50),IF(U171&lt;=250,100+((200-100)/(250-100))*(U171-100),IF(U171&lt;=350,200+((300-200)/(350-250))*(U171-250),IF(U171&lt;=430,300+((400-300)/(430-350))*(U171-350),IF(U171&lt;=600,400+((500-400)/(600-430))*(U171-430),500)))))))</f>
        <v>31.2</v>
      </c>
      <c r="AH171" s="4" t="n">
        <f aca="false">IF(V171="","",IF((V171/1000)&lt;=1,(50/1)*(V171/1000),IF((V171/1000)&lt;=2,50+((100-50)/(2-1))*(V171/1000-1),IF((V171/1000)&lt;=10,100+((200-100)/(10-2))*(V171/1000-2),IF((V171/1000)&lt;=17,200+((300-200)/(17-10))*(V171/1000-10),IF((V171/1000)&lt;=34,300+((400-300)/(34-17))*(V171/1000-17),IF((V171/1000)&lt;=57,400+((500-400)/(57-34))*(V171/1000-34),500)))))))</f>
        <v>27.2</v>
      </c>
      <c r="AI171" s="4" t="n">
        <f aca="false">IF(W171="","",IF(W171&lt;=40,(50/40)*W171,IF(W171&lt;=80,50+((100-50)/(80-40))*(W171-40),IF(W171&lt;=180,100+((200-100)/(180-80))*(W171-80),IF(W171&lt;=280,200+((300-200)/(280-180))*(W171-180),IF(W171&lt;=400,300+((400-300)/(400-280))*(W171-280),IF(W171&lt;=800,400+((500-400)/(800-400))*(W171-400),500)))))))</f>
        <v>40.625</v>
      </c>
      <c r="AJ171" s="4" t="n">
        <f aca="false">IF(X171="","",IF(X171&lt;=40,(50/40)*X171,IF(X171&lt;=80,50+((100-50)/(80-40))*(X171-40),IF(X171&lt;=380,100+((200-100)/(380-80))*(X171-80),IF(X171&lt;=800,200+((300-200)/(800-380))*(X171-380),IF(X171&lt;=1600,300+((400-300)/(1600-800))*(X171-800),IF(X171&lt;=2100,400+((500-400)/(2100-1600))*(X171-1600),500)))))))</f>
        <v>16.125</v>
      </c>
      <c r="AK171" s="4" t="n">
        <f aca="false">IF(Y171="","",IF(Y171&lt;=50,(50/50)*Y171,IF(Y171&lt;=100,50+((100-50)/(100-50))*(Y171-50),IF(Y171&lt;=168,100+((200-100)/(168-100))*(Y171-100),IF(Y171&lt;=208,200+((300-200)/(208-168))*(Y171-168),IF(Y171&lt;=748,300+((400-300)/(748-208))*(Y171-208),IF(Y171&lt;=1000,400+((500-400)/(1000-748))*(Y171-748),500)))))))</f>
        <v>40</v>
      </c>
      <c r="AL171" s="4" t="n">
        <f aca="false">ROUND(MAX(AF171,AG171,AH171,AI171,AJ171,AK171),0)</f>
        <v>52</v>
      </c>
      <c r="AM171" s="4" t="str">
        <f aca="false">IF(AL171="","",IF(AL171&lt;=50,"Good",IF(AL171&lt;=100,"Satisfactory",IF(AL171&lt;=200,"Moderate",IF(AL171&lt;=300,"Poor",IF(AL171&lt;=400,"Very Poor","Severe"))))))</f>
        <v>Satisfactory</v>
      </c>
    </row>
    <row r="172" customFormat="false" ht="15.75" hidden="false" customHeight="false" outlineLevel="0" collapsed="false">
      <c r="A172" s="1" t="s">
        <v>39</v>
      </c>
      <c r="B172" s="1" t="s">
        <v>40</v>
      </c>
      <c r="C172" s="1" t="n">
        <v>28.4595</v>
      </c>
      <c r="D172" s="1" t="n">
        <v>77.0266</v>
      </c>
      <c r="E172" s="5" t="n">
        <v>45908</v>
      </c>
      <c r="F172" s="6" t="s">
        <v>51</v>
      </c>
      <c r="G172" s="1" t="n">
        <v>9</v>
      </c>
      <c r="H172" s="7" t="s">
        <v>42</v>
      </c>
      <c r="I172" s="6" t="s">
        <v>43</v>
      </c>
      <c r="J172" s="7" t="s">
        <v>44</v>
      </c>
      <c r="K172" s="7" t="s">
        <v>45</v>
      </c>
      <c r="L172" s="1" t="n">
        <v>96</v>
      </c>
      <c r="M172" s="1" t="n">
        <v>24.8</v>
      </c>
      <c r="N172" s="1" t="n">
        <v>14.8</v>
      </c>
      <c r="O172" s="1" t="n">
        <v>0</v>
      </c>
      <c r="P172" s="6" t="s">
        <v>43</v>
      </c>
      <c r="Q172" s="6" t="s">
        <v>43</v>
      </c>
      <c r="R172" s="1" t="n">
        <v>1003.9</v>
      </c>
      <c r="S172" s="1" t="n">
        <v>5</v>
      </c>
      <c r="T172" s="1" t="n">
        <v>29.7</v>
      </c>
      <c r="U172" s="1" t="n">
        <v>29.8</v>
      </c>
      <c r="V172" s="1" t="n">
        <v>529</v>
      </c>
      <c r="W172" s="1" t="n">
        <v>28.6</v>
      </c>
      <c r="X172" s="1" t="n">
        <v>12.3</v>
      </c>
      <c r="Y172" s="1" t="n">
        <v>42</v>
      </c>
      <c r="Z172" s="1" t="n">
        <v>0</v>
      </c>
      <c r="AA172" s="1" t="n">
        <v>97</v>
      </c>
      <c r="AB172" s="7" t="s">
        <v>47</v>
      </c>
      <c r="AC172" s="7" t="s">
        <v>50</v>
      </c>
      <c r="AD172" s="6" t="s">
        <v>43</v>
      </c>
      <c r="AE172" s="6" t="s">
        <v>43</v>
      </c>
      <c r="AF172" s="4" t="n">
        <f aca="false">IF(T172="","",IF(T172&lt;=30,(50/30)*T172,IF(T172&lt;=60,50+((100-50)/(60-30))*(T172-30),IF(T172&lt;=90,100+((200-100)/(90-60))*(T172-60),IF(T172&lt;=120,200+((300-200)/(120-90))*(T172-90),IF(T172&lt;=250,300+((400-300)/(250-120))*(T172-120),IF(T172&lt;=380,400+((500-400)/(380-250))*(T172-250),500)))))))</f>
        <v>49.5</v>
      </c>
      <c r="AG172" s="4" t="n">
        <f aca="false">IF(U172="","",IF(U172&lt;=50,(50/50)*U172,IF(U172&lt;=100,50+((100-50)/(100-50))*(U172-50),IF(U172&lt;=250,100+((200-100)/(250-100))*(U172-100),IF(U172&lt;=350,200+((300-200)/(350-250))*(U172-250),IF(U172&lt;=430,300+((400-300)/(430-350))*(U172-350),IF(U172&lt;=600,400+((500-400)/(600-430))*(U172-430),500)))))))</f>
        <v>29.8</v>
      </c>
      <c r="AH172" s="4" t="n">
        <f aca="false">IF(V172="","",IF((V172/1000)&lt;=1,(50/1)*(V172/1000),IF((V172/1000)&lt;=2,50+((100-50)/(2-1))*(V172/1000-1),IF((V172/1000)&lt;=10,100+((200-100)/(10-2))*(V172/1000-2),IF((V172/1000)&lt;=17,200+((300-200)/(17-10))*(V172/1000-10),IF((V172/1000)&lt;=34,300+((400-300)/(34-17))*(V172/1000-17),IF((V172/1000)&lt;=57,400+((500-400)/(57-34))*(V172/1000-34),500)))))))</f>
        <v>26.45</v>
      </c>
      <c r="AI172" s="4" t="n">
        <f aca="false">IF(W172="","",IF(W172&lt;=40,(50/40)*W172,IF(W172&lt;=80,50+((100-50)/(80-40))*(W172-40),IF(W172&lt;=180,100+((200-100)/(180-80))*(W172-80),IF(W172&lt;=280,200+((300-200)/(280-180))*(W172-180),IF(W172&lt;=400,300+((400-300)/(400-280))*(W172-280),IF(W172&lt;=800,400+((500-400)/(800-400))*(W172-400),500)))))))</f>
        <v>35.75</v>
      </c>
      <c r="AJ172" s="4" t="n">
        <f aca="false">IF(X172="","",IF(X172&lt;=40,(50/40)*X172,IF(X172&lt;=80,50+((100-50)/(80-40))*(X172-40),IF(X172&lt;=380,100+((200-100)/(380-80))*(X172-80),IF(X172&lt;=800,200+((300-200)/(800-380))*(X172-380),IF(X172&lt;=1600,300+((400-300)/(1600-800))*(X172-800),IF(X172&lt;=2100,400+((500-400)/(2100-1600))*(X172-1600),500)))))))</f>
        <v>15.375</v>
      </c>
      <c r="AK172" s="4" t="n">
        <f aca="false">IF(Y172="","",IF(Y172&lt;=50,(50/50)*Y172,IF(Y172&lt;=100,50+((100-50)/(100-50))*(Y172-50),IF(Y172&lt;=168,100+((200-100)/(168-100))*(Y172-100),IF(Y172&lt;=208,200+((300-200)/(208-168))*(Y172-168),IF(Y172&lt;=748,300+((400-300)/(748-208))*(Y172-208),IF(Y172&lt;=1000,400+((500-400)/(1000-748))*(Y172-748),500)))))))</f>
        <v>42</v>
      </c>
      <c r="AL172" s="4" t="n">
        <f aca="false">ROUND(MAX(AF172,AG172,AH172,AI172,AJ172,AK172),0)</f>
        <v>50</v>
      </c>
      <c r="AM172" s="4" t="str">
        <f aca="false">IF(AL172="","",IF(AL172&lt;=50,"Good",IF(AL172&lt;=100,"Satisfactory",IF(AL172&lt;=200,"Moderate",IF(AL172&lt;=300,"Poor",IF(AL172&lt;=400,"Very Poor","Severe"))))))</f>
        <v>Good</v>
      </c>
    </row>
    <row r="173" customFormat="false" ht="15.75" hidden="false" customHeight="false" outlineLevel="0" collapsed="false">
      <c r="A173" s="1" t="s">
        <v>39</v>
      </c>
      <c r="B173" s="1" t="s">
        <v>40</v>
      </c>
      <c r="C173" s="1" t="n">
        <v>28.4595</v>
      </c>
      <c r="D173" s="1" t="n">
        <v>77.0266</v>
      </c>
      <c r="E173" s="5" t="n">
        <v>45908</v>
      </c>
      <c r="F173" s="6" t="s">
        <v>52</v>
      </c>
      <c r="G173" s="1" t="n">
        <v>9</v>
      </c>
      <c r="H173" s="7" t="s">
        <v>42</v>
      </c>
      <c r="I173" s="6" t="s">
        <v>43</v>
      </c>
      <c r="J173" s="7" t="s">
        <v>44</v>
      </c>
      <c r="K173" s="7" t="s">
        <v>45</v>
      </c>
      <c r="L173" s="1" t="n">
        <v>97</v>
      </c>
      <c r="M173" s="1" t="n">
        <v>24.8</v>
      </c>
      <c r="N173" s="1" t="n">
        <v>12.2</v>
      </c>
      <c r="O173" s="1" t="n">
        <v>0</v>
      </c>
      <c r="P173" s="6" t="s">
        <v>43</v>
      </c>
      <c r="Q173" s="6" t="s">
        <v>43</v>
      </c>
      <c r="R173" s="1" t="n">
        <v>1003.9</v>
      </c>
      <c r="S173" s="1" t="n">
        <v>1</v>
      </c>
      <c r="T173" s="1" t="n">
        <v>28.1</v>
      </c>
      <c r="U173" s="1" t="n">
        <v>28.2</v>
      </c>
      <c r="V173" s="1" t="n">
        <v>514</v>
      </c>
      <c r="W173" s="1" t="n">
        <v>26.6</v>
      </c>
      <c r="X173" s="1" t="n">
        <v>11.8</v>
      </c>
      <c r="Y173" s="1" t="n">
        <v>40</v>
      </c>
      <c r="Z173" s="1" t="n">
        <v>0</v>
      </c>
      <c r="AA173" s="1" t="n">
        <v>96</v>
      </c>
      <c r="AB173" s="7" t="s">
        <v>47</v>
      </c>
      <c r="AC173" s="7" t="s">
        <v>50</v>
      </c>
      <c r="AD173" s="6" t="s">
        <v>43</v>
      </c>
      <c r="AE173" s="6" t="s">
        <v>43</v>
      </c>
      <c r="AF173" s="4" t="n">
        <f aca="false">IF(T173="","",IF(T173&lt;=30,(50/30)*T173,IF(T173&lt;=60,50+((100-50)/(60-30))*(T173-30),IF(T173&lt;=90,100+((200-100)/(90-60))*(T173-60),IF(T173&lt;=120,200+((300-200)/(120-90))*(T173-90),IF(T173&lt;=250,300+((400-300)/(250-120))*(T173-120),IF(T173&lt;=380,400+((500-400)/(380-250))*(T173-250),500)))))))</f>
        <v>46.8333333333333</v>
      </c>
      <c r="AG173" s="4" t="n">
        <f aca="false">IF(U173="","",IF(U173&lt;=50,(50/50)*U173,IF(U173&lt;=100,50+((100-50)/(100-50))*(U173-50),IF(U173&lt;=250,100+((200-100)/(250-100))*(U173-100),IF(U173&lt;=350,200+((300-200)/(350-250))*(U173-250),IF(U173&lt;=430,300+((400-300)/(430-350))*(U173-350),IF(U173&lt;=600,400+((500-400)/(600-430))*(U173-430),500)))))))</f>
        <v>28.2</v>
      </c>
      <c r="AH173" s="4" t="n">
        <f aca="false">IF(V173="","",IF((V173/1000)&lt;=1,(50/1)*(V173/1000),IF((V173/1000)&lt;=2,50+((100-50)/(2-1))*(V173/1000-1),IF((V173/1000)&lt;=10,100+((200-100)/(10-2))*(V173/1000-2),IF((V173/1000)&lt;=17,200+((300-200)/(17-10))*(V173/1000-10),IF((V173/1000)&lt;=34,300+((400-300)/(34-17))*(V173/1000-17),IF((V173/1000)&lt;=57,400+((500-400)/(57-34))*(V173/1000-34),500)))))))</f>
        <v>25.7</v>
      </c>
      <c r="AI173" s="4" t="n">
        <f aca="false">IF(W173="","",IF(W173&lt;=40,(50/40)*W173,IF(W173&lt;=80,50+((100-50)/(80-40))*(W173-40),IF(W173&lt;=180,100+((200-100)/(180-80))*(W173-80),IF(W173&lt;=280,200+((300-200)/(280-180))*(W173-180),IF(W173&lt;=400,300+((400-300)/(400-280))*(W173-280),IF(W173&lt;=800,400+((500-400)/(800-400))*(W173-400),500)))))))</f>
        <v>33.25</v>
      </c>
      <c r="AJ173" s="4" t="n">
        <f aca="false">IF(X173="","",IF(X173&lt;=40,(50/40)*X173,IF(X173&lt;=80,50+((100-50)/(80-40))*(X173-40),IF(X173&lt;=380,100+((200-100)/(380-80))*(X173-80),IF(X173&lt;=800,200+((300-200)/(800-380))*(X173-380),IF(X173&lt;=1600,300+((400-300)/(1600-800))*(X173-800),IF(X173&lt;=2100,400+((500-400)/(2100-1600))*(X173-1600),500)))))))</f>
        <v>14.75</v>
      </c>
      <c r="AK173" s="4" t="n">
        <f aca="false">IF(Y173="","",IF(Y173&lt;=50,(50/50)*Y173,IF(Y173&lt;=100,50+((100-50)/(100-50))*(Y173-50),IF(Y173&lt;=168,100+((200-100)/(168-100))*(Y173-100),IF(Y173&lt;=208,200+((300-200)/(208-168))*(Y173-168),IF(Y173&lt;=748,300+((400-300)/(748-208))*(Y173-208),IF(Y173&lt;=1000,400+((500-400)/(1000-748))*(Y173-748),500)))))))</f>
        <v>40</v>
      </c>
      <c r="AL173" s="4" t="n">
        <f aca="false">ROUND(MAX(AF173,AG173,AH173,AI173,AJ173,AK173),0)</f>
        <v>47</v>
      </c>
      <c r="AM173" s="4" t="str">
        <f aca="false">IF(AL173="","",IF(AL173&lt;=50,"Good",IF(AL173&lt;=100,"Satisfactory",IF(AL173&lt;=200,"Moderate",IF(AL173&lt;=300,"Poor",IF(AL173&lt;=400,"Very Poor","Severe"))))))</f>
        <v>Good</v>
      </c>
    </row>
    <row r="174" customFormat="false" ht="15.75" hidden="false" customHeight="false" outlineLevel="0" collapsed="false">
      <c r="A174" s="1" t="s">
        <v>39</v>
      </c>
      <c r="B174" s="1" t="s">
        <v>40</v>
      </c>
      <c r="C174" s="1" t="n">
        <v>28.4595</v>
      </c>
      <c r="D174" s="1" t="n">
        <v>77.0266</v>
      </c>
      <c r="E174" s="5" t="n">
        <v>45908</v>
      </c>
      <c r="F174" s="6" t="s">
        <v>53</v>
      </c>
      <c r="G174" s="1" t="n">
        <v>9</v>
      </c>
      <c r="H174" s="7" t="s">
        <v>42</v>
      </c>
      <c r="I174" s="6" t="s">
        <v>43</v>
      </c>
      <c r="J174" s="7" t="s">
        <v>44</v>
      </c>
      <c r="K174" s="7" t="s">
        <v>45</v>
      </c>
      <c r="L174" s="1" t="n">
        <v>98</v>
      </c>
      <c r="M174" s="1" t="n">
        <v>24.7</v>
      </c>
      <c r="N174" s="1" t="n">
        <v>11.9</v>
      </c>
      <c r="O174" s="1" t="n">
        <v>0</v>
      </c>
      <c r="P174" s="6" t="s">
        <v>43</v>
      </c>
      <c r="Q174" s="6" t="s">
        <v>43</v>
      </c>
      <c r="R174" s="1" t="n">
        <v>1004.4</v>
      </c>
      <c r="S174" s="1" t="n">
        <v>3</v>
      </c>
      <c r="T174" s="1" t="n">
        <v>27</v>
      </c>
      <c r="U174" s="1" t="n">
        <v>27.2</v>
      </c>
      <c r="V174" s="1" t="n">
        <v>508</v>
      </c>
      <c r="W174" s="1" t="n">
        <v>26</v>
      </c>
      <c r="X174" s="1" t="n">
        <v>11.4</v>
      </c>
      <c r="Y174" s="1" t="n">
        <v>37</v>
      </c>
      <c r="Z174" s="1" t="n">
        <v>0</v>
      </c>
      <c r="AA174" s="1" t="n">
        <v>95</v>
      </c>
      <c r="AB174" s="7" t="s">
        <v>47</v>
      </c>
      <c r="AC174" s="7" t="s">
        <v>50</v>
      </c>
      <c r="AD174" s="6" t="s">
        <v>43</v>
      </c>
      <c r="AE174" s="6" t="s">
        <v>43</v>
      </c>
      <c r="AF174" s="4" t="n">
        <f aca="false">IF(T174="","",IF(T174&lt;=30,(50/30)*T174,IF(T174&lt;=60,50+((100-50)/(60-30))*(T174-30),IF(T174&lt;=90,100+((200-100)/(90-60))*(T174-60),IF(T174&lt;=120,200+((300-200)/(120-90))*(T174-90),IF(T174&lt;=250,300+((400-300)/(250-120))*(T174-120),IF(T174&lt;=380,400+((500-400)/(380-250))*(T174-250),500)))))))</f>
        <v>45</v>
      </c>
      <c r="AG174" s="4" t="n">
        <f aca="false">IF(U174="","",IF(U174&lt;=50,(50/50)*U174,IF(U174&lt;=100,50+((100-50)/(100-50))*(U174-50),IF(U174&lt;=250,100+((200-100)/(250-100))*(U174-100),IF(U174&lt;=350,200+((300-200)/(350-250))*(U174-250),IF(U174&lt;=430,300+((400-300)/(430-350))*(U174-350),IF(U174&lt;=600,400+((500-400)/(600-430))*(U174-430),500)))))))</f>
        <v>27.2</v>
      </c>
      <c r="AH174" s="4" t="n">
        <f aca="false">IF(V174="","",IF((V174/1000)&lt;=1,(50/1)*(V174/1000),IF((V174/1000)&lt;=2,50+((100-50)/(2-1))*(V174/1000-1),IF((V174/1000)&lt;=10,100+((200-100)/(10-2))*(V174/1000-2),IF((V174/1000)&lt;=17,200+((300-200)/(17-10))*(V174/1000-10),IF((V174/1000)&lt;=34,300+((400-300)/(34-17))*(V174/1000-17),IF((V174/1000)&lt;=57,400+((500-400)/(57-34))*(V174/1000-34),500)))))))</f>
        <v>25.4</v>
      </c>
      <c r="AI174" s="4" t="n">
        <f aca="false">IF(W174="","",IF(W174&lt;=40,(50/40)*W174,IF(W174&lt;=80,50+((100-50)/(80-40))*(W174-40),IF(W174&lt;=180,100+((200-100)/(180-80))*(W174-80),IF(W174&lt;=280,200+((300-200)/(280-180))*(W174-180),IF(W174&lt;=400,300+((400-300)/(400-280))*(W174-280),IF(W174&lt;=800,400+((500-400)/(800-400))*(W174-400),500)))))))</f>
        <v>32.5</v>
      </c>
      <c r="AJ174" s="4" t="n">
        <f aca="false">IF(X174="","",IF(X174&lt;=40,(50/40)*X174,IF(X174&lt;=80,50+((100-50)/(80-40))*(X174-40),IF(X174&lt;=380,100+((200-100)/(380-80))*(X174-80),IF(X174&lt;=800,200+((300-200)/(800-380))*(X174-380),IF(X174&lt;=1600,300+((400-300)/(1600-800))*(X174-800),IF(X174&lt;=2100,400+((500-400)/(2100-1600))*(X174-1600),500)))))))</f>
        <v>14.25</v>
      </c>
      <c r="AK174" s="4" t="n">
        <f aca="false">IF(Y174="","",IF(Y174&lt;=50,(50/50)*Y174,IF(Y174&lt;=100,50+((100-50)/(100-50))*(Y174-50),IF(Y174&lt;=168,100+((200-100)/(168-100))*(Y174-100),IF(Y174&lt;=208,200+((300-200)/(208-168))*(Y174-168),IF(Y174&lt;=748,300+((400-300)/(748-208))*(Y174-208),IF(Y174&lt;=1000,400+((500-400)/(1000-748))*(Y174-748),500)))))))</f>
        <v>37</v>
      </c>
      <c r="AL174" s="4" t="n">
        <f aca="false">ROUND(MAX(AF174,AG174,AH174,AI174,AJ174,AK174),0)</f>
        <v>45</v>
      </c>
      <c r="AM174" s="4" t="str">
        <f aca="false">IF(AL174="","",IF(AL174&lt;=50,"Good",IF(AL174&lt;=100,"Satisfactory",IF(AL174&lt;=200,"Moderate",IF(AL174&lt;=300,"Poor",IF(AL174&lt;=400,"Very Poor","Severe"))))))</f>
        <v>Good</v>
      </c>
    </row>
    <row r="175" customFormat="false" ht="15.75" hidden="false" customHeight="false" outlineLevel="0" collapsed="false">
      <c r="A175" s="1" t="s">
        <v>39</v>
      </c>
      <c r="B175" s="1" t="s">
        <v>40</v>
      </c>
      <c r="C175" s="1" t="n">
        <v>28.4595</v>
      </c>
      <c r="D175" s="1" t="n">
        <v>77.0266</v>
      </c>
      <c r="E175" s="5" t="n">
        <v>45908</v>
      </c>
      <c r="F175" s="6" t="s">
        <v>54</v>
      </c>
      <c r="G175" s="1" t="n">
        <v>9</v>
      </c>
      <c r="H175" s="7" t="s">
        <v>42</v>
      </c>
      <c r="I175" s="6" t="s">
        <v>43</v>
      </c>
      <c r="J175" s="7" t="s">
        <v>44</v>
      </c>
      <c r="K175" s="7" t="s">
        <v>45</v>
      </c>
      <c r="L175" s="1" t="n">
        <v>98</v>
      </c>
      <c r="M175" s="1" t="n">
        <v>24.7</v>
      </c>
      <c r="N175" s="1" t="n">
        <v>12.6</v>
      </c>
      <c r="O175" s="1" t="n">
        <v>0</v>
      </c>
      <c r="P175" s="6" t="s">
        <v>43</v>
      </c>
      <c r="Q175" s="6" t="s">
        <v>43</v>
      </c>
      <c r="R175" s="1" t="n">
        <v>1004.6</v>
      </c>
      <c r="S175" s="1" t="n">
        <v>13</v>
      </c>
      <c r="T175" s="1" t="n">
        <v>26.4</v>
      </c>
      <c r="U175" s="1" t="n">
        <v>26.6</v>
      </c>
      <c r="V175" s="1" t="n">
        <v>510</v>
      </c>
      <c r="W175" s="1" t="n">
        <v>26.7</v>
      </c>
      <c r="X175" s="1" t="n">
        <v>11.6</v>
      </c>
      <c r="Y175" s="1" t="n">
        <v>29</v>
      </c>
      <c r="Z175" s="1" t="n">
        <v>0</v>
      </c>
      <c r="AA175" s="1" t="n">
        <v>94</v>
      </c>
      <c r="AB175" s="7" t="s">
        <v>47</v>
      </c>
      <c r="AC175" s="7" t="s">
        <v>50</v>
      </c>
      <c r="AD175" s="6" t="s">
        <v>43</v>
      </c>
      <c r="AE175" s="6" t="s">
        <v>43</v>
      </c>
      <c r="AF175" s="4" t="n">
        <f aca="false">IF(T175="","",IF(T175&lt;=30,(50/30)*T175,IF(T175&lt;=60,50+((100-50)/(60-30))*(T175-30),IF(T175&lt;=90,100+((200-100)/(90-60))*(T175-60),IF(T175&lt;=120,200+((300-200)/(120-90))*(T175-90),IF(T175&lt;=250,300+((400-300)/(250-120))*(T175-120),IF(T175&lt;=380,400+((500-400)/(380-250))*(T175-250),500)))))))</f>
        <v>44</v>
      </c>
      <c r="AG175" s="4" t="n">
        <f aca="false">IF(U175="","",IF(U175&lt;=50,(50/50)*U175,IF(U175&lt;=100,50+((100-50)/(100-50))*(U175-50),IF(U175&lt;=250,100+((200-100)/(250-100))*(U175-100),IF(U175&lt;=350,200+((300-200)/(350-250))*(U175-250),IF(U175&lt;=430,300+((400-300)/(430-350))*(U175-350),IF(U175&lt;=600,400+((500-400)/(600-430))*(U175-430),500)))))))</f>
        <v>26.6</v>
      </c>
      <c r="AH175" s="4" t="n">
        <f aca="false">IF(V175="","",IF((V175/1000)&lt;=1,(50/1)*(V175/1000),IF((V175/1000)&lt;=2,50+((100-50)/(2-1))*(V175/1000-1),IF((V175/1000)&lt;=10,100+((200-100)/(10-2))*(V175/1000-2),IF((V175/1000)&lt;=17,200+((300-200)/(17-10))*(V175/1000-10),IF((V175/1000)&lt;=34,300+((400-300)/(34-17))*(V175/1000-17),IF((V175/1000)&lt;=57,400+((500-400)/(57-34))*(V175/1000-34),500)))))))</f>
        <v>25.5</v>
      </c>
      <c r="AI175" s="4" t="n">
        <f aca="false">IF(W175="","",IF(W175&lt;=40,(50/40)*W175,IF(W175&lt;=80,50+((100-50)/(80-40))*(W175-40),IF(W175&lt;=180,100+((200-100)/(180-80))*(W175-80),IF(W175&lt;=280,200+((300-200)/(280-180))*(W175-180),IF(W175&lt;=400,300+((400-300)/(400-280))*(W175-280),IF(W175&lt;=800,400+((500-400)/(800-400))*(W175-400),500)))))))</f>
        <v>33.375</v>
      </c>
      <c r="AJ175" s="4" t="n">
        <f aca="false">IF(X175="","",IF(X175&lt;=40,(50/40)*X175,IF(X175&lt;=80,50+((100-50)/(80-40))*(X175-40),IF(X175&lt;=380,100+((200-100)/(380-80))*(X175-80),IF(X175&lt;=800,200+((300-200)/(800-380))*(X175-380),IF(X175&lt;=1600,300+((400-300)/(1600-800))*(X175-800),IF(X175&lt;=2100,400+((500-400)/(2100-1600))*(X175-1600),500)))))))</f>
        <v>14.5</v>
      </c>
      <c r="AK175" s="4" t="n">
        <f aca="false">IF(Y175="","",IF(Y175&lt;=50,(50/50)*Y175,IF(Y175&lt;=100,50+((100-50)/(100-50))*(Y175-50),IF(Y175&lt;=168,100+((200-100)/(168-100))*(Y175-100),IF(Y175&lt;=208,200+((300-200)/(208-168))*(Y175-168),IF(Y175&lt;=748,300+((400-300)/(748-208))*(Y175-208),IF(Y175&lt;=1000,400+((500-400)/(1000-748))*(Y175-748),500)))))))</f>
        <v>29</v>
      </c>
      <c r="AL175" s="4" t="n">
        <f aca="false">ROUND(MAX(AF175,AG175,AH175,AI175,AJ175,AK175),0)</f>
        <v>44</v>
      </c>
      <c r="AM175" s="4" t="str">
        <f aca="false">IF(AL175="","",IF(AL175&lt;=50,"Good",IF(AL175&lt;=100,"Satisfactory",IF(AL175&lt;=200,"Moderate",IF(AL175&lt;=300,"Poor",IF(AL175&lt;=400,"Very Poor","Severe"))))))</f>
        <v>Good</v>
      </c>
    </row>
    <row r="176" customFormat="false" ht="15.75" hidden="false" customHeight="false" outlineLevel="0" collapsed="false">
      <c r="A176" s="1" t="s">
        <v>39</v>
      </c>
      <c r="B176" s="1" t="s">
        <v>40</v>
      </c>
      <c r="C176" s="1" t="n">
        <v>28.4595</v>
      </c>
      <c r="D176" s="1" t="n">
        <v>77.0266</v>
      </c>
      <c r="E176" s="5" t="n">
        <v>45908</v>
      </c>
      <c r="F176" s="6" t="s">
        <v>55</v>
      </c>
      <c r="G176" s="1" t="n">
        <v>9</v>
      </c>
      <c r="H176" s="7" t="s">
        <v>42</v>
      </c>
      <c r="I176" s="6" t="s">
        <v>43</v>
      </c>
      <c r="J176" s="7" t="s">
        <v>44</v>
      </c>
      <c r="K176" s="7" t="s">
        <v>56</v>
      </c>
      <c r="L176" s="1" t="n">
        <v>96</v>
      </c>
      <c r="M176" s="1" t="n">
        <v>25.3</v>
      </c>
      <c r="N176" s="1" t="n">
        <v>15.5</v>
      </c>
      <c r="O176" s="1" t="n">
        <v>0</v>
      </c>
      <c r="P176" s="6" t="s">
        <v>43</v>
      </c>
      <c r="Q176" s="6" t="s">
        <v>43</v>
      </c>
      <c r="R176" s="1" t="n">
        <v>1005.3</v>
      </c>
      <c r="S176" s="1" t="n">
        <v>1</v>
      </c>
      <c r="T176" s="1" t="n">
        <v>28.9</v>
      </c>
      <c r="U176" s="1" t="n">
        <v>29.2</v>
      </c>
      <c r="V176" s="1" t="n">
        <v>534</v>
      </c>
      <c r="W176" s="1" t="n">
        <v>25.7</v>
      </c>
      <c r="X176" s="1" t="n">
        <v>12.7</v>
      </c>
      <c r="Y176" s="1" t="n">
        <v>33</v>
      </c>
      <c r="Z176" s="1" t="n">
        <v>1</v>
      </c>
      <c r="AA176" s="1" t="n">
        <v>93</v>
      </c>
      <c r="AB176" s="7" t="s">
        <v>47</v>
      </c>
      <c r="AC176" s="7" t="s">
        <v>50</v>
      </c>
      <c r="AD176" s="6" t="s">
        <v>43</v>
      </c>
      <c r="AE176" s="6" t="s">
        <v>43</v>
      </c>
      <c r="AF176" s="4" t="n">
        <f aca="false">IF(T176="","",IF(T176&lt;=30,(50/30)*T176,IF(T176&lt;=60,50+((100-50)/(60-30))*(T176-30),IF(T176&lt;=90,100+((200-100)/(90-60))*(T176-60),IF(T176&lt;=120,200+((300-200)/(120-90))*(T176-90),IF(T176&lt;=250,300+((400-300)/(250-120))*(T176-120),IF(T176&lt;=380,400+((500-400)/(380-250))*(T176-250),500)))))))</f>
        <v>48.1666666666667</v>
      </c>
      <c r="AG176" s="4" t="n">
        <f aca="false">IF(U176="","",IF(U176&lt;=50,(50/50)*U176,IF(U176&lt;=100,50+((100-50)/(100-50))*(U176-50),IF(U176&lt;=250,100+((200-100)/(250-100))*(U176-100),IF(U176&lt;=350,200+((300-200)/(350-250))*(U176-250),IF(U176&lt;=430,300+((400-300)/(430-350))*(U176-350),IF(U176&lt;=600,400+((500-400)/(600-430))*(U176-430),500)))))))</f>
        <v>29.2</v>
      </c>
      <c r="AH176" s="4" t="n">
        <f aca="false">IF(V176="","",IF((V176/1000)&lt;=1,(50/1)*(V176/1000),IF((V176/1000)&lt;=2,50+((100-50)/(2-1))*(V176/1000-1),IF((V176/1000)&lt;=10,100+((200-100)/(10-2))*(V176/1000-2),IF((V176/1000)&lt;=17,200+((300-200)/(17-10))*(V176/1000-10),IF((V176/1000)&lt;=34,300+((400-300)/(34-17))*(V176/1000-17),IF((V176/1000)&lt;=57,400+((500-400)/(57-34))*(V176/1000-34),500)))))))</f>
        <v>26.7</v>
      </c>
      <c r="AI176" s="4" t="n">
        <f aca="false">IF(W176="","",IF(W176&lt;=40,(50/40)*W176,IF(W176&lt;=80,50+((100-50)/(80-40))*(W176-40),IF(W176&lt;=180,100+((200-100)/(180-80))*(W176-80),IF(W176&lt;=280,200+((300-200)/(280-180))*(W176-180),IF(W176&lt;=400,300+((400-300)/(400-280))*(W176-280),IF(W176&lt;=800,400+((500-400)/(800-400))*(W176-400),500)))))))</f>
        <v>32.125</v>
      </c>
      <c r="AJ176" s="4" t="n">
        <f aca="false">IF(X176="","",IF(X176&lt;=40,(50/40)*X176,IF(X176&lt;=80,50+((100-50)/(80-40))*(X176-40),IF(X176&lt;=380,100+((200-100)/(380-80))*(X176-80),IF(X176&lt;=800,200+((300-200)/(800-380))*(X176-380),IF(X176&lt;=1600,300+((400-300)/(1600-800))*(X176-800),IF(X176&lt;=2100,400+((500-400)/(2100-1600))*(X176-1600),500)))))))</f>
        <v>15.875</v>
      </c>
      <c r="AK176" s="4" t="n">
        <f aca="false">IF(Y176="","",IF(Y176&lt;=50,(50/50)*Y176,IF(Y176&lt;=100,50+((100-50)/(100-50))*(Y176-50),IF(Y176&lt;=168,100+((200-100)/(168-100))*(Y176-100),IF(Y176&lt;=208,200+((300-200)/(208-168))*(Y176-168),IF(Y176&lt;=748,300+((400-300)/(748-208))*(Y176-208),IF(Y176&lt;=1000,400+((500-400)/(1000-748))*(Y176-748),500)))))))</f>
        <v>33</v>
      </c>
      <c r="AL176" s="4" t="n">
        <f aca="false">ROUND(MAX(AF176,AG176,AH176,AI176,AJ176,AK176),0)</f>
        <v>48</v>
      </c>
      <c r="AM176" s="4" t="str">
        <f aca="false">IF(AL176="","",IF(AL176&lt;=50,"Good",IF(AL176&lt;=100,"Satisfactory",IF(AL176&lt;=200,"Moderate",IF(AL176&lt;=300,"Poor",IF(AL176&lt;=400,"Very Poor","Severe"))))))</f>
        <v>Good</v>
      </c>
    </row>
    <row r="177" customFormat="false" ht="15.75" hidden="false" customHeight="false" outlineLevel="0" collapsed="false">
      <c r="A177" s="1" t="s">
        <v>39</v>
      </c>
      <c r="B177" s="1" t="s">
        <v>40</v>
      </c>
      <c r="C177" s="1" t="n">
        <v>28.4595</v>
      </c>
      <c r="D177" s="1" t="n">
        <v>77.0266</v>
      </c>
      <c r="E177" s="5" t="n">
        <v>45908</v>
      </c>
      <c r="F177" s="6" t="s">
        <v>57</v>
      </c>
      <c r="G177" s="1" t="n">
        <v>9</v>
      </c>
      <c r="H177" s="7" t="s">
        <v>42</v>
      </c>
      <c r="I177" s="6" t="s">
        <v>43</v>
      </c>
      <c r="J177" s="7" t="s">
        <v>44</v>
      </c>
      <c r="K177" s="7" t="s">
        <v>56</v>
      </c>
      <c r="L177" s="1" t="n">
        <v>92</v>
      </c>
      <c r="M177" s="1" t="n">
        <v>25.6</v>
      </c>
      <c r="N177" s="1" t="n">
        <v>15.1</v>
      </c>
      <c r="O177" s="1" t="n">
        <v>0</v>
      </c>
      <c r="P177" s="6" t="s">
        <v>43</v>
      </c>
      <c r="Q177" s="6" t="s">
        <v>43</v>
      </c>
      <c r="R177" s="1" t="n">
        <v>1005.7</v>
      </c>
      <c r="S177" s="1" t="n">
        <v>5</v>
      </c>
      <c r="T177" s="1" t="n">
        <v>30.3</v>
      </c>
      <c r="U177" s="1" t="n">
        <v>30.7</v>
      </c>
      <c r="V177" s="1" t="n">
        <v>565</v>
      </c>
      <c r="W177" s="1" t="n">
        <v>24.1</v>
      </c>
      <c r="X177" s="1" t="n">
        <v>14.3</v>
      </c>
      <c r="Y177" s="1" t="n">
        <v>40</v>
      </c>
      <c r="Z177" s="1" t="n">
        <v>1</v>
      </c>
      <c r="AA177" s="1" t="n">
        <v>93</v>
      </c>
      <c r="AB177" s="7" t="s">
        <v>47</v>
      </c>
      <c r="AC177" s="7" t="s">
        <v>48</v>
      </c>
      <c r="AD177" s="6" t="s">
        <v>43</v>
      </c>
      <c r="AE177" s="6" t="s">
        <v>43</v>
      </c>
      <c r="AF177" s="4" t="n">
        <f aca="false">IF(T177="","",IF(T177&lt;=30,(50/30)*T177,IF(T177&lt;=60,50+((100-50)/(60-30))*(T177-30),IF(T177&lt;=90,100+((200-100)/(90-60))*(T177-60),IF(T177&lt;=120,200+((300-200)/(120-90))*(T177-90),IF(T177&lt;=250,300+((400-300)/(250-120))*(T177-120),IF(T177&lt;=380,400+((500-400)/(380-250))*(T177-250),500)))))))</f>
        <v>50.5</v>
      </c>
      <c r="AG177" s="4" t="n">
        <f aca="false">IF(U177="","",IF(U177&lt;=50,(50/50)*U177,IF(U177&lt;=100,50+((100-50)/(100-50))*(U177-50),IF(U177&lt;=250,100+((200-100)/(250-100))*(U177-100),IF(U177&lt;=350,200+((300-200)/(350-250))*(U177-250),IF(U177&lt;=430,300+((400-300)/(430-350))*(U177-350),IF(U177&lt;=600,400+((500-400)/(600-430))*(U177-430),500)))))))</f>
        <v>30.7</v>
      </c>
      <c r="AH177" s="4" t="n">
        <f aca="false">IF(V177="","",IF((V177/1000)&lt;=1,(50/1)*(V177/1000),IF((V177/1000)&lt;=2,50+((100-50)/(2-1))*(V177/1000-1),IF((V177/1000)&lt;=10,100+((200-100)/(10-2))*(V177/1000-2),IF((V177/1000)&lt;=17,200+((300-200)/(17-10))*(V177/1000-10),IF((V177/1000)&lt;=34,300+((400-300)/(34-17))*(V177/1000-17),IF((V177/1000)&lt;=57,400+((500-400)/(57-34))*(V177/1000-34),500)))))))</f>
        <v>28.25</v>
      </c>
      <c r="AI177" s="4" t="n">
        <f aca="false">IF(W177="","",IF(W177&lt;=40,(50/40)*W177,IF(W177&lt;=80,50+((100-50)/(80-40))*(W177-40),IF(W177&lt;=180,100+((200-100)/(180-80))*(W177-80),IF(W177&lt;=280,200+((300-200)/(280-180))*(W177-180),IF(W177&lt;=400,300+((400-300)/(400-280))*(W177-280),IF(W177&lt;=800,400+((500-400)/(800-400))*(W177-400),500)))))))</f>
        <v>30.125</v>
      </c>
      <c r="AJ177" s="4" t="n">
        <f aca="false">IF(X177="","",IF(X177&lt;=40,(50/40)*X177,IF(X177&lt;=80,50+((100-50)/(80-40))*(X177-40),IF(X177&lt;=380,100+((200-100)/(380-80))*(X177-80),IF(X177&lt;=800,200+((300-200)/(800-380))*(X177-380),IF(X177&lt;=1600,300+((400-300)/(1600-800))*(X177-800),IF(X177&lt;=2100,400+((500-400)/(2100-1600))*(X177-1600),500)))))))</f>
        <v>17.875</v>
      </c>
      <c r="AK177" s="4" t="n">
        <f aca="false">IF(Y177="","",IF(Y177&lt;=50,(50/50)*Y177,IF(Y177&lt;=100,50+((100-50)/(100-50))*(Y177-50),IF(Y177&lt;=168,100+((200-100)/(168-100))*(Y177-100),IF(Y177&lt;=208,200+((300-200)/(208-168))*(Y177-168),IF(Y177&lt;=748,300+((400-300)/(748-208))*(Y177-208),IF(Y177&lt;=1000,400+((500-400)/(1000-748))*(Y177-748),500)))))))</f>
        <v>40</v>
      </c>
      <c r="AL177" s="4" t="n">
        <f aca="false">ROUND(MAX(AF177,AG177,AH177,AI177,AJ177,AK177),0)</f>
        <v>51</v>
      </c>
      <c r="AM177" s="4" t="str">
        <f aca="false">IF(AL177="","",IF(AL177&lt;=50,"Good",IF(AL177&lt;=100,"Satisfactory",IF(AL177&lt;=200,"Moderate",IF(AL177&lt;=300,"Poor",IF(AL177&lt;=400,"Very Poor","Severe"))))))</f>
        <v>Satisfactory</v>
      </c>
    </row>
    <row r="178" customFormat="false" ht="15.75" hidden="false" customHeight="false" outlineLevel="0" collapsed="false">
      <c r="A178" s="1" t="s">
        <v>39</v>
      </c>
      <c r="B178" s="1" t="s">
        <v>40</v>
      </c>
      <c r="C178" s="1" t="n">
        <v>28.4595</v>
      </c>
      <c r="D178" s="1" t="n">
        <v>77.0266</v>
      </c>
      <c r="E178" s="5" t="n">
        <v>45908</v>
      </c>
      <c r="F178" s="6" t="s">
        <v>58</v>
      </c>
      <c r="G178" s="1" t="n">
        <v>9</v>
      </c>
      <c r="H178" s="7" t="s">
        <v>42</v>
      </c>
      <c r="I178" s="6" t="s">
        <v>43</v>
      </c>
      <c r="J178" s="7" t="s">
        <v>44</v>
      </c>
      <c r="K178" s="7" t="s">
        <v>56</v>
      </c>
      <c r="L178" s="1" t="n">
        <v>84</v>
      </c>
      <c r="M178" s="1" t="n">
        <v>25.4</v>
      </c>
      <c r="N178" s="1" t="n">
        <v>20.5</v>
      </c>
      <c r="O178" s="1" t="n">
        <v>0</v>
      </c>
      <c r="P178" s="6" t="s">
        <v>43</v>
      </c>
      <c r="Q178" s="6" t="s">
        <v>43</v>
      </c>
      <c r="R178" s="1" t="n">
        <v>1005.8</v>
      </c>
      <c r="S178" s="1" t="n">
        <v>2</v>
      </c>
      <c r="T178" s="1" t="n">
        <v>26.3</v>
      </c>
      <c r="U178" s="1" t="n">
        <v>27.4</v>
      </c>
      <c r="V178" s="1" t="n">
        <v>562</v>
      </c>
      <c r="W178" s="1" t="n">
        <v>21.5</v>
      </c>
      <c r="X178" s="1" t="n">
        <v>15.5</v>
      </c>
      <c r="Y178" s="1" t="n">
        <v>53</v>
      </c>
      <c r="Z178" s="1" t="n">
        <v>2</v>
      </c>
      <c r="AA178" s="1" t="n">
        <v>92</v>
      </c>
      <c r="AB178" s="7" t="s">
        <v>47</v>
      </c>
      <c r="AC178" s="7" t="s">
        <v>50</v>
      </c>
      <c r="AD178" s="6" t="s">
        <v>43</v>
      </c>
      <c r="AE178" s="6" t="s">
        <v>43</v>
      </c>
      <c r="AF178" s="4" t="n">
        <f aca="false">IF(T178="","",IF(T178&lt;=30,(50/30)*T178,IF(T178&lt;=60,50+((100-50)/(60-30))*(T178-30),IF(T178&lt;=90,100+((200-100)/(90-60))*(T178-60),IF(T178&lt;=120,200+((300-200)/(120-90))*(T178-90),IF(T178&lt;=250,300+((400-300)/(250-120))*(T178-120),IF(T178&lt;=380,400+((500-400)/(380-250))*(T178-250),500)))))))</f>
        <v>43.8333333333333</v>
      </c>
      <c r="AG178" s="4" t="n">
        <f aca="false">IF(U178="","",IF(U178&lt;=50,(50/50)*U178,IF(U178&lt;=100,50+((100-50)/(100-50))*(U178-50),IF(U178&lt;=250,100+((200-100)/(250-100))*(U178-100),IF(U178&lt;=350,200+((300-200)/(350-250))*(U178-250),IF(U178&lt;=430,300+((400-300)/(430-350))*(U178-350),IF(U178&lt;=600,400+((500-400)/(600-430))*(U178-430),500)))))))</f>
        <v>27.4</v>
      </c>
      <c r="AH178" s="4" t="n">
        <f aca="false">IF(V178="","",IF((V178/1000)&lt;=1,(50/1)*(V178/1000),IF((V178/1000)&lt;=2,50+((100-50)/(2-1))*(V178/1000-1),IF((V178/1000)&lt;=10,100+((200-100)/(10-2))*(V178/1000-2),IF((V178/1000)&lt;=17,200+((300-200)/(17-10))*(V178/1000-10),IF((V178/1000)&lt;=34,300+((400-300)/(34-17))*(V178/1000-17),IF((V178/1000)&lt;=57,400+((500-400)/(57-34))*(V178/1000-34),500)))))))</f>
        <v>28.1</v>
      </c>
      <c r="AI178" s="4" t="n">
        <f aca="false">IF(W178="","",IF(W178&lt;=40,(50/40)*W178,IF(W178&lt;=80,50+((100-50)/(80-40))*(W178-40),IF(W178&lt;=180,100+((200-100)/(180-80))*(W178-80),IF(W178&lt;=280,200+((300-200)/(280-180))*(W178-180),IF(W178&lt;=400,300+((400-300)/(400-280))*(W178-280),IF(W178&lt;=800,400+((500-400)/(800-400))*(W178-400),500)))))))</f>
        <v>26.875</v>
      </c>
      <c r="AJ178" s="4" t="n">
        <f aca="false">IF(X178="","",IF(X178&lt;=40,(50/40)*X178,IF(X178&lt;=80,50+((100-50)/(80-40))*(X178-40),IF(X178&lt;=380,100+((200-100)/(380-80))*(X178-80),IF(X178&lt;=800,200+((300-200)/(800-380))*(X178-380),IF(X178&lt;=1600,300+((400-300)/(1600-800))*(X178-800),IF(X178&lt;=2100,400+((500-400)/(2100-1600))*(X178-1600),500)))))))</f>
        <v>19.375</v>
      </c>
      <c r="AK178" s="4" t="n">
        <f aca="false">IF(Y178="","",IF(Y178&lt;=50,(50/50)*Y178,IF(Y178&lt;=100,50+((100-50)/(100-50))*(Y178-50),IF(Y178&lt;=168,100+((200-100)/(168-100))*(Y178-100),IF(Y178&lt;=208,200+((300-200)/(208-168))*(Y178-168),IF(Y178&lt;=748,300+((400-300)/(748-208))*(Y178-208),IF(Y178&lt;=1000,400+((500-400)/(1000-748))*(Y178-748),500)))))))</f>
        <v>53</v>
      </c>
      <c r="AL178" s="4" t="n">
        <f aca="false">ROUND(MAX(AF178,AG178,AH178,AI178,AJ178,AK178),0)</f>
        <v>53</v>
      </c>
      <c r="AM178" s="4" t="str">
        <f aca="false">IF(AL178="","",IF(AL178&lt;=50,"Good",IF(AL178&lt;=100,"Satisfactory",IF(AL178&lt;=200,"Moderate",IF(AL178&lt;=300,"Poor",IF(AL178&lt;=400,"Very Poor","Severe"))))))</f>
        <v>Satisfactory</v>
      </c>
    </row>
    <row r="179" customFormat="false" ht="15.75" hidden="false" customHeight="false" outlineLevel="0" collapsed="false">
      <c r="A179" s="1" t="s">
        <v>39</v>
      </c>
      <c r="B179" s="1" t="s">
        <v>40</v>
      </c>
      <c r="C179" s="1" t="n">
        <v>28.4595</v>
      </c>
      <c r="D179" s="1" t="n">
        <v>77.0266</v>
      </c>
      <c r="E179" s="5" t="n">
        <v>45908</v>
      </c>
      <c r="F179" s="6" t="s">
        <v>59</v>
      </c>
      <c r="G179" s="1" t="n">
        <v>9</v>
      </c>
      <c r="H179" s="7" t="s">
        <v>42</v>
      </c>
      <c r="I179" s="6" t="s">
        <v>43</v>
      </c>
      <c r="J179" s="7" t="s">
        <v>44</v>
      </c>
      <c r="K179" s="7" t="s">
        <v>60</v>
      </c>
      <c r="L179" s="1" t="n">
        <v>73</v>
      </c>
      <c r="M179" s="1" t="n">
        <v>24.2</v>
      </c>
      <c r="N179" s="1" t="n">
        <v>23.4</v>
      </c>
      <c r="O179" s="1" t="n">
        <v>0</v>
      </c>
      <c r="P179" s="6" t="s">
        <v>43</v>
      </c>
      <c r="Q179" s="6" t="s">
        <v>43</v>
      </c>
      <c r="R179" s="1" t="n">
        <v>1006.6</v>
      </c>
      <c r="S179" s="1" t="n">
        <v>5</v>
      </c>
      <c r="T179" s="1" t="n">
        <v>22.5</v>
      </c>
      <c r="U179" s="1" t="n">
        <v>24.3</v>
      </c>
      <c r="V179" s="1" t="n">
        <v>490</v>
      </c>
      <c r="W179" s="1" t="n">
        <v>16.8</v>
      </c>
      <c r="X179" s="1" t="n">
        <v>16.2</v>
      </c>
      <c r="Y179" s="1" t="n">
        <v>76</v>
      </c>
      <c r="Z179" s="1" t="n">
        <v>3</v>
      </c>
      <c r="AA179" s="1" t="n">
        <v>92</v>
      </c>
      <c r="AB179" s="7" t="s">
        <v>47</v>
      </c>
      <c r="AC179" s="7" t="s">
        <v>50</v>
      </c>
      <c r="AD179" s="6" t="s">
        <v>43</v>
      </c>
      <c r="AE179" s="6" t="s">
        <v>43</v>
      </c>
      <c r="AF179" s="4" t="n">
        <f aca="false">IF(T179="","",IF(T179&lt;=30,(50/30)*T179,IF(T179&lt;=60,50+((100-50)/(60-30))*(T179-30),IF(T179&lt;=90,100+((200-100)/(90-60))*(T179-60),IF(T179&lt;=120,200+((300-200)/(120-90))*(T179-90),IF(T179&lt;=250,300+((400-300)/(250-120))*(T179-120),IF(T179&lt;=380,400+((500-400)/(380-250))*(T179-250),500)))))))</f>
        <v>37.5</v>
      </c>
      <c r="AG179" s="4" t="n">
        <f aca="false">IF(U179="","",IF(U179&lt;=50,(50/50)*U179,IF(U179&lt;=100,50+((100-50)/(100-50))*(U179-50),IF(U179&lt;=250,100+((200-100)/(250-100))*(U179-100),IF(U179&lt;=350,200+((300-200)/(350-250))*(U179-250),IF(U179&lt;=430,300+((400-300)/(430-350))*(U179-350),IF(U179&lt;=600,400+((500-400)/(600-430))*(U179-430),500)))))))</f>
        <v>24.3</v>
      </c>
      <c r="AH179" s="4" t="n">
        <f aca="false">IF(V179="","",IF((V179/1000)&lt;=1,(50/1)*(V179/1000),IF((V179/1000)&lt;=2,50+((100-50)/(2-1))*(V179/1000-1),IF((V179/1000)&lt;=10,100+((200-100)/(10-2))*(V179/1000-2),IF((V179/1000)&lt;=17,200+((300-200)/(17-10))*(V179/1000-10),IF((V179/1000)&lt;=34,300+((400-300)/(34-17))*(V179/1000-17),IF((V179/1000)&lt;=57,400+((500-400)/(57-34))*(V179/1000-34),500)))))))</f>
        <v>24.5</v>
      </c>
      <c r="AI179" s="4" t="n">
        <f aca="false">IF(W179="","",IF(W179&lt;=40,(50/40)*W179,IF(W179&lt;=80,50+((100-50)/(80-40))*(W179-40),IF(W179&lt;=180,100+((200-100)/(180-80))*(W179-80),IF(W179&lt;=280,200+((300-200)/(280-180))*(W179-180),IF(W179&lt;=400,300+((400-300)/(400-280))*(W179-280),IF(W179&lt;=800,400+((500-400)/(800-400))*(W179-400),500)))))))</f>
        <v>21</v>
      </c>
      <c r="AJ179" s="4" t="n">
        <f aca="false">IF(X179="","",IF(X179&lt;=40,(50/40)*X179,IF(X179&lt;=80,50+((100-50)/(80-40))*(X179-40),IF(X179&lt;=380,100+((200-100)/(380-80))*(X179-80),IF(X179&lt;=800,200+((300-200)/(800-380))*(X179-380),IF(X179&lt;=1600,300+((400-300)/(1600-800))*(X179-800),IF(X179&lt;=2100,400+((500-400)/(2100-1600))*(X179-1600),500)))))))</f>
        <v>20.25</v>
      </c>
      <c r="AK179" s="4" t="n">
        <f aca="false">IF(Y179="","",IF(Y179&lt;=50,(50/50)*Y179,IF(Y179&lt;=100,50+((100-50)/(100-50))*(Y179-50),IF(Y179&lt;=168,100+((200-100)/(168-100))*(Y179-100),IF(Y179&lt;=208,200+((300-200)/(208-168))*(Y179-168),IF(Y179&lt;=748,300+((400-300)/(748-208))*(Y179-208),IF(Y179&lt;=1000,400+((500-400)/(1000-748))*(Y179-748),500)))))))</f>
        <v>76</v>
      </c>
      <c r="AL179" s="4" t="n">
        <f aca="false">ROUND(MAX(AF179,AG179,AH179,AI179,AJ179,AK179),0)</f>
        <v>76</v>
      </c>
      <c r="AM179" s="4" t="str">
        <f aca="false">IF(AL179="","",IF(AL179&lt;=50,"Good",IF(AL179&lt;=100,"Satisfactory",IF(AL179&lt;=200,"Moderate",IF(AL179&lt;=300,"Poor",IF(AL179&lt;=400,"Very Poor","Severe"))))))</f>
        <v>Satisfactory</v>
      </c>
    </row>
    <row r="180" customFormat="false" ht="15.75" hidden="false" customHeight="false" outlineLevel="0" collapsed="false">
      <c r="A180" s="1" t="s">
        <v>39</v>
      </c>
      <c r="B180" s="1" t="s">
        <v>40</v>
      </c>
      <c r="C180" s="1" t="n">
        <v>28.4595</v>
      </c>
      <c r="D180" s="1" t="n">
        <v>77.0266</v>
      </c>
      <c r="E180" s="5" t="n">
        <v>45908</v>
      </c>
      <c r="F180" s="6" t="s">
        <v>61</v>
      </c>
      <c r="G180" s="1" t="n">
        <v>9</v>
      </c>
      <c r="H180" s="7" t="s">
        <v>42</v>
      </c>
      <c r="I180" s="6" t="s">
        <v>43</v>
      </c>
      <c r="J180" s="7" t="s">
        <v>44</v>
      </c>
      <c r="K180" s="7" t="s">
        <v>60</v>
      </c>
      <c r="L180" s="1" t="n">
        <v>67</v>
      </c>
      <c r="M180" s="1" t="n">
        <v>23.7</v>
      </c>
      <c r="N180" s="1" t="n">
        <v>23.8</v>
      </c>
      <c r="O180" s="1" t="n">
        <v>0</v>
      </c>
      <c r="P180" s="6" t="s">
        <v>43</v>
      </c>
      <c r="Q180" s="6" t="s">
        <v>43</v>
      </c>
      <c r="R180" s="1" t="n">
        <v>1006.7</v>
      </c>
      <c r="S180" s="1" t="n">
        <v>12</v>
      </c>
      <c r="T180" s="1" t="n">
        <v>21.2</v>
      </c>
      <c r="U180" s="1" t="n">
        <v>23.3</v>
      </c>
      <c r="V180" s="1" t="n">
        <v>384</v>
      </c>
      <c r="W180" s="1" t="n">
        <v>11.2</v>
      </c>
      <c r="X180" s="1" t="n">
        <v>16.6</v>
      </c>
      <c r="Y180" s="1" t="n">
        <v>105</v>
      </c>
      <c r="Z180" s="1" t="n">
        <v>4</v>
      </c>
      <c r="AA180" s="1" t="n">
        <v>91</v>
      </c>
      <c r="AB180" s="7" t="s">
        <v>47</v>
      </c>
      <c r="AC180" s="7" t="s">
        <v>50</v>
      </c>
      <c r="AD180" s="6" t="s">
        <v>43</v>
      </c>
      <c r="AE180" s="6" t="s">
        <v>43</v>
      </c>
      <c r="AF180" s="4" t="n">
        <f aca="false">IF(T180="","",IF(T180&lt;=30,(50/30)*T180,IF(T180&lt;=60,50+((100-50)/(60-30))*(T180-30),IF(T180&lt;=90,100+((200-100)/(90-60))*(T180-60),IF(T180&lt;=120,200+((300-200)/(120-90))*(T180-90),IF(T180&lt;=250,300+((400-300)/(250-120))*(T180-120),IF(T180&lt;=380,400+((500-400)/(380-250))*(T180-250),500)))))))</f>
        <v>35.3333333333333</v>
      </c>
      <c r="AG180" s="4" t="n">
        <f aca="false">IF(U180="","",IF(U180&lt;=50,(50/50)*U180,IF(U180&lt;=100,50+((100-50)/(100-50))*(U180-50),IF(U180&lt;=250,100+((200-100)/(250-100))*(U180-100),IF(U180&lt;=350,200+((300-200)/(350-250))*(U180-250),IF(U180&lt;=430,300+((400-300)/(430-350))*(U180-350),IF(U180&lt;=600,400+((500-400)/(600-430))*(U180-430),500)))))))</f>
        <v>23.3</v>
      </c>
      <c r="AH180" s="4" t="n">
        <f aca="false">IF(V180="","",IF((V180/1000)&lt;=1,(50/1)*(V180/1000),IF((V180/1000)&lt;=2,50+((100-50)/(2-1))*(V180/1000-1),IF((V180/1000)&lt;=10,100+((200-100)/(10-2))*(V180/1000-2),IF((V180/1000)&lt;=17,200+((300-200)/(17-10))*(V180/1000-10),IF((V180/1000)&lt;=34,300+((400-300)/(34-17))*(V180/1000-17),IF((V180/1000)&lt;=57,400+((500-400)/(57-34))*(V180/1000-34),500)))))))</f>
        <v>19.2</v>
      </c>
      <c r="AI180" s="4" t="n">
        <f aca="false">IF(W180="","",IF(W180&lt;=40,(50/40)*W180,IF(W180&lt;=80,50+((100-50)/(80-40))*(W180-40),IF(W180&lt;=180,100+((200-100)/(180-80))*(W180-80),IF(W180&lt;=280,200+((300-200)/(280-180))*(W180-180),IF(W180&lt;=400,300+((400-300)/(400-280))*(W180-280),IF(W180&lt;=800,400+((500-400)/(800-400))*(W180-400),500)))))))</f>
        <v>14</v>
      </c>
      <c r="AJ180" s="4" t="n">
        <f aca="false">IF(X180="","",IF(X180&lt;=40,(50/40)*X180,IF(X180&lt;=80,50+((100-50)/(80-40))*(X180-40),IF(X180&lt;=380,100+((200-100)/(380-80))*(X180-80),IF(X180&lt;=800,200+((300-200)/(800-380))*(X180-380),IF(X180&lt;=1600,300+((400-300)/(1600-800))*(X180-800),IF(X180&lt;=2100,400+((500-400)/(2100-1600))*(X180-1600),500)))))))</f>
        <v>20.75</v>
      </c>
      <c r="AK180" s="4" t="n">
        <f aca="false">IF(Y180="","",IF(Y180&lt;=50,(50/50)*Y180,IF(Y180&lt;=100,50+((100-50)/(100-50))*(Y180-50),IF(Y180&lt;=168,100+((200-100)/(168-100))*(Y180-100),IF(Y180&lt;=208,200+((300-200)/(208-168))*(Y180-168),IF(Y180&lt;=748,300+((400-300)/(748-208))*(Y180-208),IF(Y180&lt;=1000,400+((500-400)/(1000-748))*(Y180-748),500)))))))</f>
        <v>107.352941176471</v>
      </c>
      <c r="AL180" s="4" t="n">
        <f aca="false">ROUND(MAX(AF180,AG180,AH180,AI180,AJ180,AK180),0)</f>
        <v>107</v>
      </c>
      <c r="AM180" s="4" t="str">
        <f aca="false">IF(AL180="","",IF(AL180&lt;=50,"Good",IF(AL180&lt;=100,"Satisfactory",IF(AL180&lt;=200,"Moderate",IF(AL180&lt;=300,"Poor",IF(AL180&lt;=400,"Very Poor","Severe"))))))</f>
        <v>Moderate</v>
      </c>
    </row>
    <row r="181" customFormat="false" ht="15.75" hidden="false" customHeight="false" outlineLevel="0" collapsed="false">
      <c r="A181" s="1" t="s">
        <v>39</v>
      </c>
      <c r="B181" s="1" t="s">
        <v>40</v>
      </c>
      <c r="C181" s="1" t="n">
        <v>28.4595</v>
      </c>
      <c r="D181" s="1" t="n">
        <v>77.0266</v>
      </c>
      <c r="E181" s="5" t="n">
        <v>45908</v>
      </c>
      <c r="F181" s="6" t="s">
        <v>62</v>
      </c>
      <c r="G181" s="1" t="n">
        <v>9</v>
      </c>
      <c r="H181" s="7" t="s">
        <v>42</v>
      </c>
      <c r="I181" s="6" t="s">
        <v>43</v>
      </c>
      <c r="J181" s="7" t="s">
        <v>44</v>
      </c>
      <c r="K181" s="7" t="s">
        <v>60</v>
      </c>
      <c r="L181" s="1" t="n">
        <v>63</v>
      </c>
      <c r="M181" s="1" t="n">
        <v>23.5</v>
      </c>
      <c r="N181" s="1" t="n">
        <v>20.2</v>
      </c>
      <c r="O181" s="1" t="n">
        <v>0</v>
      </c>
      <c r="P181" s="6" t="s">
        <v>43</v>
      </c>
      <c r="Q181" s="6" t="s">
        <v>43</v>
      </c>
      <c r="R181" s="1" t="n">
        <v>1006.4</v>
      </c>
      <c r="S181" s="1" t="n">
        <v>13</v>
      </c>
      <c r="T181" s="1" t="n">
        <v>21</v>
      </c>
      <c r="U181" s="1" t="n">
        <v>23.1</v>
      </c>
      <c r="V181" s="1" t="n">
        <v>303</v>
      </c>
      <c r="W181" s="1" t="n">
        <v>6.9</v>
      </c>
      <c r="X181" s="1" t="n">
        <v>16.4</v>
      </c>
      <c r="Y181" s="1" t="n">
        <v>126</v>
      </c>
      <c r="Z181" s="1" t="n">
        <v>4</v>
      </c>
      <c r="AA181" s="1" t="n">
        <v>91</v>
      </c>
      <c r="AB181" s="7" t="s">
        <v>47</v>
      </c>
      <c r="AC181" s="7" t="s">
        <v>50</v>
      </c>
      <c r="AD181" s="6" t="s">
        <v>43</v>
      </c>
      <c r="AE181" s="6" t="s">
        <v>43</v>
      </c>
      <c r="AF181" s="4" t="n">
        <f aca="false">IF(T181="","",IF(T181&lt;=30,(50/30)*T181,IF(T181&lt;=60,50+((100-50)/(60-30))*(T181-30),IF(T181&lt;=90,100+((200-100)/(90-60))*(T181-60),IF(T181&lt;=120,200+((300-200)/(120-90))*(T181-90),IF(T181&lt;=250,300+((400-300)/(250-120))*(T181-120),IF(T181&lt;=380,400+((500-400)/(380-250))*(T181-250),500)))))))</f>
        <v>35</v>
      </c>
      <c r="AG181" s="4" t="n">
        <f aca="false">IF(U181="","",IF(U181&lt;=50,(50/50)*U181,IF(U181&lt;=100,50+((100-50)/(100-50))*(U181-50),IF(U181&lt;=250,100+((200-100)/(250-100))*(U181-100),IF(U181&lt;=350,200+((300-200)/(350-250))*(U181-250),IF(U181&lt;=430,300+((400-300)/(430-350))*(U181-350),IF(U181&lt;=600,400+((500-400)/(600-430))*(U181-430),500)))))))</f>
        <v>23.1</v>
      </c>
      <c r="AH181" s="4" t="n">
        <f aca="false">IF(V181="","",IF((V181/1000)&lt;=1,(50/1)*(V181/1000),IF((V181/1000)&lt;=2,50+((100-50)/(2-1))*(V181/1000-1),IF((V181/1000)&lt;=10,100+((200-100)/(10-2))*(V181/1000-2),IF((V181/1000)&lt;=17,200+((300-200)/(17-10))*(V181/1000-10),IF((V181/1000)&lt;=34,300+((400-300)/(34-17))*(V181/1000-17),IF((V181/1000)&lt;=57,400+((500-400)/(57-34))*(V181/1000-34),500)))))))</f>
        <v>15.15</v>
      </c>
      <c r="AI181" s="4" t="n">
        <f aca="false">IF(W181="","",IF(W181&lt;=40,(50/40)*W181,IF(W181&lt;=80,50+((100-50)/(80-40))*(W181-40),IF(W181&lt;=180,100+((200-100)/(180-80))*(W181-80),IF(W181&lt;=280,200+((300-200)/(280-180))*(W181-180),IF(W181&lt;=400,300+((400-300)/(400-280))*(W181-280),IF(W181&lt;=800,400+((500-400)/(800-400))*(W181-400),500)))))))</f>
        <v>8.625</v>
      </c>
      <c r="AJ181" s="4" t="n">
        <f aca="false">IF(X181="","",IF(X181&lt;=40,(50/40)*X181,IF(X181&lt;=80,50+((100-50)/(80-40))*(X181-40),IF(X181&lt;=380,100+((200-100)/(380-80))*(X181-80),IF(X181&lt;=800,200+((300-200)/(800-380))*(X181-380),IF(X181&lt;=1600,300+((400-300)/(1600-800))*(X181-800),IF(X181&lt;=2100,400+((500-400)/(2100-1600))*(X181-1600),500)))))))</f>
        <v>20.5</v>
      </c>
      <c r="AK181" s="4" t="n">
        <f aca="false">IF(Y181="","",IF(Y181&lt;=50,(50/50)*Y181,IF(Y181&lt;=100,50+((100-50)/(100-50))*(Y181-50),IF(Y181&lt;=168,100+((200-100)/(168-100))*(Y181-100),IF(Y181&lt;=208,200+((300-200)/(208-168))*(Y181-168),IF(Y181&lt;=748,300+((400-300)/(748-208))*(Y181-208),IF(Y181&lt;=1000,400+((500-400)/(1000-748))*(Y181-748),500)))))))</f>
        <v>138.235294117647</v>
      </c>
      <c r="AL181" s="4" t="n">
        <f aca="false">ROUND(MAX(AF181,AG181,AH181,AI181,AJ181,AK181),0)</f>
        <v>138</v>
      </c>
      <c r="AM181" s="4" t="str">
        <f aca="false">IF(AL181="","",IF(AL181&lt;=50,"Good",IF(AL181&lt;=100,"Satisfactory",IF(AL181&lt;=200,"Moderate",IF(AL181&lt;=300,"Poor",IF(AL181&lt;=400,"Very Poor","Severe"))))))</f>
        <v>Moderate</v>
      </c>
    </row>
    <row r="182" customFormat="false" ht="15.75" hidden="false" customHeight="false" outlineLevel="0" collapsed="false">
      <c r="A182" s="1" t="s">
        <v>39</v>
      </c>
      <c r="B182" s="1" t="s">
        <v>40</v>
      </c>
      <c r="C182" s="1" t="n">
        <v>28.4595</v>
      </c>
      <c r="D182" s="1" t="n">
        <v>77.0266</v>
      </c>
      <c r="E182" s="5" t="n">
        <v>45908</v>
      </c>
      <c r="F182" s="6" t="s">
        <v>63</v>
      </c>
      <c r="G182" s="1" t="n">
        <v>9</v>
      </c>
      <c r="H182" s="7" t="s">
        <v>42</v>
      </c>
      <c r="I182" s="6" t="s">
        <v>43</v>
      </c>
      <c r="J182" s="7" t="s">
        <v>44</v>
      </c>
      <c r="K182" s="7" t="s">
        <v>60</v>
      </c>
      <c r="L182" s="1" t="n">
        <v>60</v>
      </c>
      <c r="M182" s="1" t="n">
        <v>23.1</v>
      </c>
      <c r="N182" s="1" t="n">
        <v>19.1</v>
      </c>
      <c r="O182" s="1" t="n">
        <v>0</v>
      </c>
      <c r="P182" s="6" t="s">
        <v>43</v>
      </c>
      <c r="Q182" s="6" t="s">
        <v>43</v>
      </c>
      <c r="R182" s="1" t="n">
        <v>1005.9</v>
      </c>
      <c r="S182" s="1" t="n">
        <v>13</v>
      </c>
      <c r="T182" s="1" t="n">
        <v>19.9</v>
      </c>
      <c r="U182" s="1" t="n">
        <v>21.9</v>
      </c>
      <c r="V182" s="1" t="n">
        <v>267</v>
      </c>
      <c r="W182" s="1" t="n">
        <v>4.8</v>
      </c>
      <c r="X182" s="1" t="n">
        <v>15.2</v>
      </c>
      <c r="Y182" s="1" t="n">
        <v>135</v>
      </c>
      <c r="Z182" s="1" t="n">
        <v>3</v>
      </c>
      <c r="AA182" s="1" t="n">
        <v>90</v>
      </c>
      <c r="AB182" s="7" t="s">
        <v>47</v>
      </c>
      <c r="AC182" s="7" t="s">
        <v>50</v>
      </c>
      <c r="AD182" s="6" t="s">
        <v>43</v>
      </c>
      <c r="AE182" s="6" t="s">
        <v>43</v>
      </c>
      <c r="AF182" s="4" t="n">
        <f aca="false">IF(T182="","",IF(T182&lt;=30,(50/30)*T182,IF(T182&lt;=60,50+((100-50)/(60-30))*(T182-30),IF(T182&lt;=90,100+((200-100)/(90-60))*(T182-60),IF(T182&lt;=120,200+((300-200)/(120-90))*(T182-90),IF(T182&lt;=250,300+((400-300)/(250-120))*(T182-120),IF(T182&lt;=380,400+((500-400)/(380-250))*(T182-250),500)))))))</f>
        <v>33.1666666666667</v>
      </c>
      <c r="AG182" s="4" t="n">
        <f aca="false">IF(U182="","",IF(U182&lt;=50,(50/50)*U182,IF(U182&lt;=100,50+((100-50)/(100-50))*(U182-50),IF(U182&lt;=250,100+((200-100)/(250-100))*(U182-100),IF(U182&lt;=350,200+((300-200)/(350-250))*(U182-250),IF(U182&lt;=430,300+((400-300)/(430-350))*(U182-350),IF(U182&lt;=600,400+((500-400)/(600-430))*(U182-430),500)))))))</f>
        <v>21.9</v>
      </c>
      <c r="AH182" s="4" t="n">
        <f aca="false">IF(V182="","",IF((V182/1000)&lt;=1,(50/1)*(V182/1000),IF((V182/1000)&lt;=2,50+((100-50)/(2-1))*(V182/1000-1),IF((V182/1000)&lt;=10,100+((200-100)/(10-2))*(V182/1000-2),IF((V182/1000)&lt;=17,200+((300-200)/(17-10))*(V182/1000-10),IF((V182/1000)&lt;=34,300+((400-300)/(34-17))*(V182/1000-17),IF((V182/1000)&lt;=57,400+((500-400)/(57-34))*(V182/1000-34),500)))))))</f>
        <v>13.35</v>
      </c>
      <c r="AI182" s="4" t="n">
        <f aca="false">IF(W182="","",IF(W182&lt;=40,(50/40)*W182,IF(W182&lt;=80,50+((100-50)/(80-40))*(W182-40),IF(W182&lt;=180,100+((200-100)/(180-80))*(W182-80),IF(W182&lt;=280,200+((300-200)/(280-180))*(W182-180),IF(W182&lt;=400,300+((400-300)/(400-280))*(W182-280),IF(W182&lt;=800,400+((500-400)/(800-400))*(W182-400),500)))))))</f>
        <v>6</v>
      </c>
      <c r="AJ182" s="4" t="n">
        <f aca="false">IF(X182="","",IF(X182&lt;=40,(50/40)*X182,IF(X182&lt;=80,50+((100-50)/(80-40))*(X182-40),IF(X182&lt;=380,100+((200-100)/(380-80))*(X182-80),IF(X182&lt;=800,200+((300-200)/(800-380))*(X182-380),IF(X182&lt;=1600,300+((400-300)/(1600-800))*(X182-800),IF(X182&lt;=2100,400+((500-400)/(2100-1600))*(X182-1600),500)))))))</f>
        <v>19</v>
      </c>
      <c r="AK182" s="4" t="n">
        <f aca="false">IF(Y182="","",IF(Y182&lt;=50,(50/50)*Y182,IF(Y182&lt;=100,50+((100-50)/(100-50))*(Y182-50),IF(Y182&lt;=168,100+((200-100)/(168-100))*(Y182-100),IF(Y182&lt;=208,200+((300-200)/(208-168))*(Y182-168),IF(Y182&lt;=748,300+((400-300)/(748-208))*(Y182-208),IF(Y182&lt;=1000,400+((500-400)/(1000-748))*(Y182-748),500)))))))</f>
        <v>151.470588235294</v>
      </c>
      <c r="AL182" s="4" t="n">
        <f aca="false">ROUND(MAX(AF182,AG182,AH182,AI182,AJ182,AK182),0)</f>
        <v>151</v>
      </c>
      <c r="AM182" s="4" t="str">
        <f aca="false">IF(AL182="","",IF(AL182&lt;=50,"Good",IF(AL182&lt;=100,"Satisfactory",IF(AL182&lt;=200,"Moderate",IF(AL182&lt;=300,"Poor",IF(AL182&lt;=400,"Very Poor","Severe"))))))</f>
        <v>Moderate</v>
      </c>
    </row>
    <row r="183" customFormat="false" ht="15.75" hidden="false" customHeight="false" outlineLevel="0" collapsed="false">
      <c r="A183" s="1" t="s">
        <v>39</v>
      </c>
      <c r="B183" s="1" t="s">
        <v>40</v>
      </c>
      <c r="C183" s="1" t="n">
        <v>28.4595</v>
      </c>
      <c r="D183" s="1" t="n">
        <v>77.0266</v>
      </c>
      <c r="E183" s="5" t="n">
        <v>45908</v>
      </c>
      <c r="F183" s="6" t="s">
        <v>64</v>
      </c>
      <c r="G183" s="1" t="n">
        <v>9</v>
      </c>
      <c r="H183" s="7" t="s">
        <v>42</v>
      </c>
      <c r="I183" s="6" t="s">
        <v>43</v>
      </c>
      <c r="J183" s="7" t="s">
        <v>44</v>
      </c>
      <c r="K183" s="7" t="s">
        <v>65</v>
      </c>
      <c r="L183" s="1" t="n">
        <v>58</v>
      </c>
      <c r="M183" s="1" t="n">
        <v>23</v>
      </c>
      <c r="N183" s="1" t="n">
        <v>18.4</v>
      </c>
      <c r="O183" s="1" t="n">
        <v>0.1</v>
      </c>
      <c r="P183" s="6" t="s">
        <v>46</v>
      </c>
      <c r="Q183" s="6" t="s">
        <v>43</v>
      </c>
      <c r="R183" s="1" t="n">
        <v>1005</v>
      </c>
      <c r="S183" s="1" t="n">
        <v>16</v>
      </c>
      <c r="T183" s="1" t="n">
        <v>18.4</v>
      </c>
      <c r="U183" s="1" t="n">
        <v>20.3</v>
      </c>
      <c r="V183" s="1" t="n">
        <v>257</v>
      </c>
      <c r="W183" s="1" t="n">
        <v>4.1</v>
      </c>
      <c r="X183" s="1" t="n">
        <v>13.5</v>
      </c>
      <c r="Y183" s="1" t="n">
        <v>136</v>
      </c>
      <c r="Z183" s="1" t="n">
        <v>3</v>
      </c>
      <c r="AA183" s="1" t="n">
        <v>90</v>
      </c>
      <c r="AB183" s="7" t="s">
        <v>47</v>
      </c>
      <c r="AC183" s="7" t="s">
        <v>50</v>
      </c>
      <c r="AD183" s="6" t="s">
        <v>43</v>
      </c>
      <c r="AE183" s="6" t="s">
        <v>43</v>
      </c>
      <c r="AF183" s="4" t="n">
        <f aca="false">IF(T183="","",IF(T183&lt;=30,(50/30)*T183,IF(T183&lt;=60,50+((100-50)/(60-30))*(T183-30),IF(T183&lt;=90,100+((200-100)/(90-60))*(T183-60),IF(T183&lt;=120,200+((300-200)/(120-90))*(T183-90),IF(T183&lt;=250,300+((400-300)/(250-120))*(T183-120),IF(T183&lt;=380,400+((500-400)/(380-250))*(T183-250),500)))))))</f>
        <v>30.6666666666667</v>
      </c>
      <c r="AG183" s="4" t="n">
        <f aca="false">IF(U183="","",IF(U183&lt;=50,(50/50)*U183,IF(U183&lt;=100,50+((100-50)/(100-50))*(U183-50),IF(U183&lt;=250,100+((200-100)/(250-100))*(U183-100),IF(U183&lt;=350,200+((300-200)/(350-250))*(U183-250),IF(U183&lt;=430,300+((400-300)/(430-350))*(U183-350),IF(U183&lt;=600,400+((500-400)/(600-430))*(U183-430),500)))))))</f>
        <v>20.3</v>
      </c>
      <c r="AH183" s="4" t="n">
        <f aca="false">IF(V183="","",IF((V183/1000)&lt;=1,(50/1)*(V183/1000),IF((V183/1000)&lt;=2,50+((100-50)/(2-1))*(V183/1000-1),IF((V183/1000)&lt;=10,100+((200-100)/(10-2))*(V183/1000-2),IF((V183/1000)&lt;=17,200+((300-200)/(17-10))*(V183/1000-10),IF((V183/1000)&lt;=34,300+((400-300)/(34-17))*(V183/1000-17),IF((V183/1000)&lt;=57,400+((500-400)/(57-34))*(V183/1000-34),500)))))))</f>
        <v>12.85</v>
      </c>
      <c r="AI183" s="4" t="n">
        <f aca="false">IF(W183="","",IF(W183&lt;=40,(50/40)*W183,IF(W183&lt;=80,50+((100-50)/(80-40))*(W183-40),IF(W183&lt;=180,100+((200-100)/(180-80))*(W183-80),IF(W183&lt;=280,200+((300-200)/(280-180))*(W183-180),IF(W183&lt;=400,300+((400-300)/(400-280))*(W183-280),IF(W183&lt;=800,400+((500-400)/(800-400))*(W183-400),500)))))))</f>
        <v>5.125</v>
      </c>
      <c r="AJ183" s="4" t="n">
        <f aca="false">IF(X183="","",IF(X183&lt;=40,(50/40)*X183,IF(X183&lt;=80,50+((100-50)/(80-40))*(X183-40),IF(X183&lt;=380,100+((200-100)/(380-80))*(X183-80),IF(X183&lt;=800,200+((300-200)/(800-380))*(X183-380),IF(X183&lt;=1600,300+((400-300)/(1600-800))*(X183-800),IF(X183&lt;=2100,400+((500-400)/(2100-1600))*(X183-1600),500)))))))</f>
        <v>16.875</v>
      </c>
      <c r="AK183" s="4" t="n">
        <f aca="false">IF(Y183="","",IF(Y183&lt;=50,(50/50)*Y183,IF(Y183&lt;=100,50+((100-50)/(100-50))*(Y183-50),IF(Y183&lt;=168,100+((200-100)/(168-100))*(Y183-100),IF(Y183&lt;=208,200+((300-200)/(208-168))*(Y183-168),IF(Y183&lt;=748,300+((400-300)/(748-208))*(Y183-208),IF(Y183&lt;=1000,400+((500-400)/(1000-748))*(Y183-748),500)))))))</f>
        <v>152.941176470588</v>
      </c>
      <c r="AL183" s="4" t="n">
        <f aca="false">ROUND(MAX(AF183,AG183,AH183,AI183,AJ183,AK183),0)</f>
        <v>153</v>
      </c>
      <c r="AM183" s="4" t="str">
        <f aca="false">IF(AL183="","",IF(AL183&lt;=50,"Good",IF(AL183&lt;=100,"Satisfactory",IF(AL183&lt;=200,"Moderate",IF(AL183&lt;=300,"Poor",IF(AL183&lt;=400,"Very Poor","Severe"))))))</f>
        <v>Moderate</v>
      </c>
    </row>
    <row r="184" customFormat="false" ht="15.75" hidden="false" customHeight="false" outlineLevel="0" collapsed="false">
      <c r="A184" s="1" t="s">
        <v>39</v>
      </c>
      <c r="B184" s="1" t="s">
        <v>40</v>
      </c>
      <c r="C184" s="1" t="n">
        <v>28.4595</v>
      </c>
      <c r="D184" s="1" t="n">
        <v>77.0266</v>
      </c>
      <c r="E184" s="5" t="n">
        <v>45908</v>
      </c>
      <c r="F184" s="6" t="s">
        <v>66</v>
      </c>
      <c r="G184" s="1" t="n">
        <v>9</v>
      </c>
      <c r="H184" s="7" t="s">
        <v>42</v>
      </c>
      <c r="I184" s="6" t="s">
        <v>43</v>
      </c>
      <c r="J184" s="7" t="s">
        <v>44</v>
      </c>
      <c r="K184" s="7" t="s">
        <v>65</v>
      </c>
      <c r="L184" s="1" t="n">
        <v>57</v>
      </c>
      <c r="M184" s="1" t="n">
        <v>22.8</v>
      </c>
      <c r="N184" s="1" t="n">
        <v>17.6</v>
      </c>
      <c r="O184" s="1" t="n">
        <v>0</v>
      </c>
      <c r="P184" s="6" t="s">
        <v>43</v>
      </c>
      <c r="Q184" s="6" t="s">
        <v>43</v>
      </c>
      <c r="R184" s="1" t="n">
        <v>1003.8</v>
      </c>
      <c r="S184" s="1" t="n">
        <v>8</v>
      </c>
      <c r="T184" s="1" t="n">
        <v>16.8</v>
      </c>
      <c r="U184" s="1" t="n">
        <v>18.6</v>
      </c>
      <c r="V184" s="1" t="n">
        <v>277</v>
      </c>
      <c r="W184" s="1" t="n">
        <v>5.3</v>
      </c>
      <c r="X184" s="1" t="n">
        <v>12.2</v>
      </c>
      <c r="Y184" s="1" t="n">
        <v>133</v>
      </c>
      <c r="Z184" s="1" t="n">
        <v>3</v>
      </c>
      <c r="AA184" s="1" t="n">
        <v>89</v>
      </c>
      <c r="AB184" s="7" t="s">
        <v>47</v>
      </c>
      <c r="AC184" s="7" t="s">
        <v>50</v>
      </c>
      <c r="AD184" s="6" t="s">
        <v>43</v>
      </c>
      <c r="AE184" s="6" t="s">
        <v>43</v>
      </c>
      <c r="AF184" s="4" t="n">
        <f aca="false">IF(T184="","",IF(T184&lt;=30,(50/30)*T184,IF(T184&lt;=60,50+((100-50)/(60-30))*(T184-30),IF(T184&lt;=90,100+((200-100)/(90-60))*(T184-60),IF(T184&lt;=120,200+((300-200)/(120-90))*(T184-90),IF(T184&lt;=250,300+((400-300)/(250-120))*(T184-120),IF(T184&lt;=380,400+((500-400)/(380-250))*(T184-250),500)))))))</f>
        <v>28</v>
      </c>
      <c r="AG184" s="4" t="n">
        <f aca="false">IF(U184="","",IF(U184&lt;=50,(50/50)*U184,IF(U184&lt;=100,50+((100-50)/(100-50))*(U184-50),IF(U184&lt;=250,100+((200-100)/(250-100))*(U184-100),IF(U184&lt;=350,200+((300-200)/(350-250))*(U184-250),IF(U184&lt;=430,300+((400-300)/(430-350))*(U184-350),IF(U184&lt;=600,400+((500-400)/(600-430))*(U184-430),500)))))))</f>
        <v>18.6</v>
      </c>
      <c r="AH184" s="4" t="n">
        <f aca="false">IF(V184="","",IF((V184/1000)&lt;=1,(50/1)*(V184/1000),IF((V184/1000)&lt;=2,50+((100-50)/(2-1))*(V184/1000-1),IF((V184/1000)&lt;=10,100+((200-100)/(10-2))*(V184/1000-2),IF((V184/1000)&lt;=17,200+((300-200)/(17-10))*(V184/1000-10),IF((V184/1000)&lt;=34,300+((400-300)/(34-17))*(V184/1000-17),IF((V184/1000)&lt;=57,400+((500-400)/(57-34))*(V184/1000-34),500)))))))</f>
        <v>13.85</v>
      </c>
      <c r="AI184" s="4" t="n">
        <f aca="false">IF(W184="","",IF(W184&lt;=40,(50/40)*W184,IF(W184&lt;=80,50+((100-50)/(80-40))*(W184-40),IF(W184&lt;=180,100+((200-100)/(180-80))*(W184-80),IF(W184&lt;=280,200+((300-200)/(280-180))*(W184-180),IF(W184&lt;=400,300+((400-300)/(400-280))*(W184-280),IF(W184&lt;=800,400+((500-400)/(800-400))*(W184-400),500)))))))</f>
        <v>6.625</v>
      </c>
      <c r="AJ184" s="4" t="n">
        <f aca="false">IF(X184="","",IF(X184&lt;=40,(50/40)*X184,IF(X184&lt;=80,50+((100-50)/(80-40))*(X184-40),IF(X184&lt;=380,100+((200-100)/(380-80))*(X184-80),IF(X184&lt;=800,200+((300-200)/(800-380))*(X184-380),IF(X184&lt;=1600,300+((400-300)/(1600-800))*(X184-800),IF(X184&lt;=2100,400+((500-400)/(2100-1600))*(X184-1600),500)))))))</f>
        <v>15.25</v>
      </c>
      <c r="AK184" s="4" t="n">
        <f aca="false">IF(Y184="","",IF(Y184&lt;=50,(50/50)*Y184,IF(Y184&lt;=100,50+((100-50)/(100-50))*(Y184-50),IF(Y184&lt;=168,100+((200-100)/(168-100))*(Y184-100),IF(Y184&lt;=208,200+((300-200)/(208-168))*(Y184-168),IF(Y184&lt;=748,300+((400-300)/(748-208))*(Y184-208),IF(Y184&lt;=1000,400+((500-400)/(1000-748))*(Y184-748),500)))))))</f>
        <v>148.529411764706</v>
      </c>
      <c r="AL184" s="4" t="n">
        <f aca="false">ROUND(MAX(AF184,AG184,AH184,AI184,AJ184,AK184),0)</f>
        <v>149</v>
      </c>
      <c r="AM184" s="4" t="str">
        <f aca="false">IF(AL184="","",IF(AL184&lt;=50,"Good",IF(AL184&lt;=100,"Satisfactory",IF(AL184&lt;=200,"Moderate",IF(AL184&lt;=300,"Poor",IF(AL184&lt;=400,"Very Poor","Severe"))))))</f>
        <v>Moderate</v>
      </c>
    </row>
    <row r="185" customFormat="false" ht="15.75" hidden="false" customHeight="false" outlineLevel="0" collapsed="false">
      <c r="A185" s="1" t="s">
        <v>39</v>
      </c>
      <c r="B185" s="1" t="s">
        <v>40</v>
      </c>
      <c r="C185" s="1" t="n">
        <v>28.4595</v>
      </c>
      <c r="D185" s="1" t="n">
        <v>77.0266</v>
      </c>
      <c r="E185" s="5" t="n">
        <v>45908</v>
      </c>
      <c r="F185" s="6" t="s">
        <v>67</v>
      </c>
      <c r="G185" s="1" t="n">
        <v>9</v>
      </c>
      <c r="H185" s="7" t="s">
        <v>42</v>
      </c>
      <c r="I185" s="6" t="s">
        <v>43</v>
      </c>
      <c r="J185" s="7" t="s">
        <v>44</v>
      </c>
      <c r="K185" s="7" t="s">
        <v>65</v>
      </c>
      <c r="L185" s="1" t="n">
        <v>56</v>
      </c>
      <c r="M185" s="1" t="n">
        <v>22.7</v>
      </c>
      <c r="N185" s="1" t="n">
        <v>17.3</v>
      </c>
      <c r="O185" s="1" t="n">
        <v>0</v>
      </c>
      <c r="P185" s="6" t="s">
        <v>43</v>
      </c>
      <c r="Q185" s="6" t="s">
        <v>43</v>
      </c>
      <c r="R185" s="1" t="n">
        <v>1003.1</v>
      </c>
      <c r="S185" s="1" t="n">
        <v>4</v>
      </c>
      <c r="T185" s="1" t="n">
        <v>15.8</v>
      </c>
      <c r="U185" s="1" t="n">
        <v>18</v>
      </c>
      <c r="V185" s="1" t="n">
        <v>280</v>
      </c>
      <c r="W185" s="1" t="n">
        <v>6.5</v>
      </c>
      <c r="X185" s="1" t="n">
        <v>11.3</v>
      </c>
      <c r="Y185" s="1" t="n">
        <v>127</v>
      </c>
      <c r="Z185" s="1" t="n">
        <v>6</v>
      </c>
      <c r="AA185" s="1" t="n">
        <v>88</v>
      </c>
      <c r="AB185" s="7" t="s">
        <v>47</v>
      </c>
      <c r="AC185" s="7" t="s">
        <v>50</v>
      </c>
      <c r="AD185" s="6" t="s">
        <v>43</v>
      </c>
      <c r="AE185" s="6" t="s">
        <v>43</v>
      </c>
      <c r="AF185" s="4" t="n">
        <f aca="false">IF(T185="","",IF(T185&lt;=30,(50/30)*T185,IF(T185&lt;=60,50+((100-50)/(60-30))*(T185-30),IF(T185&lt;=90,100+((200-100)/(90-60))*(T185-60),IF(T185&lt;=120,200+((300-200)/(120-90))*(T185-90),IF(T185&lt;=250,300+((400-300)/(250-120))*(T185-120),IF(T185&lt;=380,400+((500-400)/(380-250))*(T185-250),500)))))))</f>
        <v>26.3333333333333</v>
      </c>
      <c r="AG185" s="4" t="n">
        <f aca="false">IF(U185="","",IF(U185&lt;=50,(50/50)*U185,IF(U185&lt;=100,50+((100-50)/(100-50))*(U185-50),IF(U185&lt;=250,100+((200-100)/(250-100))*(U185-100),IF(U185&lt;=350,200+((300-200)/(350-250))*(U185-250),IF(U185&lt;=430,300+((400-300)/(430-350))*(U185-350),IF(U185&lt;=600,400+((500-400)/(600-430))*(U185-430),500)))))))</f>
        <v>18</v>
      </c>
      <c r="AH185" s="4" t="n">
        <f aca="false">IF(V185="","",IF((V185/1000)&lt;=1,(50/1)*(V185/1000),IF((V185/1000)&lt;=2,50+((100-50)/(2-1))*(V185/1000-1),IF((V185/1000)&lt;=10,100+((200-100)/(10-2))*(V185/1000-2),IF((V185/1000)&lt;=17,200+((300-200)/(17-10))*(V185/1000-10),IF((V185/1000)&lt;=34,300+((400-300)/(34-17))*(V185/1000-17),IF((V185/1000)&lt;=57,400+((500-400)/(57-34))*(V185/1000-34),500)))))))</f>
        <v>14</v>
      </c>
      <c r="AI185" s="4" t="n">
        <f aca="false">IF(W185="","",IF(W185&lt;=40,(50/40)*W185,IF(W185&lt;=80,50+((100-50)/(80-40))*(W185-40),IF(W185&lt;=180,100+((200-100)/(180-80))*(W185-80),IF(W185&lt;=280,200+((300-200)/(280-180))*(W185-180),IF(W185&lt;=400,300+((400-300)/(400-280))*(W185-280),IF(W185&lt;=800,400+((500-400)/(800-400))*(W185-400),500)))))))</f>
        <v>8.125</v>
      </c>
      <c r="AJ185" s="4" t="n">
        <f aca="false">IF(X185="","",IF(X185&lt;=40,(50/40)*X185,IF(X185&lt;=80,50+((100-50)/(80-40))*(X185-40),IF(X185&lt;=380,100+((200-100)/(380-80))*(X185-80),IF(X185&lt;=800,200+((300-200)/(800-380))*(X185-380),IF(X185&lt;=1600,300+((400-300)/(1600-800))*(X185-800),IF(X185&lt;=2100,400+((500-400)/(2100-1600))*(X185-1600),500)))))))</f>
        <v>14.125</v>
      </c>
      <c r="AK185" s="4" t="n">
        <f aca="false">IF(Y185="","",IF(Y185&lt;=50,(50/50)*Y185,IF(Y185&lt;=100,50+((100-50)/(100-50))*(Y185-50),IF(Y185&lt;=168,100+((200-100)/(168-100))*(Y185-100),IF(Y185&lt;=208,200+((300-200)/(208-168))*(Y185-168),IF(Y185&lt;=748,300+((400-300)/(748-208))*(Y185-208),IF(Y185&lt;=1000,400+((500-400)/(1000-748))*(Y185-748),500)))))))</f>
        <v>139.705882352941</v>
      </c>
      <c r="AL185" s="4" t="n">
        <f aca="false">ROUND(MAX(AF185,AG185,AH185,AI185,AJ185,AK185),0)</f>
        <v>140</v>
      </c>
      <c r="AM185" s="4" t="str">
        <f aca="false">IF(AL185="","",IF(AL185&lt;=50,"Good",IF(AL185&lt;=100,"Satisfactory",IF(AL185&lt;=200,"Moderate",IF(AL185&lt;=300,"Poor",IF(AL185&lt;=400,"Very Poor","Severe"))))))</f>
        <v>Moderate</v>
      </c>
    </row>
    <row r="186" customFormat="false" ht="15.75" hidden="false" customHeight="false" outlineLevel="0" collapsed="false">
      <c r="A186" s="1" t="s">
        <v>39</v>
      </c>
      <c r="B186" s="1" t="s">
        <v>40</v>
      </c>
      <c r="C186" s="1" t="n">
        <v>28.4595</v>
      </c>
      <c r="D186" s="1" t="n">
        <v>77.0266</v>
      </c>
      <c r="E186" s="5" t="n">
        <v>45908</v>
      </c>
      <c r="F186" s="6" t="s">
        <v>68</v>
      </c>
      <c r="G186" s="1" t="n">
        <v>9</v>
      </c>
      <c r="H186" s="7" t="s">
        <v>42</v>
      </c>
      <c r="I186" s="6" t="s">
        <v>43</v>
      </c>
      <c r="J186" s="7" t="s">
        <v>44</v>
      </c>
      <c r="K186" s="7" t="s">
        <v>65</v>
      </c>
      <c r="L186" s="1" t="n">
        <v>57</v>
      </c>
      <c r="M186" s="1" t="n">
        <v>22.7</v>
      </c>
      <c r="N186" s="1" t="n">
        <v>15.1</v>
      </c>
      <c r="O186" s="1" t="n">
        <v>0</v>
      </c>
      <c r="P186" s="6" t="s">
        <v>43</v>
      </c>
      <c r="Q186" s="6" t="s">
        <v>43</v>
      </c>
      <c r="R186" s="1" t="n">
        <v>1002.5</v>
      </c>
      <c r="S186" s="1" t="n">
        <v>5</v>
      </c>
      <c r="T186" s="1" t="n">
        <v>15.7</v>
      </c>
      <c r="U186" s="1" t="n">
        <v>18.8</v>
      </c>
      <c r="V186" s="1" t="n">
        <v>313</v>
      </c>
      <c r="W186" s="1" t="n">
        <v>9.5</v>
      </c>
      <c r="X186" s="1" t="n">
        <v>10.8</v>
      </c>
      <c r="Y186" s="1" t="n">
        <v>117</v>
      </c>
      <c r="Z186" s="1" t="n">
        <v>10</v>
      </c>
      <c r="AA186" s="1" t="n">
        <v>86</v>
      </c>
      <c r="AB186" s="7" t="s">
        <v>47</v>
      </c>
      <c r="AC186" s="7" t="s">
        <v>50</v>
      </c>
      <c r="AD186" s="6" t="s">
        <v>43</v>
      </c>
      <c r="AE186" s="6" t="s">
        <v>43</v>
      </c>
      <c r="AF186" s="4" t="n">
        <f aca="false">IF(T186="","",IF(T186&lt;=30,(50/30)*T186,IF(T186&lt;=60,50+((100-50)/(60-30))*(T186-30),IF(T186&lt;=90,100+((200-100)/(90-60))*(T186-60),IF(T186&lt;=120,200+((300-200)/(120-90))*(T186-90),IF(T186&lt;=250,300+((400-300)/(250-120))*(T186-120),IF(T186&lt;=380,400+((500-400)/(380-250))*(T186-250),500)))))))</f>
        <v>26.1666666666667</v>
      </c>
      <c r="AG186" s="4" t="n">
        <f aca="false">IF(U186="","",IF(U186&lt;=50,(50/50)*U186,IF(U186&lt;=100,50+((100-50)/(100-50))*(U186-50),IF(U186&lt;=250,100+((200-100)/(250-100))*(U186-100),IF(U186&lt;=350,200+((300-200)/(350-250))*(U186-250),IF(U186&lt;=430,300+((400-300)/(430-350))*(U186-350),IF(U186&lt;=600,400+((500-400)/(600-430))*(U186-430),500)))))))</f>
        <v>18.8</v>
      </c>
      <c r="AH186" s="4" t="n">
        <f aca="false">IF(V186="","",IF((V186/1000)&lt;=1,(50/1)*(V186/1000),IF((V186/1000)&lt;=2,50+((100-50)/(2-1))*(V186/1000-1),IF((V186/1000)&lt;=10,100+((200-100)/(10-2))*(V186/1000-2),IF((V186/1000)&lt;=17,200+((300-200)/(17-10))*(V186/1000-10),IF((V186/1000)&lt;=34,300+((400-300)/(34-17))*(V186/1000-17),IF((V186/1000)&lt;=57,400+((500-400)/(57-34))*(V186/1000-34),500)))))))</f>
        <v>15.65</v>
      </c>
      <c r="AI186" s="4" t="n">
        <f aca="false">IF(W186="","",IF(W186&lt;=40,(50/40)*W186,IF(W186&lt;=80,50+((100-50)/(80-40))*(W186-40),IF(W186&lt;=180,100+((200-100)/(180-80))*(W186-80),IF(W186&lt;=280,200+((300-200)/(280-180))*(W186-180),IF(W186&lt;=400,300+((400-300)/(400-280))*(W186-280),IF(W186&lt;=800,400+((500-400)/(800-400))*(W186-400),500)))))))</f>
        <v>11.875</v>
      </c>
      <c r="AJ186" s="4" t="n">
        <f aca="false">IF(X186="","",IF(X186&lt;=40,(50/40)*X186,IF(X186&lt;=80,50+((100-50)/(80-40))*(X186-40),IF(X186&lt;=380,100+((200-100)/(380-80))*(X186-80),IF(X186&lt;=800,200+((300-200)/(800-380))*(X186-380),IF(X186&lt;=1600,300+((400-300)/(1600-800))*(X186-800),IF(X186&lt;=2100,400+((500-400)/(2100-1600))*(X186-1600),500)))))))</f>
        <v>13.5</v>
      </c>
      <c r="AK186" s="4" t="n">
        <f aca="false">IF(Y186="","",IF(Y186&lt;=50,(50/50)*Y186,IF(Y186&lt;=100,50+((100-50)/(100-50))*(Y186-50),IF(Y186&lt;=168,100+((200-100)/(168-100))*(Y186-100),IF(Y186&lt;=208,200+((300-200)/(208-168))*(Y186-168),IF(Y186&lt;=748,300+((400-300)/(748-208))*(Y186-208),IF(Y186&lt;=1000,400+((500-400)/(1000-748))*(Y186-748),500)))))))</f>
        <v>125</v>
      </c>
      <c r="AL186" s="4" t="n">
        <f aca="false">ROUND(MAX(AF186,AG186,AH186,AI186,AJ186,AK186),0)</f>
        <v>125</v>
      </c>
      <c r="AM186" s="4" t="str">
        <f aca="false">IF(AL186="","",IF(AL186&lt;=50,"Good",IF(AL186&lt;=100,"Satisfactory",IF(AL186&lt;=200,"Moderate",IF(AL186&lt;=300,"Poor",IF(AL186&lt;=400,"Very Poor","Severe"))))))</f>
        <v>Moderate</v>
      </c>
    </row>
    <row r="187" customFormat="false" ht="15.75" hidden="false" customHeight="false" outlineLevel="0" collapsed="false">
      <c r="A187" s="1" t="s">
        <v>39</v>
      </c>
      <c r="B187" s="1" t="s">
        <v>40</v>
      </c>
      <c r="C187" s="1" t="n">
        <v>28.4595</v>
      </c>
      <c r="D187" s="1" t="n">
        <v>77.0266</v>
      </c>
      <c r="E187" s="5" t="n">
        <v>45908</v>
      </c>
      <c r="F187" s="6" t="s">
        <v>69</v>
      </c>
      <c r="G187" s="1" t="n">
        <v>9</v>
      </c>
      <c r="H187" s="7" t="s">
        <v>42</v>
      </c>
      <c r="I187" s="6" t="s">
        <v>43</v>
      </c>
      <c r="J187" s="7" t="s">
        <v>44</v>
      </c>
      <c r="K187" s="7" t="s">
        <v>65</v>
      </c>
      <c r="L187" s="1" t="n">
        <v>60</v>
      </c>
      <c r="M187" s="1" t="n">
        <v>23</v>
      </c>
      <c r="N187" s="1" t="n">
        <v>8.3</v>
      </c>
      <c r="O187" s="1" t="n">
        <v>0</v>
      </c>
      <c r="P187" s="6" t="s">
        <v>43</v>
      </c>
      <c r="Q187" s="6" t="s">
        <v>43</v>
      </c>
      <c r="R187" s="1" t="n">
        <v>1003.2</v>
      </c>
      <c r="S187" s="1" t="n">
        <v>4</v>
      </c>
      <c r="T187" s="1" t="n">
        <v>13.8</v>
      </c>
      <c r="U187" s="1" t="n">
        <v>20.7</v>
      </c>
      <c r="V187" s="1" t="n">
        <v>524</v>
      </c>
      <c r="W187" s="1" t="n">
        <v>18.8</v>
      </c>
      <c r="X187" s="1" t="n">
        <v>12</v>
      </c>
      <c r="Y187" s="1" t="n">
        <v>97</v>
      </c>
      <c r="Z187" s="1" t="n">
        <v>13</v>
      </c>
      <c r="AA187" s="1" t="n">
        <v>84</v>
      </c>
      <c r="AB187" s="7" t="s">
        <v>47</v>
      </c>
      <c r="AC187" s="7" t="s">
        <v>50</v>
      </c>
      <c r="AD187" s="6" t="s">
        <v>43</v>
      </c>
      <c r="AE187" s="6" t="s">
        <v>43</v>
      </c>
      <c r="AF187" s="4" t="n">
        <f aca="false">IF(T187="","",IF(T187&lt;=30,(50/30)*T187,IF(T187&lt;=60,50+((100-50)/(60-30))*(T187-30),IF(T187&lt;=90,100+((200-100)/(90-60))*(T187-60),IF(T187&lt;=120,200+((300-200)/(120-90))*(T187-90),IF(T187&lt;=250,300+((400-300)/(250-120))*(T187-120),IF(T187&lt;=380,400+((500-400)/(380-250))*(T187-250),500)))))))</f>
        <v>23</v>
      </c>
      <c r="AG187" s="4" t="n">
        <f aca="false">IF(U187="","",IF(U187&lt;=50,(50/50)*U187,IF(U187&lt;=100,50+((100-50)/(100-50))*(U187-50),IF(U187&lt;=250,100+((200-100)/(250-100))*(U187-100),IF(U187&lt;=350,200+((300-200)/(350-250))*(U187-250),IF(U187&lt;=430,300+((400-300)/(430-350))*(U187-350),IF(U187&lt;=600,400+((500-400)/(600-430))*(U187-430),500)))))))</f>
        <v>20.7</v>
      </c>
      <c r="AH187" s="4" t="n">
        <f aca="false">IF(V187="","",IF((V187/1000)&lt;=1,(50/1)*(V187/1000),IF((V187/1000)&lt;=2,50+((100-50)/(2-1))*(V187/1000-1),IF((V187/1000)&lt;=10,100+((200-100)/(10-2))*(V187/1000-2),IF((V187/1000)&lt;=17,200+((300-200)/(17-10))*(V187/1000-10),IF((V187/1000)&lt;=34,300+((400-300)/(34-17))*(V187/1000-17),IF((V187/1000)&lt;=57,400+((500-400)/(57-34))*(V187/1000-34),500)))))))</f>
        <v>26.2</v>
      </c>
      <c r="AI187" s="4" t="n">
        <f aca="false">IF(W187="","",IF(W187&lt;=40,(50/40)*W187,IF(W187&lt;=80,50+((100-50)/(80-40))*(W187-40),IF(W187&lt;=180,100+((200-100)/(180-80))*(W187-80),IF(W187&lt;=280,200+((300-200)/(280-180))*(W187-180),IF(W187&lt;=400,300+((400-300)/(400-280))*(W187-280),IF(W187&lt;=800,400+((500-400)/(800-400))*(W187-400),500)))))))</f>
        <v>23.5</v>
      </c>
      <c r="AJ187" s="4" t="n">
        <f aca="false">IF(X187="","",IF(X187&lt;=40,(50/40)*X187,IF(X187&lt;=80,50+((100-50)/(80-40))*(X187-40),IF(X187&lt;=380,100+((200-100)/(380-80))*(X187-80),IF(X187&lt;=800,200+((300-200)/(800-380))*(X187-380),IF(X187&lt;=1600,300+((400-300)/(1600-800))*(X187-800),IF(X187&lt;=2100,400+((500-400)/(2100-1600))*(X187-1600),500)))))))</f>
        <v>15</v>
      </c>
      <c r="AK187" s="4" t="n">
        <f aca="false">IF(Y187="","",IF(Y187&lt;=50,(50/50)*Y187,IF(Y187&lt;=100,50+((100-50)/(100-50))*(Y187-50),IF(Y187&lt;=168,100+((200-100)/(168-100))*(Y187-100),IF(Y187&lt;=208,200+((300-200)/(208-168))*(Y187-168),IF(Y187&lt;=748,300+((400-300)/(748-208))*(Y187-208),IF(Y187&lt;=1000,400+((500-400)/(1000-748))*(Y187-748),500)))))))</f>
        <v>97</v>
      </c>
      <c r="AL187" s="4" t="n">
        <f aca="false">ROUND(MAX(AF187,AG187,AH187,AI187,AJ187,AK187),0)</f>
        <v>97</v>
      </c>
      <c r="AM187" s="4" t="str">
        <f aca="false">IF(AL187="","",IF(AL187&lt;=50,"Good",IF(AL187&lt;=100,"Satisfactory",IF(AL187&lt;=200,"Moderate",IF(AL187&lt;=300,"Poor",IF(AL187&lt;=400,"Very Poor","Severe"))))))</f>
        <v>Satisfactory</v>
      </c>
    </row>
    <row r="188" customFormat="false" ht="15.75" hidden="false" customHeight="false" outlineLevel="0" collapsed="false">
      <c r="A188" s="1" t="s">
        <v>39</v>
      </c>
      <c r="B188" s="1" t="s">
        <v>40</v>
      </c>
      <c r="C188" s="1" t="n">
        <v>28.4595</v>
      </c>
      <c r="D188" s="1" t="n">
        <v>77.0266</v>
      </c>
      <c r="E188" s="5" t="n">
        <v>45908</v>
      </c>
      <c r="F188" s="6" t="s">
        <v>70</v>
      </c>
      <c r="G188" s="1" t="n">
        <v>9</v>
      </c>
      <c r="H188" s="7" t="s">
        <v>42</v>
      </c>
      <c r="I188" s="6" t="s">
        <v>43</v>
      </c>
      <c r="J188" s="7" t="s">
        <v>44</v>
      </c>
      <c r="K188" s="7" t="s">
        <v>71</v>
      </c>
      <c r="L188" s="1" t="n">
        <v>76</v>
      </c>
      <c r="M188" s="1" t="n">
        <v>25.2</v>
      </c>
      <c r="N188" s="1" t="n">
        <v>9.7</v>
      </c>
      <c r="O188" s="1" t="n">
        <v>0</v>
      </c>
      <c r="P188" s="6" t="s">
        <v>43</v>
      </c>
      <c r="Q188" s="6" t="s">
        <v>43</v>
      </c>
      <c r="R188" s="1" t="n">
        <v>1004.7</v>
      </c>
      <c r="S188" s="1" t="n">
        <v>44</v>
      </c>
      <c r="T188" s="1" t="n">
        <v>22.6</v>
      </c>
      <c r="U188" s="1" t="n">
        <v>27.1</v>
      </c>
      <c r="V188" s="1" t="n">
        <v>1122</v>
      </c>
      <c r="W188" s="1" t="n">
        <v>45.7</v>
      </c>
      <c r="X188" s="1" t="n">
        <v>17.8</v>
      </c>
      <c r="Y188" s="1" t="n">
        <v>68</v>
      </c>
      <c r="Z188" s="1" t="n">
        <v>12</v>
      </c>
      <c r="AA188" s="1" t="n">
        <v>84</v>
      </c>
      <c r="AB188" s="7" t="s">
        <v>47</v>
      </c>
      <c r="AC188" s="7" t="s">
        <v>50</v>
      </c>
      <c r="AD188" s="6" t="s">
        <v>43</v>
      </c>
      <c r="AE188" s="6" t="s">
        <v>43</v>
      </c>
      <c r="AF188" s="4" t="n">
        <f aca="false">IF(T188="","",IF(T188&lt;=30,(50/30)*T188,IF(T188&lt;=60,50+((100-50)/(60-30))*(T188-30),IF(T188&lt;=90,100+((200-100)/(90-60))*(T188-60),IF(T188&lt;=120,200+((300-200)/(120-90))*(T188-90),IF(T188&lt;=250,300+((400-300)/(250-120))*(T188-120),IF(T188&lt;=380,400+((500-400)/(380-250))*(T188-250),500)))))))</f>
        <v>37.6666666666667</v>
      </c>
      <c r="AG188" s="4" t="n">
        <f aca="false">IF(U188="","",IF(U188&lt;=50,(50/50)*U188,IF(U188&lt;=100,50+((100-50)/(100-50))*(U188-50),IF(U188&lt;=250,100+((200-100)/(250-100))*(U188-100),IF(U188&lt;=350,200+((300-200)/(350-250))*(U188-250),IF(U188&lt;=430,300+((400-300)/(430-350))*(U188-350),IF(U188&lt;=600,400+((500-400)/(600-430))*(U188-430),500)))))))</f>
        <v>27.1</v>
      </c>
      <c r="AH188" s="4" t="n">
        <f aca="false">IF(V188="","",IF((V188/1000)&lt;=1,(50/1)*(V188/1000),IF((V188/1000)&lt;=2,50+((100-50)/(2-1))*(V188/1000-1),IF((V188/1000)&lt;=10,100+((200-100)/(10-2))*(V188/1000-2),IF((V188/1000)&lt;=17,200+((300-200)/(17-10))*(V188/1000-10),IF((V188/1000)&lt;=34,300+((400-300)/(34-17))*(V188/1000-17),IF((V188/1000)&lt;=57,400+((500-400)/(57-34))*(V188/1000-34),500)))))))</f>
        <v>56.1</v>
      </c>
      <c r="AI188" s="4" t="n">
        <f aca="false">IF(W188="","",IF(W188&lt;=40,(50/40)*W188,IF(W188&lt;=80,50+((100-50)/(80-40))*(W188-40),IF(W188&lt;=180,100+((200-100)/(180-80))*(W188-80),IF(W188&lt;=280,200+((300-200)/(280-180))*(W188-180),IF(W188&lt;=400,300+((400-300)/(400-280))*(W188-280),IF(W188&lt;=800,400+((500-400)/(800-400))*(W188-400),500)))))))</f>
        <v>57.125</v>
      </c>
      <c r="AJ188" s="4" t="n">
        <f aca="false">IF(X188="","",IF(X188&lt;=40,(50/40)*X188,IF(X188&lt;=80,50+((100-50)/(80-40))*(X188-40),IF(X188&lt;=380,100+((200-100)/(380-80))*(X188-80),IF(X188&lt;=800,200+((300-200)/(800-380))*(X188-380),IF(X188&lt;=1600,300+((400-300)/(1600-800))*(X188-800),IF(X188&lt;=2100,400+((500-400)/(2100-1600))*(X188-1600),500)))))))</f>
        <v>22.25</v>
      </c>
      <c r="AK188" s="4" t="n">
        <f aca="false">IF(Y188="","",IF(Y188&lt;=50,(50/50)*Y188,IF(Y188&lt;=100,50+((100-50)/(100-50))*(Y188-50),IF(Y188&lt;=168,100+((200-100)/(168-100))*(Y188-100),IF(Y188&lt;=208,200+((300-200)/(208-168))*(Y188-168),IF(Y188&lt;=748,300+((400-300)/(748-208))*(Y188-208),IF(Y188&lt;=1000,400+((500-400)/(1000-748))*(Y188-748),500)))))))</f>
        <v>68</v>
      </c>
      <c r="AL188" s="4" t="n">
        <f aca="false">ROUND(MAX(AF188,AG188,AH188,AI188,AJ188,AK188),0)</f>
        <v>68</v>
      </c>
      <c r="AM188" s="4" t="str">
        <f aca="false">IF(AL188="","",IF(AL188&lt;=50,"Good",IF(AL188&lt;=100,"Satisfactory",IF(AL188&lt;=200,"Moderate",IF(AL188&lt;=300,"Poor",IF(AL188&lt;=400,"Very Poor","Severe"))))))</f>
        <v>Satisfactory</v>
      </c>
    </row>
    <row r="189" customFormat="false" ht="15.75" hidden="false" customHeight="false" outlineLevel="0" collapsed="false">
      <c r="A189" s="1" t="s">
        <v>39</v>
      </c>
      <c r="B189" s="1" t="s">
        <v>40</v>
      </c>
      <c r="C189" s="1" t="n">
        <v>28.4595</v>
      </c>
      <c r="D189" s="1" t="n">
        <v>77.0266</v>
      </c>
      <c r="E189" s="5" t="n">
        <v>45908</v>
      </c>
      <c r="F189" s="6" t="s">
        <v>72</v>
      </c>
      <c r="G189" s="1" t="n">
        <v>9</v>
      </c>
      <c r="H189" s="7" t="s">
        <v>42</v>
      </c>
      <c r="I189" s="6" t="s">
        <v>43</v>
      </c>
      <c r="J189" s="7" t="s">
        <v>44</v>
      </c>
      <c r="K189" s="7" t="s">
        <v>71</v>
      </c>
      <c r="L189" s="1" t="n">
        <v>79</v>
      </c>
      <c r="M189" s="1" t="n">
        <v>24.7</v>
      </c>
      <c r="N189" s="1" t="n">
        <v>9.7</v>
      </c>
      <c r="O189" s="1" t="n">
        <v>0</v>
      </c>
      <c r="P189" s="6" t="s">
        <v>43</v>
      </c>
      <c r="Q189" s="6" t="s">
        <v>43</v>
      </c>
      <c r="R189" s="1" t="n">
        <v>1005.4</v>
      </c>
      <c r="S189" s="1" t="n">
        <v>49</v>
      </c>
      <c r="T189" s="1" t="n">
        <v>42</v>
      </c>
      <c r="U189" s="1" t="n">
        <v>47</v>
      </c>
      <c r="V189" s="1" t="n">
        <v>1897</v>
      </c>
      <c r="W189" s="1" t="n">
        <v>82.4</v>
      </c>
      <c r="X189" s="1" t="n">
        <v>25.9</v>
      </c>
      <c r="Y189" s="1" t="n">
        <v>29</v>
      </c>
      <c r="Z189" s="1" t="n">
        <v>12</v>
      </c>
      <c r="AA189" s="1" t="n">
        <v>83</v>
      </c>
      <c r="AB189" s="7" t="s">
        <v>47</v>
      </c>
      <c r="AC189" s="7" t="s">
        <v>48</v>
      </c>
      <c r="AD189" s="6" t="s">
        <v>43</v>
      </c>
      <c r="AE189" s="6" t="s">
        <v>43</v>
      </c>
      <c r="AF189" s="4" t="n">
        <f aca="false">IF(T189="","",IF(T189&lt;=30,(50/30)*T189,IF(T189&lt;=60,50+((100-50)/(60-30))*(T189-30),IF(T189&lt;=90,100+((200-100)/(90-60))*(T189-60),IF(T189&lt;=120,200+((300-200)/(120-90))*(T189-90),IF(T189&lt;=250,300+((400-300)/(250-120))*(T189-120),IF(T189&lt;=380,400+((500-400)/(380-250))*(T189-250),500)))))))</f>
        <v>70</v>
      </c>
      <c r="AG189" s="4" t="n">
        <f aca="false">IF(U189="","",IF(U189&lt;=50,(50/50)*U189,IF(U189&lt;=100,50+((100-50)/(100-50))*(U189-50),IF(U189&lt;=250,100+((200-100)/(250-100))*(U189-100),IF(U189&lt;=350,200+((300-200)/(350-250))*(U189-250),IF(U189&lt;=430,300+((400-300)/(430-350))*(U189-350),IF(U189&lt;=600,400+((500-400)/(600-430))*(U189-430),500)))))))</f>
        <v>47</v>
      </c>
      <c r="AH189" s="4" t="n">
        <f aca="false">IF(V189="","",IF((V189/1000)&lt;=1,(50/1)*(V189/1000),IF((V189/1000)&lt;=2,50+((100-50)/(2-1))*(V189/1000-1),IF((V189/1000)&lt;=10,100+((200-100)/(10-2))*(V189/1000-2),IF((V189/1000)&lt;=17,200+((300-200)/(17-10))*(V189/1000-10),IF((V189/1000)&lt;=34,300+((400-300)/(34-17))*(V189/1000-17),IF((V189/1000)&lt;=57,400+((500-400)/(57-34))*(V189/1000-34),500)))))))</f>
        <v>94.85</v>
      </c>
      <c r="AI189" s="4" t="n">
        <f aca="false">IF(W189="","",IF(W189&lt;=40,(50/40)*W189,IF(W189&lt;=80,50+((100-50)/(80-40))*(W189-40),IF(W189&lt;=180,100+((200-100)/(180-80))*(W189-80),IF(W189&lt;=280,200+((300-200)/(280-180))*(W189-180),IF(W189&lt;=400,300+((400-300)/(400-280))*(W189-280),IF(W189&lt;=800,400+((500-400)/(800-400))*(W189-400),500)))))))</f>
        <v>102.4</v>
      </c>
      <c r="AJ189" s="4" t="n">
        <f aca="false">IF(X189="","",IF(X189&lt;=40,(50/40)*X189,IF(X189&lt;=80,50+((100-50)/(80-40))*(X189-40),IF(X189&lt;=380,100+((200-100)/(380-80))*(X189-80),IF(X189&lt;=800,200+((300-200)/(800-380))*(X189-380),IF(X189&lt;=1600,300+((400-300)/(1600-800))*(X189-800),IF(X189&lt;=2100,400+((500-400)/(2100-1600))*(X189-1600),500)))))))</f>
        <v>32.375</v>
      </c>
      <c r="AK189" s="4" t="n">
        <f aca="false">IF(Y189="","",IF(Y189&lt;=50,(50/50)*Y189,IF(Y189&lt;=100,50+((100-50)/(100-50))*(Y189-50),IF(Y189&lt;=168,100+((200-100)/(168-100))*(Y189-100),IF(Y189&lt;=208,200+((300-200)/(208-168))*(Y189-168),IF(Y189&lt;=748,300+((400-300)/(748-208))*(Y189-208),IF(Y189&lt;=1000,400+((500-400)/(1000-748))*(Y189-748),500)))))))</f>
        <v>29</v>
      </c>
      <c r="AL189" s="4" t="n">
        <f aca="false">ROUND(MAX(AF189,AG189,AH189,AI189,AJ189,AK189),0)</f>
        <v>102</v>
      </c>
      <c r="AM189" s="4" t="str">
        <f aca="false">IF(AL189="","",IF(AL189&lt;=50,"Good",IF(AL189&lt;=100,"Satisfactory",IF(AL189&lt;=200,"Moderate",IF(AL189&lt;=300,"Poor",IF(AL189&lt;=400,"Very Poor","Severe"))))))</f>
        <v>Moderate</v>
      </c>
    </row>
    <row r="190" customFormat="false" ht="15.75" hidden="false" customHeight="false" outlineLevel="0" collapsed="false">
      <c r="A190" s="1" t="s">
        <v>39</v>
      </c>
      <c r="B190" s="1" t="s">
        <v>40</v>
      </c>
      <c r="C190" s="1" t="n">
        <v>28.4595</v>
      </c>
      <c r="D190" s="1" t="n">
        <v>77.0266</v>
      </c>
      <c r="E190" s="5" t="n">
        <v>45908</v>
      </c>
      <c r="F190" s="6" t="s">
        <v>73</v>
      </c>
      <c r="G190" s="1" t="n">
        <v>9</v>
      </c>
      <c r="H190" s="7" t="s">
        <v>42</v>
      </c>
      <c r="I190" s="6" t="s">
        <v>43</v>
      </c>
      <c r="J190" s="7" t="s">
        <v>44</v>
      </c>
      <c r="K190" s="7" t="s">
        <v>71</v>
      </c>
      <c r="L190" s="1" t="n">
        <v>79</v>
      </c>
      <c r="M190" s="1" t="n">
        <v>24</v>
      </c>
      <c r="N190" s="1" t="n">
        <v>11.2</v>
      </c>
      <c r="O190" s="1" t="n">
        <v>0</v>
      </c>
      <c r="P190" s="6" t="s">
        <v>43</v>
      </c>
      <c r="Q190" s="6" t="s">
        <v>43</v>
      </c>
      <c r="R190" s="1" t="n">
        <v>1006.1</v>
      </c>
      <c r="S190" s="1" t="n">
        <v>100</v>
      </c>
      <c r="T190" s="1" t="n">
        <v>62.2</v>
      </c>
      <c r="U190" s="1" t="n">
        <v>68.9</v>
      </c>
      <c r="V190" s="1" t="n">
        <v>2373</v>
      </c>
      <c r="W190" s="1" t="n">
        <v>106.8</v>
      </c>
      <c r="X190" s="1" t="n">
        <v>32</v>
      </c>
      <c r="Y190" s="1" t="n">
        <v>0</v>
      </c>
      <c r="Z190" s="1" t="n">
        <v>11</v>
      </c>
      <c r="AA190" s="1" t="n">
        <v>82</v>
      </c>
      <c r="AB190" s="7" t="s">
        <v>47</v>
      </c>
      <c r="AC190" s="7" t="s">
        <v>88</v>
      </c>
      <c r="AD190" s="6" t="s">
        <v>43</v>
      </c>
      <c r="AE190" s="6" t="s">
        <v>43</v>
      </c>
      <c r="AF190" s="4" t="n">
        <f aca="false">IF(T190="","",IF(T190&lt;=30,(50/30)*T190,IF(T190&lt;=60,50+((100-50)/(60-30))*(T190-30),IF(T190&lt;=90,100+((200-100)/(90-60))*(T190-60),IF(T190&lt;=120,200+((300-200)/(120-90))*(T190-90),IF(T190&lt;=250,300+((400-300)/(250-120))*(T190-120),IF(T190&lt;=380,400+((500-400)/(380-250))*(T190-250),500)))))))</f>
        <v>107.333333333333</v>
      </c>
      <c r="AG190" s="4" t="n">
        <f aca="false">IF(U190="","",IF(U190&lt;=50,(50/50)*U190,IF(U190&lt;=100,50+((100-50)/(100-50))*(U190-50),IF(U190&lt;=250,100+((200-100)/(250-100))*(U190-100),IF(U190&lt;=350,200+((300-200)/(350-250))*(U190-250),IF(U190&lt;=430,300+((400-300)/(430-350))*(U190-350),IF(U190&lt;=600,400+((500-400)/(600-430))*(U190-430),500)))))))</f>
        <v>68.9</v>
      </c>
      <c r="AH190" s="4" t="n">
        <f aca="false">IF(V190="","",IF((V190/1000)&lt;=1,(50/1)*(V190/1000),IF((V190/1000)&lt;=2,50+((100-50)/(2-1))*(V190/1000-1),IF((V190/1000)&lt;=10,100+((200-100)/(10-2))*(V190/1000-2),IF((V190/1000)&lt;=17,200+((300-200)/(17-10))*(V190/1000-10),IF((V190/1000)&lt;=34,300+((400-300)/(34-17))*(V190/1000-17),IF((V190/1000)&lt;=57,400+((500-400)/(57-34))*(V190/1000-34),500)))))))</f>
        <v>104.6625</v>
      </c>
      <c r="AI190" s="4" t="n">
        <f aca="false">IF(W190="","",IF(W190&lt;=40,(50/40)*W190,IF(W190&lt;=80,50+((100-50)/(80-40))*(W190-40),IF(W190&lt;=180,100+((200-100)/(180-80))*(W190-80),IF(W190&lt;=280,200+((300-200)/(280-180))*(W190-180),IF(W190&lt;=400,300+((400-300)/(400-280))*(W190-280),IF(W190&lt;=800,400+((500-400)/(800-400))*(W190-400),500)))))))</f>
        <v>126.8</v>
      </c>
      <c r="AJ190" s="4" t="n">
        <f aca="false">IF(X190="","",IF(X190&lt;=40,(50/40)*X190,IF(X190&lt;=80,50+((100-50)/(80-40))*(X190-40),IF(X190&lt;=380,100+((200-100)/(380-80))*(X190-80),IF(X190&lt;=800,200+((300-200)/(800-380))*(X190-380),IF(X190&lt;=1600,300+((400-300)/(1600-800))*(X190-800),IF(X190&lt;=2100,400+((500-400)/(2100-1600))*(X190-1600),500)))))))</f>
        <v>40</v>
      </c>
      <c r="AK190" s="4" t="n">
        <f aca="false">IF(Y190="","",IF(Y190&lt;=50,(50/50)*Y190,IF(Y190&lt;=100,50+((100-50)/(100-50))*(Y190-50),IF(Y190&lt;=168,100+((200-100)/(168-100))*(Y190-100),IF(Y190&lt;=208,200+((300-200)/(208-168))*(Y190-168),IF(Y190&lt;=748,300+((400-300)/(748-208))*(Y190-208),IF(Y190&lt;=1000,400+((500-400)/(1000-748))*(Y190-748),500)))))))</f>
        <v>0</v>
      </c>
      <c r="AL190" s="4" t="n">
        <f aca="false">ROUND(MAX(AF190,AG190,AH190,AI190,AJ190,AK190),0)</f>
        <v>127</v>
      </c>
      <c r="AM190" s="4" t="str">
        <f aca="false">IF(AL190="","",IF(AL190&lt;=50,"Good",IF(AL190&lt;=100,"Satisfactory",IF(AL190&lt;=200,"Moderate",IF(AL190&lt;=300,"Poor",IF(AL190&lt;=400,"Very Poor","Severe"))))))</f>
        <v>Moderate</v>
      </c>
    </row>
    <row r="191" customFormat="false" ht="15.75" hidden="false" customHeight="false" outlineLevel="0" collapsed="false">
      <c r="A191" s="1" t="s">
        <v>39</v>
      </c>
      <c r="B191" s="1" t="s">
        <v>40</v>
      </c>
      <c r="C191" s="1" t="n">
        <v>28.4595</v>
      </c>
      <c r="D191" s="1" t="n">
        <v>77.0266</v>
      </c>
      <c r="E191" s="5" t="n">
        <v>45908</v>
      </c>
      <c r="F191" s="6" t="s">
        <v>74</v>
      </c>
      <c r="G191" s="1" t="n">
        <v>9</v>
      </c>
      <c r="H191" s="7" t="s">
        <v>42</v>
      </c>
      <c r="I191" s="6" t="s">
        <v>43</v>
      </c>
      <c r="J191" s="7" t="s">
        <v>44</v>
      </c>
      <c r="K191" s="7" t="s">
        <v>75</v>
      </c>
      <c r="L191" s="1" t="n">
        <v>78</v>
      </c>
      <c r="M191" s="1" t="n">
        <v>23.5</v>
      </c>
      <c r="N191" s="1" t="n">
        <v>12.6</v>
      </c>
      <c r="O191" s="1" t="n">
        <v>0</v>
      </c>
      <c r="P191" s="6" t="s">
        <v>43</v>
      </c>
      <c r="Q191" s="6" t="s">
        <v>43</v>
      </c>
      <c r="R191" s="1" t="n">
        <v>1006.8</v>
      </c>
      <c r="S191" s="1" t="n">
        <v>100</v>
      </c>
      <c r="T191" s="1" t="n">
        <v>72.2</v>
      </c>
      <c r="U191" s="1" t="n">
        <v>78.5</v>
      </c>
      <c r="V191" s="1" t="n">
        <v>2283</v>
      </c>
      <c r="W191" s="1" t="n">
        <v>107.5</v>
      </c>
      <c r="X191" s="1" t="n">
        <v>34.6</v>
      </c>
      <c r="Y191" s="1" t="n">
        <v>0</v>
      </c>
      <c r="Z191" s="1" t="n">
        <v>10</v>
      </c>
      <c r="AA191" s="1" t="n">
        <v>84</v>
      </c>
      <c r="AB191" s="7" t="s">
        <v>47</v>
      </c>
      <c r="AC191" s="7" t="s">
        <v>88</v>
      </c>
      <c r="AD191" s="6" t="s">
        <v>43</v>
      </c>
      <c r="AE191" s="6" t="s">
        <v>43</v>
      </c>
      <c r="AF191" s="4" t="n">
        <f aca="false">IF(T191="","",IF(T191&lt;=30,(50/30)*T191,IF(T191&lt;=60,50+((100-50)/(60-30))*(T191-30),IF(T191&lt;=90,100+((200-100)/(90-60))*(T191-60),IF(T191&lt;=120,200+((300-200)/(120-90))*(T191-90),IF(T191&lt;=250,300+((400-300)/(250-120))*(T191-120),IF(T191&lt;=380,400+((500-400)/(380-250))*(T191-250),500)))))))</f>
        <v>140.666666666667</v>
      </c>
      <c r="AG191" s="4" t="n">
        <f aca="false">IF(U191="","",IF(U191&lt;=50,(50/50)*U191,IF(U191&lt;=100,50+((100-50)/(100-50))*(U191-50),IF(U191&lt;=250,100+((200-100)/(250-100))*(U191-100),IF(U191&lt;=350,200+((300-200)/(350-250))*(U191-250),IF(U191&lt;=430,300+((400-300)/(430-350))*(U191-350),IF(U191&lt;=600,400+((500-400)/(600-430))*(U191-430),500)))))))</f>
        <v>78.5</v>
      </c>
      <c r="AH191" s="4" t="n">
        <f aca="false">IF(V191="","",IF((V191/1000)&lt;=1,(50/1)*(V191/1000),IF((V191/1000)&lt;=2,50+((100-50)/(2-1))*(V191/1000-1),IF((V191/1000)&lt;=10,100+((200-100)/(10-2))*(V191/1000-2),IF((V191/1000)&lt;=17,200+((300-200)/(17-10))*(V191/1000-10),IF((V191/1000)&lt;=34,300+((400-300)/(34-17))*(V191/1000-17),IF((V191/1000)&lt;=57,400+((500-400)/(57-34))*(V191/1000-34),500)))))))</f>
        <v>103.5375</v>
      </c>
      <c r="AI191" s="4" t="n">
        <f aca="false">IF(W191="","",IF(W191&lt;=40,(50/40)*W191,IF(W191&lt;=80,50+((100-50)/(80-40))*(W191-40),IF(W191&lt;=180,100+((200-100)/(180-80))*(W191-80),IF(W191&lt;=280,200+((300-200)/(280-180))*(W191-180),IF(W191&lt;=400,300+((400-300)/(400-280))*(W191-280),IF(W191&lt;=800,400+((500-400)/(800-400))*(W191-400),500)))))))</f>
        <v>127.5</v>
      </c>
      <c r="AJ191" s="4" t="n">
        <f aca="false">IF(X191="","",IF(X191&lt;=40,(50/40)*X191,IF(X191&lt;=80,50+((100-50)/(80-40))*(X191-40),IF(X191&lt;=380,100+((200-100)/(380-80))*(X191-80),IF(X191&lt;=800,200+((300-200)/(800-380))*(X191-380),IF(X191&lt;=1600,300+((400-300)/(1600-800))*(X191-800),IF(X191&lt;=2100,400+((500-400)/(2100-1600))*(X191-1600),500)))))))</f>
        <v>43.25</v>
      </c>
      <c r="AK191" s="4" t="n">
        <f aca="false">IF(Y191="","",IF(Y191&lt;=50,(50/50)*Y191,IF(Y191&lt;=100,50+((100-50)/(100-50))*(Y191-50),IF(Y191&lt;=168,100+((200-100)/(168-100))*(Y191-100),IF(Y191&lt;=208,200+((300-200)/(208-168))*(Y191-168),IF(Y191&lt;=748,300+((400-300)/(748-208))*(Y191-208),IF(Y191&lt;=1000,400+((500-400)/(1000-748))*(Y191-748),500)))))))</f>
        <v>0</v>
      </c>
      <c r="AL191" s="4" t="n">
        <f aca="false">ROUND(MAX(AF191,AG191,AH191,AI191,AJ191,AK191),0)</f>
        <v>141</v>
      </c>
      <c r="AM191" s="4" t="str">
        <f aca="false">IF(AL191="","",IF(AL191&lt;=50,"Good",IF(AL191&lt;=100,"Satisfactory",IF(AL191&lt;=200,"Moderate",IF(AL191&lt;=300,"Poor",IF(AL191&lt;=400,"Very Poor","Severe"))))))</f>
        <v>Moderate</v>
      </c>
    </row>
    <row r="192" customFormat="false" ht="15.75" hidden="false" customHeight="false" outlineLevel="0" collapsed="false">
      <c r="A192" s="1" t="s">
        <v>39</v>
      </c>
      <c r="B192" s="1" t="s">
        <v>40</v>
      </c>
      <c r="C192" s="1" t="n">
        <v>28.4595</v>
      </c>
      <c r="D192" s="1" t="n">
        <v>77.0266</v>
      </c>
      <c r="E192" s="5" t="n">
        <v>45908</v>
      </c>
      <c r="F192" s="6" t="s">
        <v>76</v>
      </c>
      <c r="G192" s="1" t="n">
        <v>9</v>
      </c>
      <c r="H192" s="7" t="s">
        <v>42</v>
      </c>
      <c r="I192" s="6" t="s">
        <v>43</v>
      </c>
      <c r="J192" s="7" t="s">
        <v>44</v>
      </c>
      <c r="K192" s="7" t="s">
        <v>75</v>
      </c>
      <c r="L192" s="1" t="n">
        <v>78</v>
      </c>
      <c r="M192" s="1" t="n">
        <v>23.3</v>
      </c>
      <c r="N192" s="1" t="n">
        <v>12.6</v>
      </c>
      <c r="O192" s="1" t="n">
        <v>0</v>
      </c>
      <c r="P192" s="6" t="s">
        <v>43</v>
      </c>
      <c r="Q192" s="6" t="s">
        <v>43</v>
      </c>
      <c r="R192" s="1" t="n">
        <v>1006.8</v>
      </c>
      <c r="S192" s="1" t="n">
        <v>100</v>
      </c>
      <c r="T192" s="1" t="n">
        <v>73.8</v>
      </c>
      <c r="U192" s="1" t="n">
        <v>79.6</v>
      </c>
      <c r="V192" s="1" t="n">
        <v>1892</v>
      </c>
      <c r="W192" s="1" t="n">
        <v>96</v>
      </c>
      <c r="X192" s="1" t="n">
        <v>35.2</v>
      </c>
      <c r="Y192" s="1" t="n">
        <v>0</v>
      </c>
      <c r="Z192" s="1" t="n">
        <v>9</v>
      </c>
      <c r="AA192" s="1" t="n">
        <v>86</v>
      </c>
      <c r="AB192" s="7" t="s">
        <v>47</v>
      </c>
      <c r="AC192" s="7" t="s">
        <v>88</v>
      </c>
      <c r="AD192" s="6" t="s">
        <v>43</v>
      </c>
      <c r="AE192" s="6" t="s">
        <v>43</v>
      </c>
      <c r="AF192" s="4" t="n">
        <f aca="false">IF(T192="","",IF(T192&lt;=30,(50/30)*T192,IF(T192&lt;=60,50+((100-50)/(60-30))*(T192-30),IF(T192&lt;=90,100+((200-100)/(90-60))*(T192-60),IF(T192&lt;=120,200+((300-200)/(120-90))*(T192-90),IF(T192&lt;=250,300+((400-300)/(250-120))*(T192-120),IF(T192&lt;=380,400+((500-400)/(380-250))*(T192-250),500)))))))</f>
        <v>146</v>
      </c>
      <c r="AG192" s="4" t="n">
        <f aca="false">IF(U192="","",IF(U192&lt;=50,(50/50)*U192,IF(U192&lt;=100,50+((100-50)/(100-50))*(U192-50),IF(U192&lt;=250,100+((200-100)/(250-100))*(U192-100),IF(U192&lt;=350,200+((300-200)/(350-250))*(U192-250),IF(U192&lt;=430,300+((400-300)/(430-350))*(U192-350),IF(U192&lt;=600,400+((500-400)/(600-430))*(U192-430),500)))))))</f>
        <v>79.6</v>
      </c>
      <c r="AH192" s="4" t="n">
        <f aca="false">IF(V192="","",IF((V192/1000)&lt;=1,(50/1)*(V192/1000),IF((V192/1000)&lt;=2,50+((100-50)/(2-1))*(V192/1000-1),IF((V192/1000)&lt;=10,100+((200-100)/(10-2))*(V192/1000-2),IF((V192/1000)&lt;=17,200+((300-200)/(17-10))*(V192/1000-10),IF((V192/1000)&lt;=34,300+((400-300)/(34-17))*(V192/1000-17),IF((V192/1000)&lt;=57,400+((500-400)/(57-34))*(V192/1000-34),500)))))))</f>
        <v>94.6</v>
      </c>
      <c r="AI192" s="4" t="n">
        <f aca="false">IF(W192="","",IF(W192&lt;=40,(50/40)*W192,IF(W192&lt;=80,50+((100-50)/(80-40))*(W192-40),IF(W192&lt;=180,100+((200-100)/(180-80))*(W192-80),IF(W192&lt;=280,200+((300-200)/(280-180))*(W192-180),IF(W192&lt;=400,300+((400-300)/(400-280))*(W192-280),IF(W192&lt;=800,400+((500-400)/(800-400))*(W192-400),500)))))))</f>
        <v>116</v>
      </c>
      <c r="AJ192" s="4" t="n">
        <f aca="false">IF(X192="","",IF(X192&lt;=40,(50/40)*X192,IF(X192&lt;=80,50+((100-50)/(80-40))*(X192-40),IF(X192&lt;=380,100+((200-100)/(380-80))*(X192-80),IF(X192&lt;=800,200+((300-200)/(800-380))*(X192-380),IF(X192&lt;=1600,300+((400-300)/(1600-800))*(X192-800),IF(X192&lt;=2100,400+((500-400)/(2100-1600))*(X192-1600),500)))))))</f>
        <v>44</v>
      </c>
      <c r="AK192" s="4" t="n">
        <f aca="false">IF(Y192="","",IF(Y192&lt;=50,(50/50)*Y192,IF(Y192&lt;=100,50+((100-50)/(100-50))*(Y192-50),IF(Y192&lt;=168,100+((200-100)/(168-100))*(Y192-100),IF(Y192&lt;=208,200+((300-200)/(208-168))*(Y192-168),IF(Y192&lt;=748,300+((400-300)/(748-208))*(Y192-208),IF(Y192&lt;=1000,400+((500-400)/(1000-748))*(Y192-748),500)))))))</f>
        <v>0</v>
      </c>
      <c r="AL192" s="4" t="n">
        <f aca="false">ROUND(MAX(AF192,AG192,AH192,AI192,AJ192,AK192),0)</f>
        <v>146</v>
      </c>
      <c r="AM192" s="4" t="str">
        <f aca="false">IF(AL192="","",IF(AL192&lt;=50,"Good",IF(AL192&lt;=100,"Satisfactory",IF(AL192&lt;=200,"Moderate",IF(AL192&lt;=300,"Poor",IF(AL192&lt;=400,"Very Poor","Severe"))))))</f>
        <v>Moderate</v>
      </c>
    </row>
    <row r="193" customFormat="false" ht="15.75" hidden="false" customHeight="false" outlineLevel="0" collapsed="false">
      <c r="A193" s="1" t="s">
        <v>39</v>
      </c>
      <c r="B193" s="1" t="s">
        <v>40</v>
      </c>
      <c r="C193" s="1" t="n">
        <v>28.4595</v>
      </c>
      <c r="D193" s="1" t="n">
        <v>77.0266</v>
      </c>
      <c r="E193" s="5" t="n">
        <v>45908</v>
      </c>
      <c r="F193" s="6" t="s">
        <v>77</v>
      </c>
      <c r="G193" s="1" t="n">
        <v>9</v>
      </c>
      <c r="H193" s="7" t="s">
        <v>42</v>
      </c>
      <c r="I193" s="6" t="s">
        <v>43</v>
      </c>
      <c r="J193" s="7" t="s">
        <v>44</v>
      </c>
      <c r="K193" s="7" t="s">
        <v>75</v>
      </c>
      <c r="L193" s="1" t="n">
        <v>80</v>
      </c>
      <c r="M193" s="1" t="n">
        <v>23.3</v>
      </c>
      <c r="N193" s="1" t="n">
        <v>10.1</v>
      </c>
      <c r="O193" s="1" t="n">
        <v>0</v>
      </c>
      <c r="P193" s="6" t="s">
        <v>43</v>
      </c>
      <c r="Q193" s="6" t="s">
        <v>43</v>
      </c>
      <c r="R193" s="1" t="n">
        <v>1006.7</v>
      </c>
      <c r="S193" s="1" t="n">
        <v>99</v>
      </c>
      <c r="T193" s="1" t="n">
        <v>71.5</v>
      </c>
      <c r="U193" s="1" t="n">
        <v>77.5</v>
      </c>
      <c r="V193" s="1" t="n">
        <v>1522</v>
      </c>
      <c r="W193" s="1" t="n">
        <v>84.4</v>
      </c>
      <c r="X193" s="1" t="n">
        <v>34.6</v>
      </c>
      <c r="Y193" s="1" t="n">
        <v>2</v>
      </c>
      <c r="Z193" s="1" t="n">
        <v>10</v>
      </c>
      <c r="AA193" s="1" t="n">
        <v>89</v>
      </c>
      <c r="AB193" s="7" t="s">
        <v>47</v>
      </c>
      <c r="AC193" s="7" t="s">
        <v>88</v>
      </c>
      <c r="AD193" s="6" t="s">
        <v>43</v>
      </c>
      <c r="AE193" s="6" t="s">
        <v>43</v>
      </c>
      <c r="AF193" s="4" t="n">
        <f aca="false">IF(T193="","",IF(T193&lt;=30,(50/30)*T193,IF(T193&lt;=60,50+((100-50)/(60-30))*(T193-30),IF(T193&lt;=90,100+((200-100)/(90-60))*(T193-60),IF(T193&lt;=120,200+((300-200)/(120-90))*(T193-90),IF(T193&lt;=250,300+((400-300)/(250-120))*(T193-120),IF(T193&lt;=380,400+((500-400)/(380-250))*(T193-250),500)))))))</f>
        <v>138.333333333333</v>
      </c>
      <c r="AG193" s="4" t="n">
        <f aca="false">IF(U193="","",IF(U193&lt;=50,(50/50)*U193,IF(U193&lt;=100,50+((100-50)/(100-50))*(U193-50),IF(U193&lt;=250,100+((200-100)/(250-100))*(U193-100),IF(U193&lt;=350,200+((300-200)/(350-250))*(U193-250),IF(U193&lt;=430,300+((400-300)/(430-350))*(U193-350),IF(U193&lt;=600,400+((500-400)/(600-430))*(U193-430),500)))))))</f>
        <v>77.5</v>
      </c>
      <c r="AH193" s="4" t="n">
        <f aca="false">IF(V193="","",IF((V193/1000)&lt;=1,(50/1)*(V193/1000),IF((V193/1000)&lt;=2,50+((100-50)/(2-1))*(V193/1000-1),IF((V193/1000)&lt;=10,100+((200-100)/(10-2))*(V193/1000-2),IF((V193/1000)&lt;=17,200+((300-200)/(17-10))*(V193/1000-10),IF((V193/1000)&lt;=34,300+((400-300)/(34-17))*(V193/1000-17),IF((V193/1000)&lt;=57,400+((500-400)/(57-34))*(V193/1000-34),500)))))))</f>
        <v>76.1</v>
      </c>
      <c r="AI193" s="4" t="n">
        <f aca="false">IF(W193="","",IF(W193&lt;=40,(50/40)*W193,IF(W193&lt;=80,50+((100-50)/(80-40))*(W193-40),IF(W193&lt;=180,100+((200-100)/(180-80))*(W193-80),IF(W193&lt;=280,200+((300-200)/(280-180))*(W193-180),IF(W193&lt;=400,300+((400-300)/(400-280))*(W193-280),IF(W193&lt;=800,400+((500-400)/(800-400))*(W193-400),500)))))))</f>
        <v>104.4</v>
      </c>
      <c r="AJ193" s="4" t="n">
        <f aca="false">IF(X193="","",IF(X193&lt;=40,(50/40)*X193,IF(X193&lt;=80,50+((100-50)/(80-40))*(X193-40),IF(X193&lt;=380,100+((200-100)/(380-80))*(X193-80),IF(X193&lt;=800,200+((300-200)/(800-380))*(X193-380),IF(X193&lt;=1600,300+((400-300)/(1600-800))*(X193-800),IF(X193&lt;=2100,400+((500-400)/(2100-1600))*(X193-1600),500)))))))</f>
        <v>43.25</v>
      </c>
      <c r="AK193" s="4" t="n">
        <f aca="false">IF(Y193="","",IF(Y193&lt;=50,(50/50)*Y193,IF(Y193&lt;=100,50+((100-50)/(100-50))*(Y193-50),IF(Y193&lt;=168,100+((200-100)/(168-100))*(Y193-100),IF(Y193&lt;=208,200+((300-200)/(208-168))*(Y193-168),IF(Y193&lt;=748,300+((400-300)/(748-208))*(Y193-208),IF(Y193&lt;=1000,400+((500-400)/(1000-748))*(Y193-748),500)))))))</f>
        <v>2</v>
      </c>
      <c r="AL193" s="4" t="n">
        <f aca="false">ROUND(MAX(AF193,AG193,AH193,AI193,AJ193,AK193),0)</f>
        <v>138</v>
      </c>
      <c r="AM193" s="4" t="str">
        <f aca="false">IF(AL193="","",IF(AL193&lt;=50,"Good",IF(AL193&lt;=100,"Satisfactory",IF(AL193&lt;=200,"Moderate",IF(AL193&lt;=300,"Poor",IF(AL193&lt;=400,"Very Poor","Severe"))))))</f>
        <v>Moderate</v>
      </c>
    </row>
    <row r="194" customFormat="false" ht="15.75" hidden="false" customHeight="false" outlineLevel="0" collapsed="false">
      <c r="A194" s="1" t="s">
        <v>39</v>
      </c>
      <c r="B194" s="1" t="s">
        <v>40</v>
      </c>
      <c r="C194" s="1" t="n">
        <v>28.4595</v>
      </c>
      <c r="D194" s="1" t="n">
        <v>77.0266</v>
      </c>
      <c r="E194" s="5" t="n">
        <v>45909</v>
      </c>
      <c r="F194" s="6" t="s">
        <v>41</v>
      </c>
      <c r="G194" s="1" t="n">
        <v>9</v>
      </c>
      <c r="H194" s="7" t="s">
        <v>78</v>
      </c>
      <c r="I194" s="6" t="s">
        <v>43</v>
      </c>
      <c r="J194" s="7" t="s">
        <v>44</v>
      </c>
      <c r="K194" s="7" t="s">
        <v>45</v>
      </c>
      <c r="L194" s="1" t="n">
        <v>83</v>
      </c>
      <c r="M194" s="1" t="n">
        <v>23.5</v>
      </c>
      <c r="N194" s="1" t="n">
        <v>9.7</v>
      </c>
      <c r="O194" s="1" t="n">
        <v>0</v>
      </c>
      <c r="P194" s="6" t="s">
        <v>43</v>
      </c>
      <c r="Q194" s="6" t="s">
        <v>43</v>
      </c>
      <c r="R194" s="1" t="n">
        <v>1006.7</v>
      </c>
      <c r="S194" s="1" t="n">
        <v>26</v>
      </c>
      <c r="T194" s="1" t="n">
        <v>66.4</v>
      </c>
      <c r="U194" s="1" t="n">
        <v>73.6</v>
      </c>
      <c r="V194" s="1" t="n">
        <v>1258</v>
      </c>
      <c r="W194" s="1" t="n">
        <v>76.7</v>
      </c>
      <c r="X194" s="1" t="n">
        <v>32.5</v>
      </c>
      <c r="Y194" s="1" t="n">
        <v>3</v>
      </c>
      <c r="Z194" s="1" t="n">
        <v>6</v>
      </c>
      <c r="AA194" s="1" t="n">
        <v>93</v>
      </c>
      <c r="AB194" s="7" t="s">
        <v>47</v>
      </c>
      <c r="AC194" s="7" t="s">
        <v>88</v>
      </c>
      <c r="AD194" s="6" t="s">
        <v>43</v>
      </c>
      <c r="AE194" s="6" t="s">
        <v>43</v>
      </c>
      <c r="AF194" s="4" t="n">
        <f aca="false">IF(T194="","",IF(T194&lt;=30,(50/30)*T194,IF(T194&lt;=60,50+((100-50)/(60-30))*(T194-30),IF(T194&lt;=90,100+((200-100)/(90-60))*(T194-60),IF(T194&lt;=120,200+((300-200)/(120-90))*(T194-90),IF(T194&lt;=250,300+((400-300)/(250-120))*(T194-120),IF(T194&lt;=380,400+((500-400)/(380-250))*(T194-250),500)))))))</f>
        <v>121.333333333333</v>
      </c>
      <c r="AG194" s="4" t="n">
        <f aca="false">IF(U194="","",IF(U194&lt;=50,(50/50)*U194,IF(U194&lt;=100,50+((100-50)/(100-50))*(U194-50),IF(U194&lt;=250,100+((200-100)/(250-100))*(U194-100),IF(U194&lt;=350,200+((300-200)/(350-250))*(U194-250),IF(U194&lt;=430,300+((400-300)/(430-350))*(U194-350),IF(U194&lt;=600,400+((500-400)/(600-430))*(U194-430),500)))))))</f>
        <v>73.6</v>
      </c>
      <c r="AH194" s="4" t="n">
        <f aca="false">IF(V194="","",IF((V194/1000)&lt;=1,(50/1)*(V194/1000),IF((V194/1000)&lt;=2,50+((100-50)/(2-1))*(V194/1000-1),IF((V194/1000)&lt;=10,100+((200-100)/(10-2))*(V194/1000-2),IF((V194/1000)&lt;=17,200+((300-200)/(17-10))*(V194/1000-10),IF((V194/1000)&lt;=34,300+((400-300)/(34-17))*(V194/1000-17),IF((V194/1000)&lt;=57,400+((500-400)/(57-34))*(V194/1000-34),500)))))))</f>
        <v>62.9</v>
      </c>
      <c r="AI194" s="4" t="n">
        <f aca="false">IF(W194="","",IF(W194&lt;=40,(50/40)*W194,IF(W194&lt;=80,50+((100-50)/(80-40))*(W194-40),IF(W194&lt;=180,100+((200-100)/(180-80))*(W194-80),IF(W194&lt;=280,200+((300-200)/(280-180))*(W194-180),IF(W194&lt;=400,300+((400-300)/(400-280))*(W194-280),IF(W194&lt;=800,400+((500-400)/(800-400))*(W194-400),500)))))))</f>
        <v>95.875</v>
      </c>
      <c r="AJ194" s="4" t="n">
        <f aca="false">IF(X194="","",IF(X194&lt;=40,(50/40)*X194,IF(X194&lt;=80,50+((100-50)/(80-40))*(X194-40),IF(X194&lt;=380,100+((200-100)/(380-80))*(X194-80),IF(X194&lt;=800,200+((300-200)/(800-380))*(X194-380),IF(X194&lt;=1600,300+((400-300)/(1600-800))*(X194-800),IF(X194&lt;=2100,400+((500-400)/(2100-1600))*(X194-1600),500)))))))</f>
        <v>40.625</v>
      </c>
      <c r="AK194" s="4" t="n">
        <f aca="false">IF(Y194="","",IF(Y194&lt;=50,(50/50)*Y194,IF(Y194&lt;=100,50+((100-50)/(100-50))*(Y194-50),IF(Y194&lt;=168,100+((200-100)/(168-100))*(Y194-100),IF(Y194&lt;=208,200+((300-200)/(208-168))*(Y194-168),IF(Y194&lt;=748,300+((400-300)/(748-208))*(Y194-208),IF(Y194&lt;=1000,400+((500-400)/(1000-748))*(Y194-748),500)))))))</f>
        <v>3</v>
      </c>
      <c r="AL194" s="4" t="n">
        <f aca="false">ROUND(MAX(AF194,AG194,AH194,AI194,AJ194,AK194),0)</f>
        <v>121</v>
      </c>
      <c r="AM194" s="4" t="str">
        <f aca="false">IF(AL194="","",IF(AL194&lt;=50,"Good",IF(AL194&lt;=100,"Satisfactory",IF(AL194&lt;=200,"Moderate",IF(AL194&lt;=300,"Poor",IF(AL194&lt;=400,"Very Poor","Severe"))))))</f>
        <v>Moderate</v>
      </c>
    </row>
    <row r="195" customFormat="false" ht="15.75" hidden="false" customHeight="false" outlineLevel="0" collapsed="false">
      <c r="A195" s="1" t="s">
        <v>39</v>
      </c>
      <c r="B195" s="1" t="s">
        <v>40</v>
      </c>
      <c r="C195" s="1" t="n">
        <v>28.4595</v>
      </c>
      <c r="D195" s="1" t="n">
        <v>77.0266</v>
      </c>
      <c r="E195" s="5" t="n">
        <v>45909</v>
      </c>
      <c r="F195" s="6" t="s">
        <v>49</v>
      </c>
      <c r="G195" s="1" t="n">
        <v>9</v>
      </c>
      <c r="H195" s="7" t="s">
        <v>78</v>
      </c>
      <c r="I195" s="6" t="s">
        <v>43</v>
      </c>
      <c r="J195" s="7" t="s">
        <v>44</v>
      </c>
      <c r="K195" s="7" t="s">
        <v>45</v>
      </c>
      <c r="L195" s="1" t="n">
        <v>85</v>
      </c>
      <c r="M195" s="1" t="n">
        <v>23.6</v>
      </c>
      <c r="N195" s="1" t="n">
        <v>14</v>
      </c>
      <c r="O195" s="1" t="n">
        <v>0</v>
      </c>
      <c r="P195" s="6" t="s">
        <v>43</v>
      </c>
      <c r="Q195" s="6" t="s">
        <v>43</v>
      </c>
      <c r="R195" s="1" t="n">
        <v>1006.4</v>
      </c>
      <c r="S195" s="1" t="n">
        <v>19</v>
      </c>
      <c r="T195" s="1" t="n">
        <v>62.2</v>
      </c>
      <c r="U195" s="1" t="n">
        <v>72.4</v>
      </c>
      <c r="V195" s="1" t="n">
        <v>1015</v>
      </c>
      <c r="W195" s="1" t="n">
        <v>69</v>
      </c>
      <c r="X195" s="1" t="n">
        <v>29</v>
      </c>
      <c r="Y195" s="1" t="n">
        <v>5</v>
      </c>
      <c r="Z195" s="1" t="n">
        <v>3</v>
      </c>
      <c r="AA195" s="1" t="n">
        <v>96</v>
      </c>
      <c r="AB195" s="7" t="s">
        <v>47</v>
      </c>
      <c r="AC195" s="7" t="s">
        <v>88</v>
      </c>
      <c r="AD195" s="6" t="s">
        <v>43</v>
      </c>
      <c r="AE195" s="6" t="s">
        <v>43</v>
      </c>
      <c r="AF195" s="4" t="n">
        <f aca="false">IF(T195="","",IF(T195&lt;=30,(50/30)*T195,IF(T195&lt;=60,50+((100-50)/(60-30))*(T195-30),IF(T195&lt;=90,100+((200-100)/(90-60))*(T195-60),IF(T195&lt;=120,200+((300-200)/(120-90))*(T195-90),IF(T195&lt;=250,300+((400-300)/(250-120))*(T195-120),IF(T195&lt;=380,400+((500-400)/(380-250))*(T195-250),500)))))))</f>
        <v>107.333333333333</v>
      </c>
      <c r="AG195" s="4" t="n">
        <f aca="false">IF(U195="","",IF(U195&lt;=50,(50/50)*U195,IF(U195&lt;=100,50+((100-50)/(100-50))*(U195-50),IF(U195&lt;=250,100+((200-100)/(250-100))*(U195-100),IF(U195&lt;=350,200+((300-200)/(350-250))*(U195-250),IF(U195&lt;=430,300+((400-300)/(430-350))*(U195-350),IF(U195&lt;=600,400+((500-400)/(600-430))*(U195-430),500)))))))</f>
        <v>72.4</v>
      </c>
      <c r="AH195" s="4" t="n">
        <f aca="false">IF(V195="","",IF((V195/1000)&lt;=1,(50/1)*(V195/1000),IF((V195/1000)&lt;=2,50+((100-50)/(2-1))*(V195/1000-1),IF((V195/1000)&lt;=10,100+((200-100)/(10-2))*(V195/1000-2),IF((V195/1000)&lt;=17,200+((300-200)/(17-10))*(V195/1000-10),IF((V195/1000)&lt;=34,300+((400-300)/(34-17))*(V195/1000-17),IF((V195/1000)&lt;=57,400+((500-400)/(57-34))*(V195/1000-34),500)))))))</f>
        <v>50.75</v>
      </c>
      <c r="AI195" s="4" t="n">
        <f aca="false">IF(W195="","",IF(W195&lt;=40,(50/40)*W195,IF(W195&lt;=80,50+((100-50)/(80-40))*(W195-40),IF(W195&lt;=180,100+((200-100)/(180-80))*(W195-80),IF(W195&lt;=280,200+((300-200)/(280-180))*(W195-180),IF(W195&lt;=400,300+((400-300)/(400-280))*(W195-280),IF(W195&lt;=800,400+((500-400)/(800-400))*(W195-400),500)))))))</f>
        <v>86.25</v>
      </c>
      <c r="AJ195" s="4" t="n">
        <f aca="false">IF(X195="","",IF(X195&lt;=40,(50/40)*X195,IF(X195&lt;=80,50+((100-50)/(80-40))*(X195-40),IF(X195&lt;=380,100+((200-100)/(380-80))*(X195-80),IF(X195&lt;=800,200+((300-200)/(800-380))*(X195-380),IF(X195&lt;=1600,300+((400-300)/(1600-800))*(X195-800),IF(X195&lt;=2100,400+((500-400)/(2100-1600))*(X195-1600),500)))))))</f>
        <v>36.25</v>
      </c>
      <c r="AK195" s="4" t="n">
        <f aca="false">IF(Y195="","",IF(Y195&lt;=50,(50/50)*Y195,IF(Y195&lt;=100,50+((100-50)/(100-50))*(Y195-50),IF(Y195&lt;=168,100+((200-100)/(168-100))*(Y195-100),IF(Y195&lt;=208,200+((300-200)/(208-168))*(Y195-168),IF(Y195&lt;=748,300+((400-300)/(748-208))*(Y195-208),IF(Y195&lt;=1000,400+((500-400)/(1000-748))*(Y195-748),500)))))))</f>
        <v>5</v>
      </c>
      <c r="AL195" s="4" t="n">
        <f aca="false">ROUND(MAX(AF195,AG195,AH195,AI195,AJ195,AK195),0)</f>
        <v>107</v>
      </c>
      <c r="AM195" s="4" t="str">
        <f aca="false">IF(AL195="","",IF(AL195&lt;=50,"Good",IF(AL195&lt;=100,"Satisfactory",IF(AL195&lt;=200,"Moderate",IF(AL195&lt;=300,"Poor",IF(AL195&lt;=400,"Very Poor","Severe"))))))</f>
        <v>Moderate</v>
      </c>
    </row>
    <row r="196" customFormat="false" ht="15.75" hidden="false" customHeight="false" outlineLevel="0" collapsed="false">
      <c r="A196" s="1" t="s">
        <v>39</v>
      </c>
      <c r="B196" s="1" t="s">
        <v>40</v>
      </c>
      <c r="C196" s="1" t="n">
        <v>28.4595</v>
      </c>
      <c r="D196" s="1" t="n">
        <v>77.0266</v>
      </c>
      <c r="E196" s="5" t="n">
        <v>45909</v>
      </c>
      <c r="F196" s="6" t="s">
        <v>51</v>
      </c>
      <c r="G196" s="1" t="n">
        <v>9</v>
      </c>
      <c r="H196" s="7" t="s">
        <v>78</v>
      </c>
      <c r="I196" s="6" t="s">
        <v>43</v>
      </c>
      <c r="J196" s="7" t="s">
        <v>44</v>
      </c>
      <c r="K196" s="7" t="s">
        <v>45</v>
      </c>
      <c r="L196" s="1" t="n">
        <v>87</v>
      </c>
      <c r="M196" s="1" t="n">
        <v>23.6</v>
      </c>
      <c r="N196" s="1" t="n">
        <v>14.8</v>
      </c>
      <c r="O196" s="1" t="n">
        <v>0</v>
      </c>
      <c r="P196" s="6" t="s">
        <v>43</v>
      </c>
      <c r="Q196" s="6" t="s">
        <v>43</v>
      </c>
      <c r="R196" s="1" t="n">
        <v>1006.1</v>
      </c>
      <c r="S196" s="1" t="n">
        <v>8</v>
      </c>
      <c r="T196" s="1" t="n">
        <v>57.7</v>
      </c>
      <c r="U196" s="1" t="n">
        <v>71</v>
      </c>
      <c r="V196" s="1" t="n">
        <v>852</v>
      </c>
      <c r="W196" s="1" t="n">
        <v>61.4</v>
      </c>
      <c r="X196" s="1" t="n">
        <v>25.6</v>
      </c>
      <c r="Y196" s="1" t="n">
        <v>7</v>
      </c>
      <c r="Z196" s="1" t="n">
        <v>25</v>
      </c>
      <c r="AA196" s="1" t="n">
        <v>98</v>
      </c>
      <c r="AB196" s="7" t="s">
        <v>47</v>
      </c>
      <c r="AC196" s="7" t="s">
        <v>48</v>
      </c>
      <c r="AD196" s="6" t="s">
        <v>43</v>
      </c>
      <c r="AE196" s="6" t="s">
        <v>43</v>
      </c>
      <c r="AF196" s="4" t="n">
        <f aca="false">IF(T196="","",IF(T196&lt;=30,(50/30)*T196,IF(T196&lt;=60,50+((100-50)/(60-30))*(T196-30),IF(T196&lt;=90,100+((200-100)/(90-60))*(T196-60),IF(T196&lt;=120,200+((300-200)/(120-90))*(T196-90),IF(T196&lt;=250,300+((400-300)/(250-120))*(T196-120),IF(T196&lt;=380,400+((500-400)/(380-250))*(T196-250),500)))))))</f>
        <v>96.1666666666667</v>
      </c>
      <c r="AG196" s="4" t="n">
        <f aca="false">IF(U196="","",IF(U196&lt;=50,(50/50)*U196,IF(U196&lt;=100,50+((100-50)/(100-50))*(U196-50),IF(U196&lt;=250,100+((200-100)/(250-100))*(U196-100),IF(U196&lt;=350,200+((300-200)/(350-250))*(U196-250),IF(U196&lt;=430,300+((400-300)/(430-350))*(U196-350),IF(U196&lt;=600,400+((500-400)/(600-430))*(U196-430),500)))))))</f>
        <v>71</v>
      </c>
      <c r="AH196" s="4" t="n">
        <f aca="false">IF(V196="","",IF((V196/1000)&lt;=1,(50/1)*(V196/1000),IF((V196/1000)&lt;=2,50+((100-50)/(2-1))*(V196/1000-1),IF((V196/1000)&lt;=10,100+((200-100)/(10-2))*(V196/1000-2),IF((V196/1000)&lt;=17,200+((300-200)/(17-10))*(V196/1000-10),IF((V196/1000)&lt;=34,300+((400-300)/(34-17))*(V196/1000-17),IF((V196/1000)&lt;=57,400+((500-400)/(57-34))*(V196/1000-34),500)))))))</f>
        <v>42.6</v>
      </c>
      <c r="AI196" s="4" t="n">
        <f aca="false">IF(W196="","",IF(W196&lt;=40,(50/40)*W196,IF(W196&lt;=80,50+((100-50)/(80-40))*(W196-40),IF(W196&lt;=180,100+((200-100)/(180-80))*(W196-80),IF(W196&lt;=280,200+((300-200)/(280-180))*(W196-180),IF(W196&lt;=400,300+((400-300)/(400-280))*(W196-280),IF(W196&lt;=800,400+((500-400)/(800-400))*(W196-400),500)))))))</f>
        <v>76.75</v>
      </c>
      <c r="AJ196" s="4" t="n">
        <f aca="false">IF(X196="","",IF(X196&lt;=40,(50/40)*X196,IF(X196&lt;=80,50+((100-50)/(80-40))*(X196-40),IF(X196&lt;=380,100+((200-100)/(380-80))*(X196-80),IF(X196&lt;=800,200+((300-200)/(800-380))*(X196-380),IF(X196&lt;=1600,300+((400-300)/(1600-800))*(X196-800),IF(X196&lt;=2100,400+((500-400)/(2100-1600))*(X196-1600),500)))))))</f>
        <v>32</v>
      </c>
      <c r="AK196" s="4" t="n">
        <f aca="false">IF(Y196="","",IF(Y196&lt;=50,(50/50)*Y196,IF(Y196&lt;=100,50+((100-50)/(100-50))*(Y196-50),IF(Y196&lt;=168,100+((200-100)/(168-100))*(Y196-100),IF(Y196&lt;=208,200+((300-200)/(208-168))*(Y196-168),IF(Y196&lt;=748,300+((400-300)/(748-208))*(Y196-208),IF(Y196&lt;=1000,400+((500-400)/(1000-748))*(Y196-748),500)))))))</f>
        <v>7</v>
      </c>
      <c r="AL196" s="4" t="n">
        <f aca="false">ROUND(MAX(AF196,AG196,AH196,AI196,AJ196,AK196),0)</f>
        <v>96</v>
      </c>
      <c r="AM196" s="4" t="str">
        <f aca="false">IF(AL196="","",IF(AL196&lt;=50,"Good",IF(AL196&lt;=100,"Satisfactory",IF(AL196&lt;=200,"Moderate",IF(AL196&lt;=300,"Poor",IF(AL196&lt;=400,"Very Poor","Severe"))))))</f>
        <v>Satisfactory</v>
      </c>
    </row>
    <row r="197" customFormat="false" ht="15.75" hidden="false" customHeight="false" outlineLevel="0" collapsed="false">
      <c r="A197" s="1" t="s">
        <v>39</v>
      </c>
      <c r="B197" s="1" t="s">
        <v>40</v>
      </c>
      <c r="C197" s="1" t="n">
        <v>28.4595</v>
      </c>
      <c r="D197" s="1" t="n">
        <v>77.0266</v>
      </c>
      <c r="E197" s="5" t="n">
        <v>45909</v>
      </c>
      <c r="F197" s="6" t="s">
        <v>52</v>
      </c>
      <c r="G197" s="1" t="n">
        <v>9</v>
      </c>
      <c r="H197" s="7" t="s">
        <v>78</v>
      </c>
      <c r="I197" s="6" t="s">
        <v>43</v>
      </c>
      <c r="J197" s="7" t="s">
        <v>44</v>
      </c>
      <c r="K197" s="7" t="s">
        <v>45</v>
      </c>
      <c r="L197" s="1" t="n">
        <v>88</v>
      </c>
      <c r="M197" s="1" t="n">
        <v>23.6</v>
      </c>
      <c r="N197" s="1" t="n">
        <v>13.3</v>
      </c>
      <c r="O197" s="1" t="n">
        <v>0</v>
      </c>
      <c r="P197" s="6" t="s">
        <v>43</v>
      </c>
      <c r="Q197" s="6" t="s">
        <v>43</v>
      </c>
      <c r="R197" s="1" t="n">
        <v>1005.9</v>
      </c>
      <c r="S197" s="1" t="n">
        <v>14</v>
      </c>
      <c r="T197" s="1" t="n">
        <v>51.1</v>
      </c>
      <c r="U197" s="1" t="n">
        <v>70.8</v>
      </c>
      <c r="V197" s="1" t="n">
        <v>815</v>
      </c>
      <c r="W197" s="1" t="n">
        <v>53.5</v>
      </c>
      <c r="X197" s="1" t="n">
        <v>22.4</v>
      </c>
      <c r="Y197" s="1" t="n">
        <v>10</v>
      </c>
      <c r="Z197" s="1" t="n">
        <v>87</v>
      </c>
      <c r="AA197" s="1" t="n">
        <v>101</v>
      </c>
      <c r="AB197" s="7" t="s">
        <v>81</v>
      </c>
      <c r="AC197" s="7" t="s">
        <v>82</v>
      </c>
      <c r="AD197" s="7" t="s">
        <v>83</v>
      </c>
      <c r="AE197" s="7" t="s">
        <v>84</v>
      </c>
      <c r="AF197" s="4" t="n">
        <f aca="false">IF(T197="","",IF(T197&lt;=30,(50/30)*T197,IF(T197&lt;=60,50+((100-50)/(60-30))*(T197-30),IF(T197&lt;=90,100+((200-100)/(90-60))*(T197-60),IF(T197&lt;=120,200+((300-200)/(120-90))*(T197-90),IF(T197&lt;=250,300+((400-300)/(250-120))*(T197-120),IF(T197&lt;=380,400+((500-400)/(380-250))*(T197-250),500)))))))</f>
        <v>85.1666666666667</v>
      </c>
      <c r="AG197" s="4" t="n">
        <f aca="false">IF(U197="","",IF(U197&lt;=50,(50/50)*U197,IF(U197&lt;=100,50+((100-50)/(100-50))*(U197-50),IF(U197&lt;=250,100+((200-100)/(250-100))*(U197-100),IF(U197&lt;=350,200+((300-200)/(350-250))*(U197-250),IF(U197&lt;=430,300+((400-300)/(430-350))*(U197-350),IF(U197&lt;=600,400+((500-400)/(600-430))*(U197-430),500)))))))</f>
        <v>70.8</v>
      </c>
      <c r="AH197" s="4" t="n">
        <f aca="false">IF(V197="","",IF((V197/1000)&lt;=1,(50/1)*(V197/1000),IF((V197/1000)&lt;=2,50+((100-50)/(2-1))*(V197/1000-1),IF((V197/1000)&lt;=10,100+((200-100)/(10-2))*(V197/1000-2),IF((V197/1000)&lt;=17,200+((300-200)/(17-10))*(V197/1000-10),IF((V197/1000)&lt;=34,300+((400-300)/(34-17))*(V197/1000-17),IF((V197/1000)&lt;=57,400+((500-400)/(57-34))*(V197/1000-34),500)))))))</f>
        <v>40.75</v>
      </c>
      <c r="AI197" s="4" t="n">
        <f aca="false">IF(W197="","",IF(W197&lt;=40,(50/40)*W197,IF(W197&lt;=80,50+((100-50)/(80-40))*(W197-40),IF(W197&lt;=180,100+((200-100)/(180-80))*(W197-80),IF(W197&lt;=280,200+((300-200)/(280-180))*(W197-180),IF(W197&lt;=400,300+((400-300)/(400-280))*(W197-280),IF(W197&lt;=800,400+((500-400)/(800-400))*(W197-400),500)))))))</f>
        <v>66.875</v>
      </c>
      <c r="AJ197" s="4" t="n">
        <f aca="false">IF(X197="","",IF(X197&lt;=40,(50/40)*X197,IF(X197&lt;=80,50+((100-50)/(80-40))*(X197-40),IF(X197&lt;=380,100+((200-100)/(380-80))*(X197-80),IF(X197&lt;=800,200+((300-200)/(800-380))*(X197-380),IF(X197&lt;=1600,300+((400-300)/(1600-800))*(X197-800),IF(X197&lt;=2100,400+((500-400)/(2100-1600))*(X197-1600),500)))))))</f>
        <v>28</v>
      </c>
      <c r="AK197" s="4" t="n">
        <f aca="false">IF(Y197="","",IF(Y197&lt;=50,(50/50)*Y197,IF(Y197&lt;=100,50+((100-50)/(100-50))*(Y197-50),IF(Y197&lt;=168,100+((200-100)/(168-100))*(Y197-100),IF(Y197&lt;=208,200+((300-200)/(208-168))*(Y197-168),IF(Y197&lt;=748,300+((400-300)/(748-208))*(Y197-208),IF(Y197&lt;=1000,400+((500-400)/(1000-748))*(Y197-748),500)))))))</f>
        <v>10</v>
      </c>
      <c r="AL197" s="4" t="n">
        <f aca="false">ROUND(MAX(AF197,AG197,AH197,AI197,AJ197,AK197),0)</f>
        <v>85</v>
      </c>
      <c r="AM197" s="4" t="str">
        <f aca="false">IF(AL197="","",IF(AL197&lt;=50,"Good",IF(AL197&lt;=100,"Satisfactory",IF(AL197&lt;=200,"Moderate",IF(AL197&lt;=300,"Poor",IF(AL197&lt;=400,"Very Poor","Severe"))))))</f>
        <v>Satisfactory</v>
      </c>
    </row>
    <row r="198" customFormat="false" ht="15.75" hidden="false" customHeight="false" outlineLevel="0" collapsed="false">
      <c r="A198" s="1" t="s">
        <v>39</v>
      </c>
      <c r="B198" s="1" t="s">
        <v>40</v>
      </c>
      <c r="C198" s="1" t="n">
        <v>28.4595</v>
      </c>
      <c r="D198" s="1" t="n">
        <v>77.0266</v>
      </c>
      <c r="E198" s="5" t="n">
        <v>45909</v>
      </c>
      <c r="F198" s="6" t="s">
        <v>53</v>
      </c>
      <c r="G198" s="1" t="n">
        <v>9</v>
      </c>
      <c r="H198" s="7" t="s">
        <v>78</v>
      </c>
      <c r="I198" s="6" t="s">
        <v>43</v>
      </c>
      <c r="J198" s="7" t="s">
        <v>44</v>
      </c>
      <c r="K198" s="7" t="s">
        <v>45</v>
      </c>
      <c r="L198" s="1" t="n">
        <v>90</v>
      </c>
      <c r="M198" s="1" t="n">
        <v>23.5</v>
      </c>
      <c r="N198" s="1" t="n">
        <v>13.7</v>
      </c>
      <c r="O198" s="1" t="n">
        <v>0</v>
      </c>
      <c r="P198" s="6" t="s">
        <v>43</v>
      </c>
      <c r="Q198" s="6" t="s">
        <v>43</v>
      </c>
      <c r="R198" s="1" t="n">
        <v>1006.2</v>
      </c>
      <c r="S198" s="1" t="n">
        <v>2</v>
      </c>
      <c r="T198" s="1" t="n">
        <v>49.5</v>
      </c>
      <c r="U198" s="1" t="n">
        <v>124.8</v>
      </c>
      <c r="V198" s="1" t="n">
        <v>860</v>
      </c>
      <c r="W198" s="1" t="n">
        <v>45.8</v>
      </c>
      <c r="X198" s="1" t="n">
        <v>19.1</v>
      </c>
      <c r="Y198" s="1" t="n">
        <v>14</v>
      </c>
      <c r="Z198" s="1" t="n">
        <v>174</v>
      </c>
      <c r="AA198" s="1" t="n">
        <v>104</v>
      </c>
      <c r="AB198" s="7" t="s">
        <v>81</v>
      </c>
      <c r="AC198" s="7" t="s">
        <v>82</v>
      </c>
      <c r="AD198" s="7" t="s">
        <v>83</v>
      </c>
      <c r="AE198" s="7" t="s">
        <v>84</v>
      </c>
      <c r="AF198" s="4" t="n">
        <f aca="false">IF(T198="","",IF(T198&lt;=30,(50/30)*T198,IF(T198&lt;=60,50+((100-50)/(60-30))*(T198-30),IF(T198&lt;=90,100+((200-100)/(90-60))*(T198-60),IF(T198&lt;=120,200+((300-200)/(120-90))*(T198-90),IF(T198&lt;=250,300+((400-300)/(250-120))*(T198-120),IF(T198&lt;=380,400+((500-400)/(380-250))*(T198-250),500)))))))</f>
        <v>82.5</v>
      </c>
      <c r="AG198" s="4" t="n">
        <f aca="false">IF(U198="","",IF(U198&lt;=50,(50/50)*U198,IF(U198&lt;=100,50+((100-50)/(100-50))*(U198-50),IF(U198&lt;=250,100+((200-100)/(250-100))*(U198-100),IF(U198&lt;=350,200+((300-200)/(350-250))*(U198-250),IF(U198&lt;=430,300+((400-300)/(430-350))*(U198-350),IF(U198&lt;=600,400+((500-400)/(600-430))*(U198-430),500)))))))</f>
        <v>116.533333333333</v>
      </c>
      <c r="AH198" s="4" t="n">
        <f aca="false">IF(V198="","",IF((V198/1000)&lt;=1,(50/1)*(V198/1000),IF((V198/1000)&lt;=2,50+((100-50)/(2-1))*(V198/1000-1),IF((V198/1000)&lt;=10,100+((200-100)/(10-2))*(V198/1000-2),IF((V198/1000)&lt;=17,200+((300-200)/(17-10))*(V198/1000-10),IF((V198/1000)&lt;=34,300+((400-300)/(34-17))*(V198/1000-17),IF((V198/1000)&lt;=57,400+((500-400)/(57-34))*(V198/1000-34),500)))))))</f>
        <v>43</v>
      </c>
      <c r="AI198" s="4" t="n">
        <f aca="false">IF(W198="","",IF(W198&lt;=40,(50/40)*W198,IF(W198&lt;=80,50+((100-50)/(80-40))*(W198-40),IF(W198&lt;=180,100+((200-100)/(180-80))*(W198-80),IF(W198&lt;=280,200+((300-200)/(280-180))*(W198-180),IF(W198&lt;=400,300+((400-300)/(400-280))*(W198-280),IF(W198&lt;=800,400+((500-400)/(800-400))*(W198-400),500)))))))</f>
        <v>57.25</v>
      </c>
      <c r="AJ198" s="4" t="n">
        <f aca="false">IF(X198="","",IF(X198&lt;=40,(50/40)*X198,IF(X198&lt;=80,50+((100-50)/(80-40))*(X198-40),IF(X198&lt;=380,100+((200-100)/(380-80))*(X198-80),IF(X198&lt;=800,200+((300-200)/(800-380))*(X198-380),IF(X198&lt;=1600,300+((400-300)/(1600-800))*(X198-800),IF(X198&lt;=2100,400+((500-400)/(2100-1600))*(X198-1600),500)))))))</f>
        <v>23.875</v>
      </c>
      <c r="AK198" s="4" t="n">
        <f aca="false">IF(Y198="","",IF(Y198&lt;=50,(50/50)*Y198,IF(Y198&lt;=100,50+((100-50)/(100-50))*(Y198-50),IF(Y198&lt;=168,100+((200-100)/(168-100))*(Y198-100),IF(Y198&lt;=208,200+((300-200)/(208-168))*(Y198-168),IF(Y198&lt;=748,300+((400-300)/(748-208))*(Y198-208),IF(Y198&lt;=1000,400+((500-400)/(1000-748))*(Y198-748),500)))))))</f>
        <v>14</v>
      </c>
      <c r="AL198" s="4" t="n">
        <f aca="false">ROUND(MAX(AF198,AG198,AH198,AI198,AJ198,AK198),0)</f>
        <v>117</v>
      </c>
      <c r="AM198" s="4" t="str">
        <f aca="false">IF(AL198="","",IF(AL198&lt;=50,"Good",IF(AL198&lt;=100,"Satisfactory",IF(AL198&lt;=200,"Moderate",IF(AL198&lt;=300,"Poor",IF(AL198&lt;=400,"Very Poor","Severe"))))))</f>
        <v>Moderate</v>
      </c>
    </row>
    <row r="199" customFormat="false" ht="15.75" hidden="false" customHeight="false" outlineLevel="0" collapsed="false">
      <c r="A199" s="1" t="s">
        <v>39</v>
      </c>
      <c r="B199" s="1" t="s">
        <v>40</v>
      </c>
      <c r="C199" s="1" t="n">
        <v>28.4595</v>
      </c>
      <c r="D199" s="1" t="n">
        <v>77.0266</v>
      </c>
      <c r="E199" s="5" t="n">
        <v>45909</v>
      </c>
      <c r="F199" s="6" t="s">
        <v>54</v>
      </c>
      <c r="G199" s="1" t="n">
        <v>9</v>
      </c>
      <c r="H199" s="7" t="s">
        <v>78</v>
      </c>
      <c r="I199" s="6" t="s">
        <v>43</v>
      </c>
      <c r="J199" s="7" t="s">
        <v>44</v>
      </c>
      <c r="K199" s="7" t="s">
        <v>45</v>
      </c>
      <c r="L199" s="1" t="n">
        <v>90</v>
      </c>
      <c r="M199" s="1" t="n">
        <v>23.4</v>
      </c>
      <c r="N199" s="1" t="n">
        <v>14</v>
      </c>
      <c r="O199" s="1" t="n">
        <v>0</v>
      </c>
      <c r="P199" s="6" t="s">
        <v>43</v>
      </c>
      <c r="Q199" s="6" t="s">
        <v>43</v>
      </c>
      <c r="R199" s="1" t="n">
        <v>1006.7</v>
      </c>
      <c r="S199" s="1" t="n">
        <v>3</v>
      </c>
      <c r="T199" s="1" t="n">
        <v>58.1</v>
      </c>
      <c r="U199" s="1" t="n">
        <v>307.3</v>
      </c>
      <c r="V199" s="1" t="n">
        <v>909</v>
      </c>
      <c r="W199" s="1" t="n">
        <v>32.1</v>
      </c>
      <c r="X199" s="1" t="n">
        <v>13.4</v>
      </c>
      <c r="Y199" s="1" t="n">
        <v>30</v>
      </c>
      <c r="Z199" s="1" t="n">
        <v>480</v>
      </c>
      <c r="AA199" s="1" t="n">
        <v>106</v>
      </c>
      <c r="AB199" s="7" t="s">
        <v>81</v>
      </c>
      <c r="AC199" s="7" t="s">
        <v>82</v>
      </c>
      <c r="AD199" s="7" t="s">
        <v>83</v>
      </c>
      <c r="AE199" s="7" t="s">
        <v>84</v>
      </c>
      <c r="AF199" s="4" t="n">
        <f aca="false">IF(T199="","",IF(T199&lt;=30,(50/30)*T199,IF(T199&lt;=60,50+((100-50)/(60-30))*(T199-30),IF(T199&lt;=90,100+((200-100)/(90-60))*(T199-60),IF(T199&lt;=120,200+((300-200)/(120-90))*(T199-90),IF(T199&lt;=250,300+((400-300)/(250-120))*(T199-120),IF(T199&lt;=380,400+((500-400)/(380-250))*(T199-250),500)))))))</f>
        <v>96.8333333333333</v>
      </c>
      <c r="AG199" s="4" t="n">
        <f aca="false">IF(U199="","",IF(U199&lt;=50,(50/50)*U199,IF(U199&lt;=100,50+((100-50)/(100-50))*(U199-50),IF(U199&lt;=250,100+((200-100)/(250-100))*(U199-100),IF(U199&lt;=350,200+((300-200)/(350-250))*(U199-250),IF(U199&lt;=430,300+((400-300)/(430-350))*(U199-350),IF(U199&lt;=600,400+((500-400)/(600-430))*(U199-430),500)))))))</f>
        <v>257.3</v>
      </c>
      <c r="AH199" s="4" t="n">
        <f aca="false">IF(V199="","",IF((V199/1000)&lt;=1,(50/1)*(V199/1000),IF((V199/1000)&lt;=2,50+((100-50)/(2-1))*(V199/1000-1),IF((V199/1000)&lt;=10,100+((200-100)/(10-2))*(V199/1000-2),IF((V199/1000)&lt;=17,200+((300-200)/(17-10))*(V199/1000-10),IF((V199/1000)&lt;=34,300+((400-300)/(34-17))*(V199/1000-17),IF((V199/1000)&lt;=57,400+((500-400)/(57-34))*(V199/1000-34),500)))))))</f>
        <v>45.45</v>
      </c>
      <c r="AI199" s="4" t="n">
        <f aca="false">IF(W199="","",IF(W199&lt;=40,(50/40)*W199,IF(W199&lt;=80,50+((100-50)/(80-40))*(W199-40),IF(W199&lt;=180,100+((200-100)/(180-80))*(W199-80),IF(W199&lt;=280,200+((300-200)/(280-180))*(W199-180),IF(W199&lt;=400,300+((400-300)/(400-280))*(W199-280),IF(W199&lt;=800,400+((500-400)/(800-400))*(W199-400),500)))))))</f>
        <v>40.125</v>
      </c>
      <c r="AJ199" s="4" t="n">
        <f aca="false">IF(X199="","",IF(X199&lt;=40,(50/40)*X199,IF(X199&lt;=80,50+((100-50)/(80-40))*(X199-40),IF(X199&lt;=380,100+((200-100)/(380-80))*(X199-80),IF(X199&lt;=800,200+((300-200)/(800-380))*(X199-380),IF(X199&lt;=1600,300+((400-300)/(1600-800))*(X199-800),IF(X199&lt;=2100,400+((500-400)/(2100-1600))*(X199-1600),500)))))))</f>
        <v>16.75</v>
      </c>
      <c r="AK199" s="4" t="n">
        <f aca="false">IF(Y199="","",IF(Y199&lt;=50,(50/50)*Y199,IF(Y199&lt;=100,50+((100-50)/(100-50))*(Y199-50),IF(Y199&lt;=168,100+((200-100)/(168-100))*(Y199-100),IF(Y199&lt;=208,200+((300-200)/(208-168))*(Y199-168),IF(Y199&lt;=748,300+((400-300)/(748-208))*(Y199-208),IF(Y199&lt;=1000,400+((500-400)/(1000-748))*(Y199-748),500)))))))</f>
        <v>30</v>
      </c>
      <c r="AL199" s="4" t="n">
        <f aca="false">ROUND(MAX(AF199,AG199,AH199,AI199,AJ199,AK199),0)</f>
        <v>257</v>
      </c>
      <c r="AM199" s="4" t="str">
        <f aca="false">IF(AL199="","",IF(AL199&lt;=50,"Good",IF(AL199&lt;=100,"Satisfactory",IF(AL199&lt;=200,"Moderate",IF(AL199&lt;=300,"Poor",IF(AL199&lt;=400,"Very Poor","Severe"))))))</f>
        <v>Poor</v>
      </c>
    </row>
    <row r="200" customFormat="false" ht="15.75" hidden="false" customHeight="false" outlineLevel="0" collapsed="false">
      <c r="A200" s="1" t="s">
        <v>39</v>
      </c>
      <c r="B200" s="1" t="s">
        <v>40</v>
      </c>
      <c r="C200" s="1" t="n">
        <v>28.4595</v>
      </c>
      <c r="D200" s="1" t="n">
        <v>77.0266</v>
      </c>
      <c r="E200" s="5" t="n">
        <v>45909</v>
      </c>
      <c r="F200" s="6" t="s">
        <v>55</v>
      </c>
      <c r="G200" s="1" t="n">
        <v>9</v>
      </c>
      <c r="H200" s="7" t="s">
        <v>78</v>
      </c>
      <c r="I200" s="6" t="s">
        <v>43</v>
      </c>
      <c r="J200" s="7" t="s">
        <v>44</v>
      </c>
      <c r="K200" s="7" t="s">
        <v>56</v>
      </c>
      <c r="L200" s="1" t="n">
        <v>88</v>
      </c>
      <c r="M200" s="1" t="n">
        <v>24</v>
      </c>
      <c r="N200" s="1" t="n">
        <v>14.8</v>
      </c>
      <c r="O200" s="1" t="n">
        <v>0</v>
      </c>
      <c r="P200" s="6" t="s">
        <v>43</v>
      </c>
      <c r="Q200" s="6" t="s">
        <v>43</v>
      </c>
      <c r="R200" s="1" t="n">
        <v>1007</v>
      </c>
      <c r="S200" s="1" t="n">
        <v>0</v>
      </c>
      <c r="T200" s="1" t="n">
        <v>56.7</v>
      </c>
      <c r="U200" s="1" t="n">
        <v>266.4</v>
      </c>
      <c r="V200" s="1" t="n">
        <v>970</v>
      </c>
      <c r="W200" s="1" t="n">
        <v>30.9</v>
      </c>
      <c r="X200" s="1" t="n">
        <v>13.7</v>
      </c>
      <c r="Y200" s="1" t="n">
        <v>33</v>
      </c>
      <c r="Z200" s="1" t="n">
        <v>469</v>
      </c>
      <c r="AA200" s="1" t="n">
        <v>109</v>
      </c>
      <c r="AB200" s="7" t="s">
        <v>81</v>
      </c>
      <c r="AC200" s="7" t="s">
        <v>82</v>
      </c>
      <c r="AD200" s="7" t="s">
        <v>83</v>
      </c>
      <c r="AE200" s="7" t="s">
        <v>84</v>
      </c>
      <c r="AF200" s="4" t="n">
        <f aca="false">IF(T200="","",IF(T200&lt;=30,(50/30)*T200,IF(T200&lt;=60,50+((100-50)/(60-30))*(T200-30),IF(T200&lt;=90,100+((200-100)/(90-60))*(T200-60),IF(T200&lt;=120,200+((300-200)/(120-90))*(T200-90),IF(T200&lt;=250,300+((400-300)/(250-120))*(T200-120),IF(T200&lt;=380,400+((500-400)/(380-250))*(T200-250),500)))))))</f>
        <v>94.5</v>
      </c>
      <c r="AG200" s="4" t="n">
        <f aca="false">IF(U200="","",IF(U200&lt;=50,(50/50)*U200,IF(U200&lt;=100,50+((100-50)/(100-50))*(U200-50),IF(U200&lt;=250,100+((200-100)/(250-100))*(U200-100),IF(U200&lt;=350,200+((300-200)/(350-250))*(U200-250),IF(U200&lt;=430,300+((400-300)/(430-350))*(U200-350),IF(U200&lt;=600,400+((500-400)/(600-430))*(U200-430),500)))))))</f>
        <v>216.4</v>
      </c>
      <c r="AH200" s="4" t="n">
        <f aca="false">IF(V200="","",IF((V200/1000)&lt;=1,(50/1)*(V200/1000),IF((V200/1000)&lt;=2,50+((100-50)/(2-1))*(V200/1000-1),IF((V200/1000)&lt;=10,100+((200-100)/(10-2))*(V200/1000-2),IF((V200/1000)&lt;=17,200+((300-200)/(17-10))*(V200/1000-10),IF((V200/1000)&lt;=34,300+((400-300)/(34-17))*(V200/1000-17),IF((V200/1000)&lt;=57,400+((500-400)/(57-34))*(V200/1000-34),500)))))))</f>
        <v>48.5</v>
      </c>
      <c r="AI200" s="4" t="n">
        <f aca="false">IF(W200="","",IF(W200&lt;=40,(50/40)*W200,IF(W200&lt;=80,50+((100-50)/(80-40))*(W200-40),IF(W200&lt;=180,100+((200-100)/(180-80))*(W200-80),IF(W200&lt;=280,200+((300-200)/(280-180))*(W200-180),IF(W200&lt;=400,300+((400-300)/(400-280))*(W200-280),IF(W200&lt;=800,400+((500-400)/(800-400))*(W200-400),500)))))))</f>
        <v>38.625</v>
      </c>
      <c r="AJ200" s="4" t="n">
        <f aca="false">IF(X200="","",IF(X200&lt;=40,(50/40)*X200,IF(X200&lt;=80,50+((100-50)/(80-40))*(X200-40),IF(X200&lt;=380,100+((200-100)/(380-80))*(X200-80),IF(X200&lt;=800,200+((300-200)/(800-380))*(X200-380),IF(X200&lt;=1600,300+((400-300)/(1600-800))*(X200-800),IF(X200&lt;=2100,400+((500-400)/(2100-1600))*(X200-1600),500)))))))</f>
        <v>17.125</v>
      </c>
      <c r="AK200" s="4" t="n">
        <f aca="false">IF(Y200="","",IF(Y200&lt;=50,(50/50)*Y200,IF(Y200&lt;=100,50+((100-50)/(100-50))*(Y200-50),IF(Y200&lt;=168,100+((200-100)/(168-100))*(Y200-100),IF(Y200&lt;=208,200+((300-200)/(208-168))*(Y200-168),IF(Y200&lt;=748,300+((400-300)/(748-208))*(Y200-208),IF(Y200&lt;=1000,400+((500-400)/(1000-748))*(Y200-748),500)))))))</f>
        <v>33</v>
      </c>
      <c r="AL200" s="4" t="n">
        <f aca="false">ROUND(MAX(AF200,AG200,AH200,AI200,AJ200,AK200),0)</f>
        <v>216</v>
      </c>
      <c r="AM200" s="4" t="str">
        <f aca="false">IF(AL200="","",IF(AL200&lt;=50,"Good",IF(AL200&lt;=100,"Satisfactory",IF(AL200&lt;=200,"Moderate",IF(AL200&lt;=300,"Poor",IF(AL200&lt;=400,"Very Poor","Severe"))))))</f>
        <v>Poor</v>
      </c>
    </row>
    <row r="201" customFormat="false" ht="15.75" hidden="false" customHeight="false" outlineLevel="0" collapsed="false">
      <c r="A201" s="1" t="s">
        <v>39</v>
      </c>
      <c r="B201" s="1" t="s">
        <v>40</v>
      </c>
      <c r="C201" s="1" t="n">
        <v>28.4595</v>
      </c>
      <c r="D201" s="1" t="n">
        <v>77.0266</v>
      </c>
      <c r="E201" s="5" t="n">
        <v>45909</v>
      </c>
      <c r="F201" s="6" t="s">
        <v>57</v>
      </c>
      <c r="G201" s="1" t="n">
        <v>9</v>
      </c>
      <c r="H201" s="7" t="s">
        <v>78</v>
      </c>
      <c r="I201" s="6" t="s">
        <v>43</v>
      </c>
      <c r="J201" s="7" t="s">
        <v>44</v>
      </c>
      <c r="K201" s="7" t="s">
        <v>56</v>
      </c>
      <c r="L201" s="1" t="n">
        <v>85</v>
      </c>
      <c r="M201" s="1" t="n">
        <v>24.4</v>
      </c>
      <c r="N201" s="1" t="n">
        <v>14.4</v>
      </c>
      <c r="O201" s="1" t="n">
        <v>0</v>
      </c>
      <c r="P201" s="6" t="s">
        <v>43</v>
      </c>
      <c r="Q201" s="6" t="s">
        <v>43</v>
      </c>
      <c r="R201" s="1" t="n">
        <v>1007.7</v>
      </c>
      <c r="S201" s="1" t="n">
        <v>0</v>
      </c>
      <c r="T201" s="1" t="n">
        <v>60.8</v>
      </c>
      <c r="U201" s="1" t="n">
        <v>271</v>
      </c>
      <c r="V201" s="1" t="n">
        <v>1037</v>
      </c>
      <c r="W201" s="1" t="n">
        <v>29</v>
      </c>
      <c r="X201" s="1" t="n">
        <v>14.1</v>
      </c>
      <c r="Y201" s="1" t="n">
        <v>39</v>
      </c>
      <c r="Z201" s="1" t="n">
        <v>449</v>
      </c>
      <c r="AA201" s="1" t="n">
        <v>112</v>
      </c>
      <c r="AB201" s="7" t="s">
        <v>81</v>
      </c>
      <c r="AC201" s="7" t="s">
        <v>82</v>
      </c>
      <c r="AD201" s="7" t="s">
        <v>83</v>
      </c>
      <c r="AE201" s="7" t="s">
        <v>84</v>
      </c>
      <c r="AF201" s="4" t="n">
        <f aca="false">IF(T201="","",IF(T201&lt;=30,(50/30)*T201,IF(T201&lt;=60,50+((100-50)/(60-30))*(T201-30),IF(T201&lt;=90,100+((200-100)/(90-60))*(T201-60),IF(T201&lt;=120,200+((300-200)/(120-90))*(T201-90),IF(T201&lt;=250,300+((400-300)/(250-120))*(T201-120),IF(T201&lt;=380,400+((500-400)/(380-250))*(T201-250),500)))))))</f>
        <v>102.666666666667</v>
      </c>
      <c r="AG201" s="4" t="n">
        <f aca="false">IF(U201="","",IF(U201&lt;=50,(50/50)*U201,IF(U201&lt;=100,50+((100-50)/(100-50))*(U201-50),IF(U201&lt;=250,100+((200-100)/(250-100))*(U201-100),IF(U201&lt;=350,200+((300-200)/(350-250))*(U201-250),IF(U201&lt;=430,300+((400-300)/(430-350))*(U201-350),IF(U201&lt;=600,400+((500-400)/(600-430))*(U201-430),500)))))))</f>
        <v>221</v>
      </c>
      <c r="AH201" s="4" t="n">
        <f aca="false">IF(V201="","",IF((V201/1000)&lt;=1,(50/1)*(V201/1000),IF((V201/1000)&lt;=2,50+((100-50)/(2-1))*(V201/1000-1),IF((V201/1000)&lt;=10,100+((200-100)/(10-2))*(V201/1000-2),IF((V201/1000)&lt;=17,200+((300-200)/(17-10))*(V201/1000-10),IF((V201/1000)&lt;=34,300+((400-300)/(34-17))*(V201/1000-17),IF((V201/1000)&lt;=57,400+((500-400)/(57-34))*(V201/1000-34),500)))))))</f>
        <v>51.85</v>
      </c>
      <c r="AI201" s="4" t="n">
        <f aca="false">IF(W201="","",IF(W201&lt;=40,(50/40)*W201,IF(W201&lt;=80,50+((100-50)/(80-40))*(W201-40),IF(W201&lt;=180,100+((200-100)/(180-80))*(W201-80),IF(W201&lt;=280,200+((300-200)/(280-180))*(W201-180),IF(W201&lt;=400,300+((400-300)/(400-280))*(W201-280),IF(W201&lt;=800,400+((500-400)/(800-400))*(W201-400),500)))))))</f>
        <v>36.25</v>
      </c>
      <c r="AJ201" s="4" t="n">
        <f aca="false">IF(X201="","",IF(X201&lt;=40,(50/40)*X201,IF(X201&lt;=80,50+((100-50)/(80-40))*(X201-40),IF(X201&lt;=380,100+((200-100)/(380-80))*(X201-80),IF(X201&lt;=800,200+((300-200)/(800-380))*(X201-380),IF(X201&lt;=1600,300+((400-300)/(1600-800))*(X201-800),IF(X201&lt;=2100,400+((500-400)/(2100-1600))*(X201-1600),500)))))))</f>
        <v>17.625</v>
      </c>
      <c r="AK201" s="4" t="n">
        <f aca="false">IF(Y201="","",IF(Y201&lt;=50,(50/50)*Y201,IF(Y201&lt;=100,50+((100-50)/(100-50))*(Y201-50),IF(Y201&lt;=168,100+((200-100)/(168-100))*(Y201-100),IF(Y201&lt;=208,200+((300-200)/(208-168))*(Y201-168),IF(Y201&lt;=748,300+((400-300)/(748-208))*(Y201-208),IF(Y201&lt;=1000,400+((500-400)/(1000-748))*(Y201-748),500)))))))</f>
        <v>39</v>
      </c>
      <c r="AL201" s="4" t="n">
        <f aca="false">ROUND(MAX(AF201,AG201,AH201,AI201,AJ201,AK201),0)</f>
        <v>221</v>
      </c>
      <c r="AM201" s="4" t="str">
        <f aca="false">IF(AL201="","",IF(AL201&lt;=50,"Good",IF(AL201&lt;=100,"Satisfactory",IF(AL201&lt;=200,"Moderate",IF(AL201&lt;=300,"Poor",IF(AL201&lt;=400,"Very Poor","Severe"))))))</f>
        <v>Poor</v>
      </c>
    </row>
    <row r="202" customFormat="false" ht="15.75" hidden="false" customHeight="false" outlineLevel="0" collapsed="false">
      <c r="A202" s="1" t="s">
        <v>39</v>
      </c>
      <c r="B202" s="1" t="s">
        <v>40</v>
      </c>
      <c r="C202" s="1" t="n">
        <v>28.4595</v>
      </c>
      <c r="D202" s="1" t="n">
        <v>77.0266</v>
      </c>
      <c r="E202" s="5" t="n">
        <v>45909</v>
      </c>
      <c r="F202" s="6" t="s">
        <v>58</v>
      </c>
      <c r="G202" s="1" t="n">
        <v>9</v>
      </c>
      <c r="H202" s="7" t="s">
        <v>78</v>
      </c>
      <c r="I202" s="6" t="s">
        <v>43</v>
      </c>
      <c r="J202" s="7" t="s">
        <v>44</v>
      </c>
      <c r="K202" s="7" t="s">
        <v>56</v>
      </c>
      <c r="L202" s="1" t="n">
        <v>79</v>
      </c>
      <c r="M202" s="1" t="n">
        <v>24.4</v>
      </c>
      <c r="N202" s="1" t="n">
        <v>19.4</v>
      </c>
      <c r="O202" s="1" t="n">
        <v>0</v>
      </c>
      <c r="P202" s="6" t="s">
        <v>43</v>
      </c>
      <c r="Q202" s="6" t="s">
        <v>43</v>
      </c>
      <c r="R202" s="1" t="n">
        <v>1008</v>
      </c>
      <c r="S202" s="1" t="n">
        <v>0</v>
      </c>
      <c r="T202" s="1" t="n">
        <v>57.9</v>
      </c>
      <c r="U202" s="1" t="n">
        <v>265.4</v>
      </c>
      <c r="V202" s="1" t="n">
        <v>1014</v>
      </c>
      <c r="W202" s="1" t="n">
        <v>25.8</v>
      </c>
      <c r="X202" s="1" t="n">
        <v>14.6</v>
      </c>
      <c r="Y202" s="1" t="n">
        <v>52</v>
      </c>
      <c r="Z202" s="1" t="n">
        <v>402</v>
      </c>
      <c r="AA202" s="1" t="n">
        <v>115</v>
      </c>
      <c r="AB202" s="7" t="s">
        <v>81</v>
      </c>
      <c r="AC202" s="7" t="s">
        <v>82</v>
      </c>
      <c r="AD202" s="7" t="s">
        <v>83</v>
      </c>
      <c r="AE202" s="7" t="s">
        <v>84</v>
      </c>
      <c r="AF202" s="4" t="n">
        <f aca="false">IF(T202="","",IF(T202&lt;=30,(50/30)*T202,IF(T202&lt;=60,50+((100-50)/(60-30))*(T202-30),IF(T202&lt;=90,100+((200-100)/(90-60))*(T202-60),IF(T202&lt;=120,200+((300-200)/(120-90))*(T202-90),IF(T202&lt;=250,300+((400-300)/(250-120))*(T202-120),IF(T202&lt;=380,400+((500-400)/(380-250))*(T202-250),500)))))))</f>
        <v>96.5</v>
      </c>
      <c r="AG202" s="4" t="n">
        <f aca="false">IF(U202="","",IF(U202&lt;=50,(50/50)*U202,IF(U202&lt;=100,50+((100-50)/(100-50))*(U202-50),IF(U202&lt;=250,100+((200-100)/(250-100))*(U202-100),IF(U202&lt;=350,200+((300-200)/(350-250))*(U202-250),IF(U202&lt;=430,300+((400-300)/(430-350))*(U202-350),IF(U202&lt;=600,400+((500-400)/(600-430))*(U202-430),500)))))))</f>
        <v>215.4</v>
      </c>
      <c r="AH202" s="4" t="n">
        <f aca="false">IF(V202="","",IF((V202/1000)&lt;=1,(50/1)*(V202/1000),IF((V202/1000)&lt;=2,50+((100-50)/(2-1))*(V202/1000-1),IF((V202/1000)&lt;=10,100+((200-100)/(10-2))*(V202/1000-2),IF((V202/1000)&lt;=17,200+((300-200)/(17-10))*(V202/1000-10),IF((V202/1000)&lt;=34,300+((400-300)/(34-17))*(V202/1000-17),IF((V202/1000)&lt;=57,400+((500-400)/(57-34))*(V202/1000-34),500)))))))</f>
        <v>50.7</v>
      </c>
      <c r="AI202" s="4" t="n">
        <f aca="false">IF(W202="","",IF(W202&lt;=40,(50/40)*W202,IF(W202&lt;=80,50+((100-50)/(80-40))*(W202-40),IF(W202&lt;=180,100+((200-100)/(180-80))*(W202-80),IF(W202&lt;=280,200+((300-200)/(280-180))*(W202-180),IF(W202&lt;=400,300+((400-300)/(400-280))*(W202-280),IF(W202&lt;=800,400+((500-400)/(800-400))*(W202-400),500)))))))</f>
        <v>32.25</v>
      </c>
      <c r="AJ202" s="4" t="n">
        <f aca="false">IF(X202="","",IF(X202&lt;=40,(50/40)*X202,IF(X202&lt;=80,50+((100-50)/(80-40))*(X202-40),IF(X202&lt;=380,100+((200-100)/(380-80))*(X202-80),IF(X202&lt;=800,200+((300-200)/(800-380))*(X202-380),IF(X202&lt;=1600,300+((400-300)/(1600-800))*(X202-800),IF(X202&lt;=2100,400+((500-400)/(2100-1600))*(X202-1600),500)))))))</f>
        <v>18.25</v>
      </c>
      <c r="AK202" s="4" t="n">
        <f aca="false">IF(Y202="","",IF(Y202&lt;=50,(50/50)*Y202,IF(Y202&lt;=100,50+((100-50)/(100-50))*(Y202-50),IF(Y202&lt;=168,100+((200-100)/(168-100))*(Y202-100),IF(Y202&lt;=208,200+((300-200)/(208-168))*(Y202-168),IF(Y202&lt;=748,300+((400-300)/(748-208))*(Y202-208),IF(Y202&lt;=1000,400+((500-400)/(1000-748))*(Y202-748),500)))))))</f>
        <v>52</v>
      </c>
      <c r="AL202" s="4" t="n">
        <f aca="false">ROUND(MAX(AF202,AG202,AH202,AI202,AJ202,AK202),0)</f>
        <v>215</v>
      </c>
      <c r="AM202" s="4" t="str">
        <f aca="false">IF(AL202="","",IF(AL202&lt;=50,"Good",IF(AL202&lt;=100,"Satisfactory",IF(AL202&lt;=200,"Moderate",IF(AL202&lt;=300,"Poor",IF(AL202&lt;=400,"Very Poor","Severe"))))))</f>
        <v>Poor</v>
      </c>
    </row>
    <row r="203" customFormat="false" ht="15.75" hidden="false" customHeight="false" outlineLevel="0" collapsed="false">
      <c r="A203" s="1" t="s">
        <v>39</v>
      </c>
      <c r="B203" s="1" t="s">
        <v>40</v>
      </c>
      <c r="C203" s="1" t="n">
        <v>28.4595</v>
      </c>
      <c r="D203" s="1" t="n">
        <v>77.0266</v>
      </c>
      <c r="E203" s="5" t="n">
        <v>45909</v>
      </c>
      <c r="F203" s="6" t="s">
        <v>59</v>
      </c>
      <c r="G203" s="1" t="n">
        <v>9</v>
      </c>
      <c r="H203" s="7" t="s">
        <v>78</v>
      </c>
      <c r="I203" s="6" t="s">
        <v>43</v>
      </c>
      <c r="J203" s="7" t="s">
        <v>44</v>
      </c>
      <c r="K203" s="7" t="s">
        <v>60</v>
      </c>
      <c r="L203" s="1" t="n">
        <v>73</v>
      </c>
      <c r="M203" s="1" t="n">
        <v>24.4</v>
      </c>
      <c r="N203" s="1" t="n">
        <v>23</v>
      </c>
      <c r="O203" s="1" t="n">
        <v>0</v>
      </c>
      <c r="P203" s="6" t="s">
        <v>43</v>
      </c>
      <c r="Q203" s="6" t="s">
        <v>43</v>
      </c>
      <c r="R203" s="1" t="n">
        <v>1008.5</v>
      </c>
      <c r="S203" s="1" t="n">
        <v>3</v>
      </c>
      <c r="T203" s="1" t="n">
        <v>58.6</v>
      </c>
      <c r="U203" s="1" t="n">
        <v>295.2</v>
      </c>
      <c r="V203" s="1" t="n">
        <v>815</v>
      </c>
      <c r="W203" s="1" t="n">
        <v>20</v>
      </c>
      <c r="X203" s="1" t="n">
        <v>15.5</v>
      </c>
      <c r="Y203" s="1" t="n">
        <v>78</v>
      </c>
      <c r="Z203" s="1" t="n">
        <v>304</v>
      </c>
      <c r="AA203" s="1" t="n">
        <v>119</v>
      </c>
      <c r="AB203" s="7" t="s">
        <v>81</v>
      </c>
      <c r="AC203" s="7" t="s">
        <v>82</v>
      </c>
      <c r="AD203" s="7" t="s">
        <v>83</v>
      </c>
      <c r="AE203" s="7" t="s">
        <v>84</v>
      </c>
      <c r="AF203" s="4" t="n">
        <f aca="false">IF(T203="","",IF(T203&lt;=30,(50/30)*T203,IF(T203&lt;=60,50+((100-50)/(60-30))*(T203-30),IF(T203&lt;=90,100+((200-100)/(90-60))*(T203-60),IF(T203&lt;=120,200+((300-200)/(120-90))*(T203-90),IF(T203&lt;=250,300+((400-300)/(250-120))*(T203-120),IF(T203&lt;=380,400+((500-400)/(380-250))*(T203-250),500)))))))</f>
        <v>97.6666666666667</v>
      </c>
      <c r="AG203" s="4" t="n">
        <f aca="false">IF(U203="","",IF(U203&lt;=50,(50/50)*U203,IF(U203&lt;=100,50+((100-50)/(100-50))*(U203-50),IF(U203&lt;=250,100+((200-100)/(250-100))*(U203-100),IF(U203&lt;=350,200+((300-200)/(350-250))*(U203-250),IF(U203&lt;=430,300+((400-300)/(430-350))*(U203-350),IF(U203&lt;=600,400+((500-400)/(600-430))*(U203-430),500)))))))</f>
        <v>245.2</v>
      </c>
      <c r="AH203" s="4" t="n">
        <f aca="false">IF(V203="","",IF((V203/1000)&lt;=1,(50/1)*(V203/1000),IF((V203/1000)&lt;=2,50+((100-50)/(2-1))*(V203/1000-1),IF((V203/1000)&lt;=10,100+((200-100)/(10-2))*(V203/1000-2),IF((V203/1000)&lt;=17,200+((300-200)/(17-10))*(V203/1000-10),IF((V203/1000)&lt;=34,300+((400-300)/(34-17))*(V203/1000-17),IF((V203/1000)&lt;=57,400+((500-400)/(57-34))*(V203/1000-34),500)))))))</f>
        <v>40.75</v>
      </c>
      <c r="AI203" s="4" t="n">
        <f aca="false">IF(W203="","",IF(W203&lt;=40,(50/40)*W203,IF(W203&lt;=80,50+((100-50)/(80-40))*(W203-40),IF(W203&lt;=180,100+((200-100)/(180-80))*(W203-80),IF(W203&lt;=280,200+((300-200)/(280-180))*(W203-180),IF(W203&lt;=400,300+((400-300)/(400-280))*(W203-280),IF(W203&lt;=800,400+((500-400)/(800-400))*(W203-400),500)))))))</f>
        <v>25</v>
      </c>
      <c r="AJ203" s="4" t="n">
        <f aca="false">IF(X203="","",IF(X203&lt;=40,(50/40)*X203,IF(X203&lt;=80,50+((100-50)/(80-40))*(X203-40),IF(X203&lt;=380,100+((200-100)/(380-80))*(X203-80),IF(X203&lt;=800,200+((300-200)/(800-380))*(X203-380),IF(X203&lt;=1600,300+((400-300)/(1600-800))*(X203-800),IF(X203&lt;=2100,400+((500-400)/(2100-1600))*(X203-1600),500)))))))</f>
        <v>19.375</v>
      </c>
      <c r="AK203" s="4" t="n">
        <f aca="false">IF(Y203="","",IF(Y203&lt;=50,(50/50)*Y203,IF(Y203&lt;=100,50+((100-50)/(100-50))*(Y203-50),IF(Y203&lt;=168,100+((200-100)/(168-100))*(Y203-100),IF(Y203&lt;=208,200+((300-200)/(208-168))*(Y203-168),IF(Y203&lt;=748,300+((400-300)/(748-208))*(Y203-208),IF(Y203&lt;=1000,400+((500-400)/(1000-748))*(Y203-748),500)))))))</f>
        <v>78</v>
      </c>
      <c r="AL203" s="4" t="n">
        <f aca="false">ROUND(MAX(AF203,AG203,AH203,AI203,AJ203,AK203),0)</f>
        <v>245</v>
      </c>
      <c r="AM203" s="4" t="str">
        <f aca="false">IF(AL203="","",IF(AL203&lt;=50,"Good",IF(AL203&lt;=100,"Satisfactory",IF(AL203&lt;=200,"Moderate",IF(AL203&lt;=300,"Poor",IF(AL203&lt;=400,"Very Poor","Severe"))))))</f>
        <v>Poor</v>
      </c>
    </row>
    <row r="204" customFormat="false" ht="15.75" hidden="false" customHeight="false" outlineLevel="0" collapsed="false">
      <c r="A204" s="1" t="s">
        <v>39</v>
      </c>
      <c r="B204" s="1" t="s">
        <v>40</v>
      </c>
      <c r="C204" s="1" t="n">
        <v>28.4595</v>
      </c>
      <c r="D204" s="1" t="n">
        <v>77.0266</v>
      </c>
      <c r="E204" s="5" t="n">
        <v>45909</v>
      </c>
      <c r="F204" s="6" t="s">
        <v>61</v>
      </c>
      <c r="G204" s="1" t="n">
        <v>9</v>
      </c>
      <c r="H204" s="7" t="s">
        <v>78</v>
      </c>
      <c r="I204" s="6" t="s">
        <v>43</v>
      </c>
      <c r="J204" s="7" t="s">
        <v>44</v>
      </c>
      <c r="K204" s="7" t="s">
        <v>60</v>
      </c>
      <c r="L204" s="1" t="n">
        <v>68</v>
      </c>
      <c r="M204" s="1" t="n">
        <v>24</v>
      </c>
      <c r="N204" s="1" t="n">
        <v>25.9</v>
      </c>
      <c r="O204" s="1" t="n">
        <v>0.2</v>
      </c>
      <c r="P204" s="6" t="s">
        <v>46</v>
      </c>
      <c r="Q204" s="6" t="s">
        <v>43</v>
      </c>
      <c r="R204" s="1" t="n">
        <v>1008.6</v>
      </c>
      <c r="S204" s="1" t="n">
        <v>28</v>
      </c>
      <c r="T204" s="1" t="n">
        <v>40.9</v>
      </c>
      <c r="U204" s="1" t="n">
        <v>135.5</v>
      </c>
      <c r="V204" s="1" t="n">
        <v>525</v>
      </c>
      <c r="W204" s="1" t="n">
        <v>12.8</v>
      </c>
      <c r="X204" s="1" t="n">
        <v>16.5</v>
      </c>
      <c r="Y204" s="1" t="n">
        <v>112</v>
      </c>
      <c r="Z204" s="1" t="n">
        <v>180</v>
      </c>
      <c r="AA204" s="1" t="n">
        <v>122</v>
      </c>
      <c r="AB204" s="7" t="s">
        <v>81</v>
      </c>
      <c r="AC204" s="7" t="s">
        <v>82</v>
      </c>
      <c r="AD204" s="7" t="s">
        <v>83</v>
      </c>
      <c r="AE204" s="7" t="s">
        <v>84</v>
      </c>
      <c r="AF204" s="4" t="n">
        <f aca="false">IF(T204="","",IF(T204&lt;=30,(50/30)*T204,IF(T204&lt;=60,50+((100-50)/(60-30))*(T204-30),IF(T204&lt;=90,100+((200-100)/(90-60))*(T204-60),IF(T204&lt;=120,200+((300-200)/(120-90))*(T204-90),IF(T204&lt;=250,300+((400-300)/(250-120))*(T204-120),IF(T204&lt;=380,400+((500-400)/(380-250))*(T204-250),500)))))))</f>
        <v>68.1666666666667</v>
      </c>
      <c r="AG204" s="4" t="n">
        <f aca="false">IF(U204="","",IF(U204&lt;=50,(50/50)*U204,IF(U204&lt;=100,50+((100-50)/(100-50))*(U204-50),IF(U204&lt;=250,100+((200-100)/(250-100))*(U204-100),IF(U204&lt;=350,200+((300-200)/(350-250))*(U204-250),IF(U204&lt;=430,300+((400-300)/(430-350))*(U204-350),IF(U204&lt;=600,400+((500-400)/(600-430))*(U204-430),500)))))))</f>
        <v>123.666666666667</v>
      </c>
      <c r="AH204" s="4" t="n">
        <f aca="false">IF(V204="","",IF((V204/1000)&lt;=1,(50/1)*(V204/1000),IF((V204/1000)&lt;=2,50+((100-50)/(2-1))*(V204/1000-1),IF((V204/1000)&lt;=10,100+((200-100)/(10-2))*(V204/1000-2),IF((V204/1000)&lt;=17,200+((300-200)/(17-10))*(V204/1000-10),IF((V204/1000)&lt;=34,300+((400-300)/(34-17))*(V204/1000-17),IF((V204/1000)&lt;=57,400+((500-400)/(57-34))*(V204/1000-34),500)))))))</f>
        <v>26.25</v>
      </c>
      <c r="AI204" s="4" t="n">
        <f aca="false">IF(W204="","",IF(W204&lt;=40,(50/40)*W204,IF(W204&lt;=80,50+((100-50)/(80-40))*(W204-40),IF(W204&lt;=180,100+((200-100)/(180-80))*(W204-80),IF(W204&lt;=280,200+((300-200)/(280-180))*(W204-180),IF(W204&lt;=400,300+((400-300)/(400-280))*(W204-280),IF(W204&lt;=800,400+((500-400)/(800-400))*(W204-400),500)))))))</f>
        <v>16</v>
      </c>
      <c r="AJ204" s="4" t="n">
        <f aca="false">IF(X204="","",IF(X204&lt;=40,(50/40)*X204,IF(X204&lt;=80,50+((100-50)/(80-40))*(X204-40),IF(X204&lt;=380,100+((200-100)/(380-80))*(X204-80),IF(X204&lt;=800,200+((300-200)/(800-380))*(X204-380),IF(X204&lt;=1600,300+((400-300)/(1600-800))*(X204-800),IF(X204&lt;=2100,400+((500-400)/(2100-1600))*(X204-1600),500)))))))</f>
        <v>20.625</v>
      </c>
      <c r="AK204" s="4" t="n">
        <f aca="false">IF(Y204="","",IF(Y204&lt;=50,(50/50)*Y204,IF(Y204&lt;=100,50+((100-50)/(100-50))*(Y204-50),IF(Y204&lt;=168,100+((200-100)/(168-100))*(Y204-100),IF(Y204&lt;=208,200+((300-200)/(208-168))*(Y204-168),IF(Y204&lt;=748,300+((400-300)/(748-208))*(Y204-208),IF(Y204&lt;=1000,400+((500-400)/(1000-748))*(Y204-748),500)))))))</f>
        <v>117.647058823529</v>
      </c>
      <c r="AL204" s="4" t="n">
        <f aca="false">ROUND(MAX(AF204,AG204,AH204,AI204,AJ204,AK204),0)</f>
        <v>124</v>
      </c>
      <c r="AM204" s="4" t="str">
        <f aca="false">IF(AL204="","",IF(AL204&lt;=50,"Good",IF(AL204&lt;=100,"Satisfactory",IF(AL204&lt;=200,"Moderate",IF(AL204&lt;=300,"Poor",IF(AL204&lt;=400,"Very Poor","Severe"))))))</f>
        <v>Moderate</v>
      </c>
    </row>
    <row r="205" customFormat="false" ht="15.75" hidden="false" customHeight="false" outlineLevel="0" collapsed="false">
      <c r="A205" s="1" t="s">
        <v>39</v>
      </c>
      <c r="B205" s="1" t="s">
        <v>40</v>
      </c>
      <c r="C205" s="1" t="n">
        <v>28.4595</v>
      </c>
      <c r="D205" s="1" t="n">
        <v>77.0266</v>
      </c>
      <c r="E205" s="5" t="n">
        <v>45909</v>
      </c>
      <c r="F205" s="6" t="s">
        <v>62</v>
      </c>
      <c r="G205" s="1" t="n">
        <v>9</v>
      </c>
      <c r="H205" s="7" t="s">
        <v>78</v>
      </c>
      <c r="I205" s="6" t="s">
        <v>43</v>
      </c>
      <c r="J205" s="7" t="s">
        <v>44</v>
      </c>
      <c r="K205" s="7" t="s">
        <v>60</v>
      </c>
      <c r="L205" s="1" t="n">
        <v>64</v>
      </c>
      <c r="M205" s="1" t="n">
        <v>23.8</v>
      </c>
      <c r="N205" s="1" t="n">
        <v>25.6</v>
      </c>
      <c r="O205" s="1" t="n">
        <v>0.1</v>
      </c>
      <c r="P205" s="6" t="s">
        <v>46</v>
      </c>
      <c r="Q205" s="6" t="s">
        <v>43</v>
      </c>
      <c r="R205" s="1" t="n">
        <v>1008.5</v>
      </c>
      <c r="S205" s="1" t="n">
        <v>20</v>
      </c>
      <c r="T205" s="1" t="n">
        <v>33.3</v>
      </c>
      <c r="U205" s="1" t="n">
        <v>77.8</v>
      </c>
      <c r="V205" s="1" t="n">
        <v>310</v>
      </c>
      <c r="W205" s="1" t="n">
        <v>7.5</v>
      </c>
      <c r="X205" s="1" t="n">
        <v>17.2</v>
      </c>
      <c r="Y205" s="1" t="n">
        <v>139</v>
      </c>
      <c r="Z205" s="1" t="n">
        <v>86</v>
      </c>
      <c r="AA205" s="1" t="n">
        <v>124</v>
      </c>
      <c r="AB205" s="7" t="s">
        <v>81</v>
      </c>
      <c r="AC205" s="7" t="s">
        <v>82</v>
      </c>
      <c r="AD205" s="7" t="s">
        <v>83</v>
      </c>
      <c r="AE205" s="7" t="s">
        <v>84</v>
      </c>
      <c r="AF205" s="4" t="n">
        <f aca="false">IF(T205="","",IF(T205&lt;=30,(50/30)*T205,IF(T205&lt;=60,50+((100-50)/(60-30))*(T205-30),IF(T205&lt;=90,100+((200-100)/(90-60))*(T205-60),IF(T205&lt;=120,200+((300-200)/(120-90))*(T205-90),IF(T205&lt;=250,300+((400-300)/(250-120))*(T205-120),IF(T205&lt;=380,400+((500-400)/(380-250))*(T205-250),500)))))))</f>
        <v>55.5</v>
      </c>
      <c r="AG205" s="4" t="n">
        <f aca="false">IF(U205="","",IF(U205&lt;=50,(50/50)*U205,IF(U205&lt;=100,50+((100-50)/(100-50))*(U205-50),IF(U205&lt;=250,100+((200-100)/(250-100))*(U205-100),IF(U205&lt;=350,200+((300-200)/(350-250))*(U205-250),IF(U205&lt;=430,300+((400-300)/(430-350))*(U205-350),IF(U205&lt;=600,400+((500-400)/(600-430))*(U205-430),500)))))))</f>
        <v>77.8</v>
      </c>
      <c r="AH205" s="4" t="n">
        <f aca="false">IF(V205="","",IF((V205/1000)&lt;=1,(50/1)*(V205/1000),IF((V205/1000)&lt;=2,50+((100-50)/(2-1))*(V205/1000-1),IF((V205/1000)&lt;=10,100+((200-100)/(10-2))*(V205/1000-2),IF((V205/1000)&lt;=17,200+((300-200)/(17-10))*(V205/1000-10),IF((V205/1000)&lt;=34,300+((400-300)/(34-17))*(V205/1000-17),IF((V205/1000)&lt;=57,400+((500-400)/(57-34))*(V205/1000-34),500)))))))</f>
        <v>15.5</v>
      </c>
      <c r="AI205" s="4" t="n">
        <f aca="false">IF(W205="","",IF(W205&lt;=40,(50/40)*W205,IF(W205&lt;=80,50+((100-50)/(80-40))*(W205-40),IF(W205&lt;=180,100+((200-100)/(180-80))*(W205-80),IF(W205&lt;=280,200+((300-200)/(280-180))*(W205-180),IF(W205&lt;=400,300+((400-300)/(400-280))*(W205-280),IF(W205&lt;=800,400+((500-400)/(800-400))*(W205-400),500)))))))</f>
        <v>9.375</v>
      </c>
      <c r="AJ205" s="4" t="n">
        <f aca="false">IF(X205="","",IF(X205&lt;=40,(50/40)*X205,IF(X205&lt;=80,50+((100-50)/(80-40))*(X205-40),IF(X205&lt;=380,100+((200-100)/(380-80))*(X205-80),IF(X205&lt;=800,200+((300-200)/(800-380))*(X205-380),IF(X205&lt;=1600,300+((400-300)/(1600-800))*(X205-800),IF(X205&lt;=2100,400+((500-400)/(2100-1600))*(X205-1600),500)))))))</f>
        <v>21.5</v>
      </c>
      <c r="AK205" s="4" t="n">
        <f aca="false">IF(Y205="","",IF(Y205&lt;=50,(50/50)*Y205,IF(Y205&lt;=100,50+((100-50)/(100-50))*(Y205-50),IF(Y205&lt;=168,100+((200-100)/(168-100))*(Y205-100),IF(Y205&lt;=208,200+((300-200)/(208-168))*(Y205-168),IF(Y205&lt;=748,300+((400-300)/(748-208))*(Y205-208),IF(Y205&lt;=1000,400+((500-400)/(1000-748))*(Y205-748),500)))))))</f>
        <v>157.352941176471</v>
      </c>
      <c r="AL205" s="4" t="n">
        <f aca="false">ROUND(MAX(AF205,AG205,AH205,AI205,AJ205,AK205),0)</f>
        <v>157</v>
      </c>
      <c r="AM205" s="4" t="str">
        <f aca="false">IF(AL205="","",IF(AL205&lt;=50,"Good",IF(AL205&lt;=100,"Satisfactory",IF(AL205&lt;=200,"Moderate",IF(AL205&lt;=300,"Poor",IF(AL205&lt;=400,"Very Poor","Severe"))))))</f>
        <v>Moderate</v>
      </c>
    </row>
    <row r="206" customFormat="false" ht="15.75" hidden="false" customHeight="false" outlineLevel="0" collapsed="false">
      <c r="A206" s="1" t="s">
        <v>39</v>
      </c>
      <c r="B206" s="1" t="s">
        <v>40</v>
      </c>
      <c r="C206" s="1" t="n">
        <v>28.4595</v>
      </c>
      <c r="D206" s="1" t="n">
        <v>77.0266</v>
      </c>
      <c r="E206" s="5" t="n">
        <v>45909</v>
      </c>
      <c r="F206" s="6" t="s">
        <v>63</v>
      </c>
      <c r="G206" s="1" t="n">
        <v>9</v>
      </c>
      <c r="H206" s="7" t="s">
        <v>78</v>
      </c>
      <c r="I206" s="6" t="s">
        <v>43</v>
      </c>
      <c r="J206" s="7" t="s">
        <v>44</v>
      </c>
      <c r="K206" s="7" t="s">
        <v>60</v>
      </c>
      <c r="L206" s="1" t="n">
        <v>62</v>
      </c>
      <c r="M206" s="1" t="n">
        <v>23.7</v>
      </c>
      <c r="N206" s="1" t="n">
        <v>23.4</v>
      </c>
      <c r="O206" s="1" t="n">
        <v>0</v>
      </c>
      <c r="P206" s="6" t="s">
        <v>43</v>
      </c>
      <c r="Q206" s="6" t="s">
        <v>43</v>
      </c>
      <c r="R206" s="1" t="n">
        <v>1007.8</v>
      </c>
      <c r="S206" s="1" t="n">
        <v>20</v>
      </c>
      <c r="T206" s="1" t="n">
        <v>32.1</v>
      </c>
      <c r="U206" s="1" t="n">
        <v>60.3</v>
      </c>
      <c r="V206" s="1" t="n">
        <v>241</v>
      </c>
      <c r="W206" s="1" t="n">
        <v>5.2</v>
      </c>
      <c r="X206" s="1" t="n">
        <v>17.3</v>
      </c>
      <c r="Y206" s="1" t="n">
        <v>157</v>
      </c>
      <c r="Z206" s="1" t="n">
        <v>47</v>
      </c>
      <c r="AA206" s="1" t="n">
        <v>126</v>
      </c>
      <c r="AB206" s="7" t="s">
        <v>81</v>
      </c>
      <c r="AC206" s="7" t="s">
        <v>82</v>
      </c>
      <c r="AD206" s="7" t="s">
        <v>83</v>
      </c>
      <c r="AE206" s="7" t="s">
        <v>84</v>
      </c>
      <c r="AF206" s="4" t="n">
        <f aca="false">IF(T206="","",IF(T206&lt;=30,(50/30)*T206,IF(T206&lt;=60,50+((100-50)/(60-30))*(T206-30),IF(T206&lt;=90,100+((200-100)/(90-60))*(T206-60),IF(T206&lt;=120,200+((300-200)/(120-90))*(T206-90),IF(T206&lt;=250,300+((400-300)/(250-120))*(T206-120),IF(T206&lt;=380,400+((500-400)/(380-250))*(T206-250),500)))))))</f>
        <v>53.5</v>
      </c>
      <c r="AG206" s="4" t="n">
        <f aca="false">IF(U206="","",IF(U206&lt;=50,(50/50)*U206,IF(U206&lt;=100,50+((100-50)/(100-50))*(U206-50),IF(U206&lt;=250,100+((200-100)/(250-100))*(U206-100),IF(U206&lt;=350,200+((300-200)/(350-250))*(U206-250),IF(U206&lt;=430,300+((400-300)/(430-350))*(U206-350),IF(U206&lt;=600,400+((500-400)/(600-430))*(U206-430),500)))))))</f>
        <v>60.3</v>
      </c>
      <c r="AH206" s="4" t="n">
        <f aca="false">IF(V206="","",IF((V206/1000)&lt;=1,(50/1)*(V206/1000),IF((V206/1000)&lt;=2,50+((100-50)/(2-1))*(V206/1000-1),IF((V206/1000)&lt;=10,100+((200-100)/(10-2))*(V206/1000-2),IF((V206/1000)&lt;=17,200+((300-200)/(17-10))*(V206/1000-10),IF((V206/1000)&lt;=34,300+((400-300)/(34-17))*(V206/1000-17),IF((V206/1000)&lt;=57,400+((500-400)/(57-34))*(V206/1000-34),500)))))))</f>
        <v>12.05</v>
      </c>
      <c r="AI206" s="4" t="n">
        <f aca="false">IF(W206="","",IF(W206&lt;=40,(50/40)*W206,IF(W206&lt;=80,50+((100-50)/(80-40))*(W206-40),IF(W206&lt;=180,100+((200-100)/(180-80))*(W206-80),IF(W206&lt;=280,200+((300-200)/(280-180))*(W206-180),IF(W206&lt;=400,300+((400-300)/(400-280))*(W206-280),IF(W206&lt;=800,400+((500-400)/(800-400))*(W206-400),500)))))))</f>
        <v>6.5</v>
      </c>
      <c r="AJ206" s="4" t="n">
        <f aca="false">IF(X206="","",IF(X206&lt;=40,(50/40)*X206,IF(X206&lt;=80,50+((100-50)/(80-40))*(X206-40),IF(X206&lt;=380,100+((200-100)/(380-80))*(X206-80),IF(X206&lt;=800,200+((300-200)/(800-380))*(X206-380),IF(X206&lt;=1600,300+((400-300)/(1600-800))*(X206-800),IF(X206&lt;=2100,400+((500-400)/(2100-1600))*(X206-1600),500)))))))</f>
        <v>21.625</v>
      </c>
      <c r="AK206" s="4" t="n">
        <f aca="false">IF(Y206="","",IF(Y206&lt;=50,(50/50)*Y206,IF(Y206&lt;=100,50+((100-50)/(100-50))*(Y206-50),IF(Y206&lt;=168,100+((200-100)/(168-100))*(Y206-100),IF(Y206&lt;=208,200+((300-200)/(208-168))*(Y206-168),IF(Y206&lt;=748,300+((400-300)/(748-208))*(Y206-208),IF(Y206&lt;=1000,400+((500-400)/(1000-748))*(Y206-748),500)))))))</f>
        <v>183.823529411765</v>
      </c>
      <c r="AL206" s="4" t="n">
        <f aca="false">ROUND(MAX(AF206,AG206,AH206,AI206,AJ206,AK206),0)</f>
        <v>184</v>
      </c>
      <c r="AM206" s="4" t="str">
        <f aca="false">IF(AL206="","",IF(AL206&lt;=50,"Good",IF(AL206&lt;=100,"Satisfactory",IF(AL206&lt;=200,"Moderate",IF(AL206&lt;=300,"Poor",IF(AL206&lt;=400,"Very Poor","Severe"))))))</f>
        <v>Moderate</v>
      </c>
    </row>
    <row r="207" customFormat="false" ht="15.75" hidden="false" customHeight="false" outlineLevel="0" collapsed="false">
      <c r="A207" s="1" t="s">
        <v>39</v>
      </c>
      <c r="B207" s="1" t="s">
        <v>40</v>
      </c>
      <c r="C207" s="1" t="n">
        <v>28.4595</v>
      </c>
      <c r="D207" s="1" t="n">
        <v>77.0266</v>
      </c>
      <c r="E207" s="5" t="n">
        <v>45909</v>
      </c>
      <c r="F207" s="6" t="s">
        <v>64</v>
      </c>
      <c r="G207" s="1" t="n">
        <v>9</v>
      </c>
      <c r="H207" s="7" t="s">
        <v>78</v>
      </c>
      <c r="I207" s="6" t="s">
        <v>43</v>
      </c>
      <c r="J207" s="7" t="s">
        <v>44</v>
      </c>
      <c r="K207" s="7" t="s">
        <v>65</v>
      </c>
      <c r="L207" s="1" t="n">
        <v>61</v>
      </c>
      <c r="M207" s="1" t="n">
        <v>23.8</v>
      </c>
      <c r="N207" s="1" t="n">
        <v>24.8</v>
      </c>
      <c r="O207" s="1" t="n">
        <v>0</v>
      </c>
      <c r="P207" s="6" t="s">
        <v>43</v>
      </c>
      <c r="Q207" s="6" t="s">
        <v>43</v>
      </c>
      <c r="R207" s="1" t="n">
        <v>1007</v>
      </c>
      <c r="S207" s="1" t="n">
        <v>22</v>
      </c>
      <c r="T207" s="1" t="n">
        <v>32</v>
      </c>
      <c r="U207" s="1" t="n">
        <v>53.6</v>
      </c>
      <c r="V207" s="1" t="n">
        <v>245</v>
      </c>
      <c r="W207" s="1" t="n">
        <v>4.8</v>
      </c>
      <c r="X207" s="1" t="n">
        <v>17.1</v>
      </c>
      <c r="Y207" s="1" t="n">
        <v>168</v>
      </c>
      <c r="Z207" s="1" t="n">
        <v>38</v>
      </c>
      <c r="AA207" s="1" t="n">
        <v>127</v>
      </c>
      <c r="AB207" s="7" t="s">
        <v>81</v>
      </c>
      <c r="AC207" s="7" t="s">
        <v>82</v>
      </c>
      <c r="AD207" s="7" t="s">
        <v>83</v>
      </c>
      <c r="AE207" s="7" t="s">
        <v>84</v>
      </c>
      <c r="AF207" s="4" t="n">
        <f aca="false">IF(T207="","",IF(T207&lt;=30,(50/30)*T207,IF(T207&lt;=60,50+((100-50)/(60-30))*(T207-30),IF(T207&lt;=90,100+((200-100)/(90-60))*(T207-60),IF(T207&lt;=120,200+((300-200)/(120-90))*(T207-90),IF(T207&lt;=250,300+((400-300)/(250-120))*(T207-120),IF(T207&lt;=380,400+((500-400)/(380-250))*(T207-250),500)))))))</f>
        <v>53.3333333333333</v>
      </c>
      <c r="AG207" s="4" t="n">
        <f aca="false">IF(U207="","",IF(U207&lt;=50,(50/50)*U207,IF(U207&lt;=100,50+((100-50)/(100-50))*(U207-50),IF(U207&lt;=250,100+((200-100)/(250-100))*(U207-100),IF(U207&lt;=350,200+((300-200)/(350-250))*(U207-250),IF(U207&lt;=430,300+((400-300)/(430-350))*(U207-350),IF(U207&lt;=600,400+((500-400)/(600-430))*(U207-430),500)))))))</f>
        <v>53.6</v>
      </c>
      <c r="AH207" s="4" t="n">
        <f aca="false">IF(V207="","",IF((V207/1000)&lt;=1,(50/1)*(V207/1000),IF((V207/1000)&lt;=2,50+((100-50)/(2-1))*(V207/1000-1),IF((V207/1000)&lt;=10,100+((200-100)/(10-2))*(V207/1000-2),IF((V207/1000)&lt;=17,200+((300-200)/(17-10))*(V207/1000-10),IF((V207/1000)&lt;=34,300+((400-300)/(34-17))*(V207/1000-17),IF((V207/1000)&lt;=57,400+((500-400)/(57-34))*(V207/1000-34),500)))))))</f>
        <v>12.25</v>
      </c>
      <c r="AI207" s="4" t="n">
        <f aca="false">IF(W207="","",IF(W207&lt;=40,(50/40)*W207,IF(W207&lt;=80,50+((100-50)/(80-40))*(W207-40),IF(W207&lt;=180,100+((200-100)/(180-80))*(W207-80),IF(W207&lt;=280,200+((300-200)/(280-180))*(W207-180),IF(W207&lt;=400,300+((400-300)/(400-280))*(W207-280),IF(W207&lt;=800,400+((500-400)/(800-400))*(W207-400),500)))))))</f>
        <v>6</v>
      </c>
      <c r="AJ207" s="4" t="n">
        <f aca="false">IF(X207="","",IF(X207&lt;=40,(50/40)*X207,IF(X207&lt;=80,50+((100-50)/(80-40))*(X207-40),IF(X207&lt;=380,100+((200-100)/(380-80))*(X207-80),IF(X207&lt;=800,200+((300-200)/(800-380))*(X207-380),IF(X207&lt;=1600,300+((400-300)/(1600-800))*(X207-800),IF(X207&lt;=2100,400+((500-400)/(2100-1600))*(X207-1600),500)))))))</f>
        <v>21.375</v>
      </c>
      <c r="AK207" s="4" t="n">
        <f aca="false">IF(Y207="","",IF(Y207&lt;=50,(50/50)*Y207,IF(Y207&lt;=100,50+((100-50)/(100-50))*(Y207-50),IF(Y207&lt;=168,100+((200-100)/(168-100))*(Y207-100),IF(Y207&lt;=208,200+((300-200)/(208-168))*(Y207-168),IF(Y207&lt;=748,300+((400-300)/(748-208))*(Y207-208),IF(Y207&lt;=1000,400+((500-400)/(1000-748))*(Y207-748),500)))))))</f>
        <v>200</v>
      </c>
      <c r="AL207" s="4" t="n">
        <f aca="false">ROUND(MAX(AF207,AG207,AH207,AI207,AJ207,AK207),0)</f>
        <v>200</v>
      </c>
      <c r="AM207" s="4" t="str">
        <f aca="false">IF(AL207="","",IF(AL207&lt;=50,"Good",IF(AL207&lt;=100,"Satisfactory",IF(AL207&lt;=200,"Moderate",IF(AL207&lt;=300,"Poor",IF(AL207&lt;=400,"Very Poor","Severe"))))))</f>
        <v>Moderate</v>
      </c>
    </row>
    <row r="208" customFormat="false" ht="15.75" hidden="false" customHeight="false" outlineLevel="0" collapsed="false">
      <c r="A208" s="1" t="s">
        <v>39</v>
      </c>
      <c r="B208" s="1" t="s">
        <v>40</v>
      </c>
      <c r="C208" s="1" t="n">
        <v>28.4595</v>
      </c>
      <c r="D208" s="1" t="n">
        <v>77.0266</v>
      </c>
      <c r="E208" s="5" t="n">
        <v>45909</v>
      </c>
      <c r="F208" s="6" t="s">
        <v>66</v>
      </c>
      <c r="G208" s="1" t="n">
        <v>9</v>
      </c>
      <c r="H208" s="7" t="s">
        <v>78</v>
      </c>
      <c r="I208" s="6" t="s">
        <v>43</v>
      </c>
      <c r="J208" s="7" t="s">
        <v>44</v>
      </c>
      <c r="K208" s="7" t="s">
        <v>65</v>
      </c>
      <c r="L208" s="1" t="n">
        <v>61</v>
      </c>
      <c r="M208" s="1" t="n">
        <v>23.7</v>
      </c>
      <c r="N208" s="1" t="n">
        <v>25.6</v>
      </c>
      <c r="O208" s="1" t="n">
        <v>0</v>
      </c>
      <c r="P208" s="6" t="s">
        <v>43</v>
      </c>
      <c r="Q208" s="6" t="s">
        <v>43</v>
      </c>
      <c r="R208" s="1" t="n">
        <v>1005.7</v>
      </c>
      <c r="S208" s="1" t="n">
        <v>11</v>
      </c>
      <c r="T208" s="1" t="n">
        <v>31.4</v>
      </c>
      <c r="U208" s="1" t="n">
        <v>51.1</v>
      </c>
      <c r="V208" s="1" t="n">
        <v>272</v>
      </c>
      <c r="W208" s="1" t="n">
        <v>5.8</v>
      </c>
      <c r="X208" s="1" t="n">
        <v>16.7</v>
      </c>
      <c r="Y208" s="1" t="n">
        <v>171</v>
      </c>
      <c r="Z208" s="1" t="n">
        <v>38</v>
      </c>
      <c r="AA208" s="1" t="n">
        <v>128</v>
      </c>
      <c r="AB208" s="7" t="s">
        <v>81</v>
      </c>
      <c r="AC208" s="7" t="s">
        <v>82</v>
      </c>
      <c r="AD208" s="7" t="s">
        <v>83</v>
      </c>
      <c r="AE208" s="7" t="s">
        <v>84</v>
      </c>
      <c r="AF208" s="4" t="n">
        <f aca="false">IF(T208="","",IF(T208&lt;=30,(50/30)*T208,IF(T208&lt;=60,50+((100-50)/(60-30))*(T208-30),IF(T208&lt;=90,100+((200-100)/(90-60))*(T208-60),IF(T208&lt;=120,200+((300-200)/(120-90))*(T208-90),IF(T208&lt;=250,300+((400-300)/(250-120))*(T208-120),IF(T208&lt;=380,400+((500-400)/(380-250))*(T208-250),500)))))))</f>
        <v>52.3333333333333</v>
      </c>
      <c r="AG208" s="4" t="n">
        <f aca="false">IF(U208="","",IF(U208&lt;=50,(50/50)*U208,IF(U208&lt;=100,50+((100-50)/(100-50))*(U208-50),IF(U208&lt;=250,100+((200-100)/(250-100))*(U208-100),IF(U208&lt;=350,200+((300-200)/(350-250))*(U208-250),IF(U208&lt;=430,300+((400-300)/(430-350))*(U208-350),IF(U208&lt;=600,400+((500-400)/(600-430))*(U208-430),500)))))))</f>
        <v>51.1</v>
      </c>
      <c r="AH208" s="4" t="n">
        <f aca="false">IF(V208="","",IF((V208/1000)&lt;=1,(50/1)*(V208/1000),IF((V208/1000)&lt;=2,50+((100-50)/(2-1))*(V208/1000-1),IF((V208/1000)&lt;=10,100+((200-100)/(10-2))*(V208/1000-2),IF((V208/1000)&lt;=17,200+((300-200)/(17-10))*(V208/1000-10),IF((V208/1000)&lt;=34,300+((400-300)/(34-17))*(V208/1000-17),IF((V208/1000)&lt;=57,400+((500-400)/(57-34))*(V208/1000-34),500)))))))</f>
        <v>13.6</v>
      </c>
      <c r="AI208" s="4" t="n">
        <f aca="false">IF(W208="","",IF(W208&lt;=40,(50/40)*W208,IF(W208&lt;=80,50+((100-50)/(80-40))*(W208-40),IF(W208&lt;=180,100+((200-100)/(180-80))*(W208-80),IF(W208&lt;=280,200+((300-200)/(280-180))*(W208-180),IF(W208&lt;=400,300+((400-300)/(400-280))*(W208-280),IF(W208&lt;=800,400+((500-400)/(800-400))*(W208-400),500)))))))</f>
        <v>7.25</v>
      </c>
      <c r="AJ208" s="4" t="n">
        <f aca="false">IF(X208="","",IF(X208&lt;=40,(50/40)*X208,IF(X208&lt;=80,50+((100-50)/(80-40))*(X208-40),IF(X208&lt;=380,100+((200-100)/(380-80))*(X208-80),IF(X208&lt;=800,200+((300-200)/(800-380))*(X208-380),IF(X208&lt;=1600,300+((400-300)/(1600-800))*(X208-800),IF(X208&lt;=2100,400+((500-400)/(2100-1600))*(X208-1600),500)))))))</f>
        <v>20.875</v>
      </c>
      <c r="AK208" s="4" t="n">
        <f aca="false">IF(Y208="","",IF(Y208&lt;=50,(50/50)*Y208,IF(Y208&lt;=100,50+((100-50)/(100-50))*(Y208-50),IF(Y208&lt;=168,100+((200-100)/(168-100))*(Y208-100),IF(Y208&lt;=208,200+((300-200)/(208-168))*(Y208-168),IF(Y208&lt;=748,300+((400-300)/(748-208))*(Y208-208),IF(Y208&lt;=1000,400+((500-400)/(1000-748))*(Y208-748),500)))))))</f>
        <v>207.5</v>
      </c>
      <c r="AL208" s="4" t="n">
        <f aca="false">ROUND(MAX(AF208,AG208,AH208,AI208,AJ208,AK208),0)</f>
        <v>208</v>
      </c>
      <c r="AM208" s="4" t="str">
        <f aca="false">IF(AL208="","",IF(AL208&lt;=50,"Good",IF(AL208&lt;=100,"Satisfactory",IF(AL208&lt;=200,"Moderate",IF(AL208&lt;=300,"Poor",IF(AL208&lt;=400,"Very Poor","Severe"))))))</f>
        <v>Poor</v>
      </c>
    </row>
    <row r="209" customFormat="false" ht="15.75" hidden="false" customHeight="false" outlineLevel="0" collapsed="false">
      <c r="A209" s="1" t="s">
        <v>39</v>
      </c>
      <c r="B209" s="1" t="s">
        <v>40</v>
      </c>
      <c r="C209" s="1" t="n">
        <v>28.4595</v>
      </c>
      <c r="D209" s="1" t="n">
        <v>77.0266</v>
      </c>
      <c r="E209" s="5" t="n">
        <v>45909</v>
      </c>
      <c r="F209" s="6" t="s">
        <v>67</v>
      </c>
      <c r="G209" s="1" t="n">
        <v>9</v>
      </c>
      <c r="H209" s="7" t="s">
        <v>78</v>
      </c>
      <c r="I209" s="6" t="s">
        <v>43</v>
      </c>
      <c r="J209" s="7" t="s">
        <v>44</v>
      </c>
      <c r="K209" s="7" t="s">
        <v>65</v>
      </c>
      <c r="L209" s="1" t="n">
        <v>60</v>
      </c>
      <c r="M209" s="1" t="n">
        <v>23.6</v>
      </c>
      <c r="N209" s="1" t="n">
        <v>25.6</v>
      </c>
      <c r="O209" s="1" t="n">
        <v>0</v>
      </c>
      <c r="P209" s="6" t="s">
        <v>43</v>
      </c>
      <c r="Q209" s="6" t="s">
        <v>43</v>
      </c>
      <c r="R209" s="1" t="n">
        <v>1005</v>
      </c>
      <c r="S209" s="1" t="n">
        <v>7</v>
      </c>
      <c r="T209" s="1" t="n">
        <v>29.7</v>
      </c>
      <c r="U209" s="1" t="n">
        <v>51.6</v>
      </c>
      <c r="V209" s="1" t="n">
        <v>304</v>
      </c>
      <c r="W209" s="1" t="n">
        <v>8.4</v>
      </c>
      <c r="X209" s="1" t="n">
        <v>15.8</v>
      </c>
      <c r="Y209" s="1" t="n">
        <v>162</v>
      </c>
      <c r="Z209" s="1" t="n">
        <v>43</v>
      </c>
      <c r="AA209" s="1" t="n">
        <v>130</v>
      </c>
      <c r="AB209" s="7" t="s">
        <v>81</v>
      </c>
      <c r="AC209" s="7" t="s">
        <v>82</v>
      </c>
      <c r="AD209" s="7" t="s">
        <v>83</v>
      </c>
      <c r="AE209" s="7" t="s">
        <v>84</v>
      </c>
      <c r="AF209" s="4" t="n">
        <f aca="false">IF(T209="","",IF(T209&lt;=30,(50/30)*T209,IF(T209&lt;=60,50+((100-50)/(60-30))*(T209-30),IF(T209&lt;=90,100+((200-100)/(90-60))*(T209-60),IF(T209&lt;=120,200+((300-200)/(120-90))*(T209-90),IF(T209&lt;=250,300+((400-300)/(250-120))*(T209-120),IF(T209&lt;=380,400+((500-400)/(380-250))*(T209-250),500)))))))</f>
        <v>49.5</v>
      </c>
      <c r="AG209" s="4" t="n">
        <f aca="false">IF(U209="","",IF(U209&lt;=50,(50/50)*U209,IF(U209&lt;=100,50+((100-50)/(100-50))*(U209-50),IF(U209&lt;=250,100+((200-100)/(250-100))*(U209-100),IF(U209&lt;=350,200+((300-200)/(350-250))*(U209-250),IF(U209&lt;=430,300+((400-300)/(430-350))*(U209-350),IF(U209&lt;=600,400+((500-400)/(600-430))*(U209-430),500)))))))</f>
        <v>51.6</v>
      </c>
      <c r="AH209" s="4" t="n">
        <f aca="false">IF(V209="","",IF((V209/1000)&lt;=1,(50/1)*(V209/1000),IF((V209/1000)&lt;=2,50+((100-50)/(2-1))*(V209/1000-1),IF((V209/1000)&lt;=10,100+((200-100)/(10-2))*(V209/1000-2),IF((V209/1000)&lt;=17,200+((300-200)/(17-10))*(V209/1000-10),IF((V209/1000)&lt;=34,300+((400-300)/(34-17))*(V209/1000-17),IF((V209/1000)&lt;=57,400+((500-400)/(57-34))*(V209/1000-34),500)))))))</f>
        <v>15.2</v>
      </c>
      <c r="AI209" s="4" t="n">
        <f aca="false">IF(W209="","",IF(W209&lt;=40,(50/40)*W209,IF(W209&lt;=80,50+((100-50)/(80-40))*(W209-40),IF(W209&lt;=180,100+((200-100)/(180-80))*(W209-80),IF(W209&lt;=280,200+((300-200)/(280-180))*(W209-180),IF(W209&lt;=400,300+((400-300)/(400-280))*(W209-280),IF(W209&lt;=800,400+((500-400)/(800-400))*(W209-400),500)))))))</f>
        <v>10.5</v>
      </c>
      <c r="AJ209" s="4" t="n">
        <f aca="false">IF(X209="","",IF(X209&lt;=40,(50/40)*X209,IF(X209&lt;=80,50+((100-50)/(80-40))*(X209-40),IF(X209&lt;=380,100+((200-100)/(380-80))*(X209-80),IF(X209&lt;=800,200+((300-200)/(800-380))*(X209-380),IF(X209&lt;=1600,300+((400-300)/(1600-800))*(X209-800),IF(X209&lt;=2100,400+((500-400)/(2100-1600))*(X209-1600),500)))))))</f>
        <v>19.75</v>
      </c>
      <c r="AK209" s="4" t="n">
        <f aca="false">IF(Y209="","",IF(Y209&lt;=50,(50/50)*Y209,IF(Y209&lt;=100,50+((100-50)/(100-50))*(Y209-50),IF(Y209&lt;=168,100+((200-100)/(168-100))*(Y209-100),IF(Y209&lt;=208,200+((300-200)/(208-168))*(Y209-168),IF(Y209&lt;=748,300+((400-300)/(748-208))*(Y209-208),IF(Y209&lt;=1000,400+((500-400)/(1000-748))*(Y209-748),500)))))))</f>
        <v>191.176470588235</v>
      </c>
      <c r="AL209" s="4" t="n">
        <f aca="false">ROUND(MAX(AF209,AG209,AH209,AI209,AJ209,AK209),0)</f>
        <v>191</v>
      </c>
      <c r="AM209" s="4" t="str">
        <f aca="false">IF(AL209="","",IF(AL209&lt;=50,"Good",IF(AL209&lt;=100,"Satisfactory",IF(AL209&lt;=200,"Moderate",IF(AL209&lt;=300,"Poor",IF(AL209&lt;=400,"Very Poor","Severe"))))))</f>
        <v>Moderate</v>
      </c>
    </row>
    <row r="210" customFormat="false" ht="15.75" hidden="false" customHeight="false" outlineLevel="0" collapsed="false">
      <c r="A210" s="1" t="s">
        <v>39</v>
      </c>
      <c r="B210" s="1" t="s">
        <v>40</v>
      </c>
      <c r="C210" s="1" t="n">
        <v>28.4595</v>
      </c>
      <c r="D210" s="1" t="n">
        <v>77.0266</v>
      </c>
      <c r="E210" s="5" t="n">
        <v>45909</v>
      </c>
      <c r="F210" s="6" t="s">
        <v>68</v>
      </c>
      <c r="G210" s="1" t="n">
        <v>9</v>
      </c>
      <c r="H210" s="7" t="s">
        <v>78</v>
      </c>
      <c r="I210" s="6" t="s">
        <v>43</v>
      </c>
      <c r="J210" s="7" t="s">
        <v>44</v>
      </c>
      <c r="K210" s="7" t="s">
        <v>65</v>
      </c>
      <c r="L210" s="1" t="n">
        <v>61</v>
      </c>
      <c r="M210" s="1" t="n">
        <v>23.6</v>
      </c>
      <c r="N210" s="1" t="n">
        <v>25.6</v>
      </c>
      <c r="O210" s="1" t="n">
        <v>0</v>
      </c>
      <c r="P210" s="6" t="s">
        <v>43</v>
      </c>
      <c r="Q210" s="6" t="s">
        <v>43</v>
      </c>
      <c r="R210" s="1" t="n">
        <v>1004.5</v>
      </c>
      <c r="S210" s="1" t="n">
        <v>5</v>
      </c>
      <c r="T210" s="1" t="n">
        <v>28.1</v>
      </c>
      <c r="U210" s="1" t="n">
        <v>59</v>
      </c>
      <c r="V210" s="1" t="n">
        <v>358</v>
      </c>
      <c r="W210" s="1" t="n">
        <v>12.5</v>
      </c>
      <c r="X210" s="1" t="n">
        <v>14.7</v>
      </c>
      <c r="Y210" s="1" t="n">
        <v>144</v>
      </c>
      <c r="Z210" s="1" t="n">
        <v>57</v>
      </c>
      <c r="AA210" s="1" t="n">
        <v>131</v>
      </c>
      <c r="AB210" s="7" t="s">
        <v>81</v>
      </c>
      <c r="AC210" s="7" t="s">
        <v>82</v>
      </c>
      <c r="AD210" s="7" t="s">
        <v>83</v>
      </c>
      <c r="AE210" s="7" t="s">
        <v>84</v>
      </c>
      <c r="AF210" s="4" t="n">
        <f aca="false">IF(T210="","",IF(T210&lt;=30,(50/30)*T210,IF(T210&lt;=60,50+((100-50)/(60-30))*(T210-30),IF(T210&lt;=90,100+((200-100)/(90-60))*(T210-60),IF(T210&lt;=120,200+((300-200)/(120-90))*(T210-90),IF(T210&lt;=250,300+((400-300)/(250-120))*(T210-120),IF(T210&lt;=380,400+((500-400)/(380-250))*(T210-250),500)))))))</f>
        <v>46.8333333333333</v>
      </c>
      <c r="AG210" s="4" t="n">
        <f aca="false">IF(U210="","",IF(U210&lt;=50,(50/50)*U210,IF(U210&lt;=100,50+((100-50)/(100-50))*(U210-50),IF(U210&lt;=250,100+((200-100)/(250-100))*(U210-100),IF(U210&lt;=350,200+((300-200)/(350-250))*(U210-250),IF(U210&lt;=430,300+((400-300)/(430-350))*(U210-350),IF(U210&lt;=600,400+((500-400)/(600-430))*(U210-430),500)))))))</f>
        <v>59</v>
      </c>
      <c r="AH210" s="4" t="n">
        <f aca="false">IF(V210="","",IF((V210/1000)&lt;=1,(50/1)*(V210/1000),IF((V210/1000)&lt;=2,50+((100-50)/(2-1))*(V210/1000-1),IF((V210/1000)&lt;=10,100+((200-100)/(10-2))*(V210/1000-2),IF((V210/1000)&lt;=17,200+((300-200)/(17-10))*(V210/1000-10),IF((V210/1000)&lt;=34,300+((400-300)/(34-17))*(V210/1000-17),IF((V210/1000)&lt;=57,400+((500-400)/(57-34))*(V210/1000-34),500)))))))</f>
        <v>17.9</v>
      </c>
      <c r="AI210" s="4" t="n">
        <f aca="false">IF(W210="","",IF(W210&lt;=40,(50/40)*W210,IF(W210&lt;=80,50+((100-50)/(80-40))*(W210-40),IF(W210&lt;=180,100+((200-100)/(180-80))*(W210-80),IF(W210&lt;=280,200+((300-200)/(280-180))*(W210-180),IF(W210&lt;=400,300+((400-300)/(400-280))*(W210-280),IF(W210&lt;=800,400+((500-400)/(800-400))*(W210-400),500)))))))</f>
        <v>15.625</v>
      </c>
      <c r="AJ210" s="4" t="n">
        <f aca="false">IF(X210="","",IF(X210&lt;=40,(50/40)*X210,IF(X210&lt;=80,50+((100-50)/(80-40))*(X210-40),IF(X210&lt;=380,100+((200-100)/(380-80))*(X210-80),IF(X210&lt;=800,200+((300-200)/(800-380))*(X210-380),IF(X210&lt;=1600,300+((400-300)/(1600-800))*(X210-800),IF(X210&lt;=2100,400+((500-400)/(2100-1600))*(X210-1600),500)))))))</f>
        <v>18.375</v>
      </c>
      <c r="AK210" s="4" t="n">
        <f aca="false">IF(Y210="","",IF(Y210&lt;=50,(50/50)*Y210,IF(Y210&lt;=100,50+((100-50)/(100-50))*(Y210-50),IF(Y210&lt;=168,100+((200-100)/(168-100))*(Y210-100),IF(Y210&lt;=208,200+((300-200)/(208-168))*(Y210-168),IF(Y210&lt;=748,300+((400-300)/(748-208))*(Y210-208),IF(Y210&lt;=1000,400+((500-400)/(1000-748))*(Y210-748),500)))))))</f>
        <v>164.705882352941</v>
      </c>
      <c r="AL210" s="4" t="n">
        <f aca="false">ROUND(MAX(AF210,AG210,AH210,AI210,AJ210,AK210),0)</f>
        <v>165</v>
      </c>
      <c r="AM210" s="4" t="str">
        <f aca="false">IF(AL210="","",IF(AL210&lt;=50,"Good",IF(AL210&lt;=100,"Satisfactory",IF(AL210&lt;=200,"Moderate",IF(AL210&lt;=300,"Poor",IF(AL210&lt;=400,"Very Poor","Severe"))))))</f>
        <v>Moderate</v>
      </c>
    </row>
    <row r="211" customFormat="false" ht="15.75" hidden="false" customHeight="false" outlineLevel="0" collapsed="false">
      <c r="A211" s="1" t="s">
        <v>39</v>
      </c>
      <c r="B211" s="1" t="s">
        <v>40</v>
      </c>
      <c r="C211" s="1" t="n">
        <v>28.4595</v>
      </c>
      <c r="D211" s="1" t="n">
        <v>77.0266</v>
      </c>
      <c r="E211" s="5" t="n">
        <v>45909</v>
      </c>
      <c r="F211" s="6" t="s">
        <v>69</v>
      </c>
      <c r="G211" s="1" t="n">
        <v>9</v>
      </c>
      <c r="H211" s="7" t="s">
        <v>78</v>
      </c>
      <c r="I211" s="6" t="s">
        <v>43</v>
      </c>
      <c r="J211" s="7" t="s">
        <v>44</v>
      </c>
      <c r="K211" s="7" t="s">
        <v>65</v>
      </c>
      <c r="L211" s="1" t="n">
        <v>68</v>
      </c>
      <c r="M211" s="1" t="n">
        <v>24.3</v>
      </c>
      <c r="N211" s="1" t="n">
        <v>24.8</v>
      </c>
      <c r="O211" s="1" t="n">
        <v>0</v>
      </c>
      <c r="P211" s="6" t="s">
        <v>43</v>
      </c>
      <c r="Q211" s="6" t="s">
        <v>43</v>
      </c>
      <c r="R211" s="1" t="n">
        <v>1004.3</v>
      </c>
      <c r="S211" s="1" t="n">
        <v>5</v>
      </c>
      <c r="T211" s="1" t="n">
        <v>46.7</v>
      </c>
      <c r="U211" s="1" t="n">
        <v>268.2</v>
      </c>
      <c r="V211" s="1" t="n">
        <v>432</v>
      </c>
      <c r="W211" s="1" t="n">
        <v>19.7</v>
      </c>
      <c r="X211" s="1" t="n">
        <v>13.4</v>
      </c>
      <c r="Y211" s="1" t="n">
        <v>113</v>
      </c>
      <c r="Z211" s="1" t="n">
        <v>433</v>
      </c>
      <c r="AA211" s="1" t="n">
        <v>133</v>
      </c>
      <c r="AB211" s="7" t="s">
        <v>81</v>
      </c>
      <c r="AC211" s="7" t="s">
        <v>82</v>
      </c>
      <c r="AD211" s="7" t="s">
        <v>83</v>
      </c>
      <c r="AE211" s="7" t="s">
        <v>84</v>
      </c>
      <c r="AF211" s="4" t="n">
        <f aca="false">IF(T211="","",IF(T211&lt;=30,(50/30)*T211,IF(T211&lt;=60,50+((100-50)/(60-30))*(T211-30),IF(T211&lt;=90,100+((200-100)/(90-60))*(T211-60),IF(T211&lt;=120,200+((300-200)/(120-90))*(T211-90),IF(T211&lt;=250,300+((400-300)/(250-120))*(T211-120),IF(T211&lt;=380,400+((500-400)/(380-250))*(T211-250),500)))))))</f>
        <v>77.8333333333333</v>
      </c>
      <c r="AG211" s="4" t="n">
        <f aca="false">IF(U211="","",IF(U211&lt;=50,(50/50)*U211,IF(U211&lt;=100,50+((100-50)/(100-50))*(U211-50),IF(U211&lt;=250,100+((200-100)/(250-100))*(U211-100),IF(U211&lt;=350,200+((300-200)/(350-250))*(U211-250),IF(U211&lt;=430,300+((400-300)/(430-350))*(U211-350),IF(U211&lt;=600,400+((500-400)/(600-430))*(U211-430),500)))))))</f>
        <v>218.2</v>
      </c>
      <c r="AH211" s="4" t="n">
        <f aca="false">IF(V211="","",IF((V211/1000)&lt;=1,(50/1)*(V211/1000),IF((V211/1000)&lt;=2,50+((100-50)/(2-1))*(V211/1000-1),IF((V211/1000)&lt;=10,100+((200-100)/(10-2))*(V211/1000-2),IF((V211/1000)&lt;=17,200+((300-200)/(17-10))*(V211/1000-10),IF((V211/1000)&lt;=34,300+((400-300)/(34-17))*(V211/1000-17),IF((V211/1000)&lt;=57,400+((500-400)/(57-34))*(V211/1000-34),500)))))))</f>
        <v>21.6</v>
      </c>
      <c r="AI211" s="4" t="n">
        <f aca="false">IF(W211="","",IF(W211&lt;=40,(50/40)*W211,IF(W211&lt;=80,50+((100-50)/(80-40))*(W211-40),IF(W211&lt;=180,100+((200-100)/(180-80))*(W211-80),IF(W211&lt;=280,200+((300-200)/(280-180))*(W211-180),IF(W211&lt;=400,300+((400-300)/(400-280))*(W211-280),IF(W211&lt;=800,400+((500-400)/(800-400))*(W211-400),500)))))))</f>
        <v>24.625</v>
      </c>
      <c r="AJ211" s="4" t="n">
        <f aca="false">IF(X211="","",IF(X211&lt;=40,(50/40)*X211,IF(X211&lt;=80,50+((100-50)/(80-40))*(X211-40),IF(X211&lt;=380,100+((200-100)/(380-80))*(X211-80),IF(X211&lt;=800,200+((300-200)/(800-380))*(X211-380),IF(X211&lt;=1600,300+((400-300)/(1600-800))*(X211-800),IF(X211&lt;=2100,400+((500-400)/(2100-1600))*(X211-1600),500)))))))</f>
        <v>16.75</v>
      </c>
      <c r="AK211" s="4" t="n">
        <f aca="false">IF(Y211="","",IF(Y211&lt;=50,(50/50)*Y211,IF(Y211&lt;=100,50+((100-50)/(100-50))*(Y211-50),IF(Y211&lt;=168,100+((200-100)/(168-100))*(Y211-100),IF(Y211&lt;=208,200+((300-200)/(208-168))*(Y211-168),IF(Y211&lt;=748,300+((400-300)/(748-208))*(Y211-208),IF(Y211&lt;=1000,400+((500-400)/(1000-748))*(Y211-748),500)))))))</f>
        <v>119.117647058824</v>
      </c>
      <c r="AL211" s="4" t="n">
        <f aca="false">ROUND(MAX(AF211,AG211,AH211,AI211,AJ211,AK211),0)</f>
        <v>218</v>
      </c>
      <c r="AM211" s="4" t="str">
        <f aca="false">IF(AL211="","",IF(AL211&lt;=50,"Good",IF(AL211&lt;=100,"Satisfactory",IF(AL211&lt;=200,"Moderate",IF(AL211&lt;=300,"Poor",IF(AL211&lt;=400,"Very Poor","Severe"))))))</f>
        <v>Poor</v>
      </c>
    </row>
    <row r="212" customFormat="false" ht="15.75" hidden="false" customHeight="false" outlineLevel="0" collapsed="false">
      <c r="A212" s="1" t="s">
        <v>39</v>
      </c>
      <c r="B212" s="1" t="s">
        <v>40</v>
      </c>
      <c r="C212" s="1" t="n">
        <v>28.4595</v>
      </c>
      <c r="D212" s="1" t="n">
        <v>77.0266</v>
      </c>
      <c r="E212" s="5" t="n">
        <v>45909</v>
      </c>
      <c r="F212" s="6" t="s">
        <v>70</v>
      </c>
      <c r="G212" s="1" t="n">
        <v>9</v>
      </c>
      <c r="H212" s="7" t="s">
        <v>78</v>
      </c>
      <c r="I212" s="6" t="s">
        <v>43</v>
      </c>
      <c r="J212" s="7" t="s">
        <v>44</v>
      </c>
      <c r="K212" s="7" t="s">
        <v>71</v>
      </c>
      <c r="L212" s="1" t="n">
        <v>74</v>
      </c>
      <c r="M212" s="1" t="n">
        <v>25.1</v>
      </c>
      <c r="N212" s="1" t="n">
        <v>13.3</v>
      </c>
      <c r="O212" s="1" t="n">
        <v>0</v>
      </c>
      <c r="P212" s="6" t="s">
        <v>43</v>
      </c>
      <c r="Q212" s="6" t="s">
        <v>43</v>
      </c>
      <c r="R212" s="1" t="n">
        <v>1005.5</v>
      </c>
      <c r="S212" s="1" t="n">
        <v>5</v>
      </c>
      <c r="T212" s="1" t="n">
        <v>45.8</v>
      </c>
      <c r="U212" s="1" t="n">
        <v>182.5</v>
      </c>
      <c r="V212" s="1" t="n">
        <v>549</v>
      </c>
      <c r="W212" s="1" t="n">
        <v>29.9</v>
      </c>
      <c r="X212" s="1" t="n">
        <v>15.1</v>
      </c>
      <c r="Y212" s="1" t="n">
        <v>92</v>
      </c>
      <c r="Z212" s="1" t="n">
        <v>354</v>
      </c>
      <c r="AA212" s="1" t="n">
        <v>136</v>
      </c>
      <c r="AB212" s="7" t="s">
        <v>81</v>
      </c>
      <c r="AC212" s="7" t="s">
        <v>82</v>
      </c>
      <c r="AD212" s="7" t="s">
        <v>83</v>
      </c>
      <c r="AE212" s="7" t="s">
        <v>84</v>
      </c>
      <c r="AF212" s="4" t="n">
        <f aca="false">IF(T212="","",IF(T212&lt;=30,(50/30)*T212,IF(T212&lt;=60,50+((100-50)/(60-30))*(T212-30),IF(T212&lt;=90,100+((200-100)/(90-60))*(T212-60),IF(T212&lt;=120,200+((300-200)/(120-90))*(T212-90),IF(T212&lt;=250,300+((400-300)/(250-120))*(T212-120),IF(T212&lt;=380,400+((500-400)/(380-250))*(T212-250),500)))))))</f>
        <v>76.3333333333333</v>
      </c>
      <c r="AG212" s="4" t="n">
        <f aca="false">IF(U212="","",IF(U212&lt;=50,(50/50)*U212,IF(U212&lt;=100,50+((100-50)/(100-50))*(U212-50),IF(U212&lt;=250,100+((200-100)/(250-100))*(U212-100),IF(U212&lt;=350,200+((300-200)/(350-250))*(U212-250),IF(U212&lt;=430,300+((400-300)/(430-350))*(U212-350),IF(U212&lt;=600,400+((500-400)/(600-430))*(U212-430),500)))))))</f>
        <v>155</v>
      </c>
      <c r="AH212" s="4" t="n">
        <f aca="false">IF(V212="","",IF((V212/1000)&lt;=1,(50/1)*(V212/1000),IF((V212/1000)&lt;=2,50+((100-50)/(2-1))*(V212/1000-1),IF((V212/1000)&lt;=10,100+((200-100)/(10-2))*(V212/1000-2),IF((V212/1000)&lt;=17,200+((300-200)/(17-10))*(V212/1000-10),IF((V212/1000)&lt;=34,300+((400-300)/(34-17))*(V212/1000-17),IF((V212/1000)&lt;=57,400+((500-400)/(57-34))*(V212/1000-34),500)))))))</f>
        <v>27.45</v>
      </c>
      <c r="AI212" s="4" t="n">
        <f aca="false">IF(W212="","",IF(W212&lt;=40,(50/40)*W212,IF(W212&lt;=80,50+((100-50)/(80-40))*(W212-40),IF(W212&lt;=180,100+((200-100)/(180-80))*(W212-80),IF(W212&lt;=280,200+((300-200)/(280-180))*(W212-180),IF(W212&lt;=400,300+((400-300)/(400-280))*(W212-280),IF(W212&lt;=800,400+((500-400)/(800-400))*(W212-400),500)))))))</f>
        <v>37.375</v>
      </c>
      <c r="AJ212" s="4" t="n">
        <f aca="false">IF(X212="","",IF(X212&lt;=40,(50/40)*X212,IF(X212&lt;=80,50+((100-50)/(80-40))*(X212-40),IF(X212&lt;=380,100+((200-100)/(380-80))*(X212-80),IF(X212&lt;=800,200+((300-200)/(800-380))*(X212-380),IF(X212&lt;=1600,300+((400-300)/(1600-800))*(X212-800),IF(X212&lt;=2100,400+((500-400)/(2100-1600))*(X212-1600),500)))))))</f>
        <v>18.875</v>
      </c>
      <c r="AK212" s="4" t="n">
        <f aca="false">IF(Y212="","",IF(Y212&lt;=50,(50/50)*Y212,IF(Y212&lt;=100,50+((100-50)/(100-50))*(Y212-50),IF(Y212&lt;=168,100+((200-100)/(168-100))*(Y212-100),IF(Y212&lt;=208,200+((300-200)/(208-168))*(Y212-168),IF(Y212&lt;=748,300+((400-300)/(748-208))*(Y212-208),IF(Y212&lt;=1000,400+((500-400)/(1000-748))*(Y212-748),500)))))))</f>
        <v>92</v>
      </c>
      <c r="AL212" s="4" t="n">
        <f aca="false">ROUND(MAX(AF212,AG212,AH212,AI212,AJ212,AK212),0)</f>
        <v>155</v>
      </c>
      <c r="AM212" s="4" t="str">
        <f aca="false">IF(AL212="","",IF(AL212&lt;=50,"Good",IF(AL212&lt;=100,"Satisfactory",IF(AL212&lt;=200,"Moderate",IF(AL212&lt;=300,"Poor",IF(AL212&lt;=400,"Very Poor","Severe"))))))</f>
        <v>Moderate</v>
      </c>
    </row>
    <row r="213" customFormat="false" ht="15.75" hidden="false" customHeight="false" outlineLevel="0" collapsed="false">
      <c r="A213" s="1" t="s">
        <v>39</v>
      </c>
      <c r="B213" s="1" t="s">
        <v>40</v>
      </c>
      <c r="C213" s="1" t="n">
        <v>28.4595</v>
      </c>
      <c r="D213" s="1" t="n">
        <v>77.0266</v>
      </c>
      <c r="E213" s="5" t="n">
        <v>45909</v>
      </c>
      <c r="F213" s="6" t="s">
        <v>72</v>
      </c>
      <c r="G213" s="1" t="n">
        <v>9</v>
      </c>
      <c r="H213" s="7" t="s">
        <v>78</v>
      </c>
      <c r="I213" s="6" t="s">
        <v>43</v>
      </c>
      <c r="J213" s="7" t="s">
        <v>44</v>
      </c>
      <c r="K213" s="7" t="s">
        <v>71</v>
      </c>
      <c r="L213" s="1" t="n">
        <v>77</v>
      </c>
      <c r="M213" s="1" t="n">
        <v>24.8</v>
      </c>
      <c r="N213" s="1" t="n">
        <v>14</v>
      </c>
      <c r="O213" s="1" t="n">
        <v>0</v>
      </c>
      <c r="P213" s="6" t="s">
        <v>43</v>
      </c>
      <c r="Q213" s="6" t="s">
        <v>43</v>
      </c>
      <c r="R213" s="1" t="n">
        <v>1005.9</v>
      </c>
      <c r="S213" s="1" t="n">
        <v>4</v>
      </c>
      <c r="T213" s="1" t="n">
        <v>48.4</v>
      </c>
      <c r="U213" s="1" t="n">
        <v>151.8</v>
      </c>
      <c r="V213" s="1" t="n">
        <v>686</v>
      </c>
      <c r="W213" s="1" t="n">
        <v>43.7</v>
      </c>
      <c r="X213" s="1" t="n">
        <v>17.3</v>
      </c>
      <c r="Y213" s="1" t="n">
        <v>62</v>
      </c>
      <c r="Z213" s="1" t="n">
        <v>249</v>
      </c>
      <c r="AA213" s="1" t="n">
        <v>138</v>
      </c>
      <c r="AB213" s="7" t="s">
        <v>81</v>
      </c>
      <c r="AC213" s="7" t="s">
        <v>82</v>
      </c>
      <c r="AD213" s="7" t="s">
        <v>83</v>
      </c>
      <c r="AE213" s="7" t="s">
        <v>84</v>
      </c>
      <c r="AF213" s="4" t="n">
        <f aca="false">IF(T213="","",IF(T213&lt;=30,(50/30)*T213,IF(T213&lt;=60,50+((100-50)/(60-30))*(T213-30),IF(T213&lt;=90,100+((200-100)/(90-60))*(T213-60),IF(T213&lt;=120,200+((300-200)/(120-90))*(T213-90),IF(T213&lt;=250,300+((400-300)/(250-120))*(T213-120),IF(T213&lt;=380,400+((500-400)/(380-250))*(T213-250),500)))))))</f>
        <v>80.6666666666667</v>
      </c>
      <c r="AG213" s="4" t="n">
        <f aca="false">IF(U213="","",IF(U213&lt;=50,(50/50)*U213,IF(U213&lt;=100,50+((100-50)/(100-50))*(U213-50),IF(U213&lt;=250,100+((200-100)/(250-100))*(U213-100),IF(U213&lt;=350,200+((300-200)/(350-250))*(U213-250),IF(U213&lt;=430,300+((400-300)/(430-350))*(U213-350),IF(U213&lt;=600,400+((500-400)/(600-430))*(U213-430),500)))))))</f>
        <v>134.533333333333</v>
      </c>
      <c r="AH213" s="4" t="n">
        <f aca="false">IF(V213="","",IF((V213/1000)&lt;=1,(50/1)*(V213/1000),IF((V213/1000)&lt;=2,50+((100-50)/(2-1))*(V213/1000-1),IF((V213/1000)&lt;=10,100+((200-100)/(10-2))*(V213/1000-2),IF((V213/1000)&lt;=17,200+((300-200)/(17-10))*(V213/1000-10),IF((V213/1000)&lt;=34,300+((400-300)/(34-17))*(V213/1000-17),IF((V213/1000)&lt;=57,400+((500-400)/(57-34))*(V213/1000-34),500)))))))</f>
        <v>34.3</v>
      </c>
      <c r="AI213" s="4" t="n">
        <f aca="false">IF(W213="","",IF(W213&lt;=40,(50/40)*W213,IF(W213&lt;=80,50+((100-50)/(80-40))*(W213-40),IF(W213&lt;=180,100+((200-100)/(180-80))*(W213-80),IF(W213&lt;=280,200+((300-200)/(280-180))*(W213-180),IF(W213&lt;=400,300+((400-300)/(400-280))*(W213-280),IF(W213&lt;=800,400+((500-400)/(800-400))*(W213-400),500)))))))</f>
        <v>54.625</v>
      </c>
      <c r="AJ213" s="4" t="n">
        <f aca="false">IF(X213="","",IF(X213&lt;=40,(50/40)*X213,IF(X213&lt;=80,50+((100-50)/(80-40))*(X213-40),IF(X213&lt;=380,100+((200-100)/(380-80))*(X213-80),IF(X213&lt;=800,200+((300-200)/(800-380))*(X213-380),IF(X213&lt;=1600,300+((400-300)/(1600-800))*(X213-800),IF(X213&lt;=2100,400+((500-400)/(2100-1600))*(X213-1600),500)))))))</f>
        <v>21.625</v>
      </c>
      <c r="AK213" s="4" t="n">
        <f aca="false">IF(Y213="","",IF(Y213&lt;=50,(50/50)*Y213,IF(Y213&lt;=100,50+((100-50)/(100-50))*(Y213-50),IF(Y213&lt;=168,100+((200-100)/(168-100))*(Y213-100),IF(Y213&lt;=208,200+((300-200)/(208-168))*(Y213-168),IF(Y213&lt;=748,300+((400-300)/(748-208))*(Y213-208),IF(Y213&lt;=1000,400+((500-400)/(1000-748))*(Y213-748),500)))))))</f>
        <v>62</v>
      </c>
      <c r="AL213" s="4" t="n">
        <f aca="false">ROUND(MAX(AF213,AG213,AH213,AI213,AJ213,AK213),0)</f>
        <v>135</v>
      </c>
      <c r="AM213" s="4" t="str">
        <f aca="false">IF(AL213="","",IF(AL213&lt;=50,"Good",IF(AL213&lt;=100,"Satisfactory",IF(AL213&lt;=200,"Moderate",IF(AL213&lt;=300,"Poor",IF(AL213&lt;=400,"Very Poor","Severe"))))))</f>
        <v>Moderate</v>
      </c>
    </row>
    <row r="214" customFormat="false" ht="15.75" hidden="false" customHeight="false" outlineLevel="0" collapsed="false">
      <c r="A214" s="1" t="s">
        <v>39</v>
      </c>
      <c r="B214" s="1" t="s">
        <v>40</v>
      </c>
      <c r="C214" s="1" t="n">
        <v>28.4595</v>
      </c>
      <c r="D214" s="1" t="n">
        <v>77.0266</v>
      </c>
      <c r="E214" s="5" t="n">
        <v>45909</v>
      </c>
      <c r="F214" s="6" t="s">
        <v>73</v>
      </c>
      <c r="G214" s="1" t="n">
        <v>9</v>
      </c>
      <c r="H214" s="7" t="s">
        <v>78</v>
      </c>
      <c r="I214" s="6" t="s">
        <v>43</v>
      </c>
      <c r="J214" s="7" t="s">
        <v>44</v>
      </c>
      <c r="K214" s="7" t="s">
        <v>71</v>
      </c>
      <c r="L214" s="1" t="n">
        <v>80</v>
      </c>
      <c r="M214" s="1" t="n">
        <v>24.7</v>
      </c>
      <c r="N214" s="1" t="n">
        <v>15.5</v>
      </c>
      <c r="O214" s="1" t="n">
        <v>0</v>
      </c>
      <c r="P214" s="6" t="s">
        <v>43</v>
      </c>
      <c r="Q214" s="6" t="s">
        <v>43</v>
      </c>
      <c r="R214" s="1" t="n">
        <v>1006.3</v>
      </c>
      <c r="S214" s="1" t="n">
        <v>2</v>
      </c>
      <c r="T214" s="1" t="n">
        <v>49.8</v>
      </c>
      <c r="U214" s="1" t="n">
        <v>148.5</v>
      </c>
      <c r="V214" s="1" t="n">
        <v>769</v>
      </c>
      <c r="W214" s="1" t="n">
        <v>52.4</v>
      </c>
      <c r="X214" s="1" t="n">
        <v>18.6</v>
      </c>
      <c r="Y214" s="1" t="n">
        <v>41</v>
      </c>
      <c r="Z214" s="1" t="n">
        <v>190</v>
      </c>
      <c r="AA214" s="1" t="n">
        <v>139</v>
      </c>
      <c r="AB214" s="7" t="s">
        <v>81</v>
      </c>
      <c r="AC214" s="7" t="s">
        <v>82</v>
      </c>
      <c r="AD214" s="7" t="s">
        <v>83</v>
      </c>
      <c r="AE214" s="7" t="s">
        <v>84</v>
      </c>
      <c r="AF214" s="4" t="n">
        <f aca="false">IF(T214="","",IF(T214&lt;=30,(50/30)*T214,IF(T214&lt;=60,50+((100-50)/(60-30))*(T214-30),IF(T214&lt;=90,100+((200-100)/(90-60))*(T214-60),IF(T214&lt;=120,200+((300-200)/(120-90))*(T214-90),IF(T214&lt;=250,300+((400-300)/(250-120))*(T214-120),IF(T214&lt;=380,400+((500-400)/(380-250))*(T214-250),500)))))))</f>
        <v>83</v>
      </c>
      <c r="AG214" s="4" t="n">
        <f aca="false">IF(U214="","",IF(U214&lt;=50,(50/50)*U214,IF(U214&lt;=100,50+((100-50)/(100-50))*(U214-50),IF(U214&lt;=250,100+((200-100)/(250-100))*(U214-100),IF(U214&lt;=350,200+((300-200)/(350-250))*(U214-250),IF(U214&lt;=430,300+((400-300)/(430-350))*(U214-350),IF(U214&lt;=600,400+((500-400)/(600-430))*(U214-430),500)))))))</f>
        <v>132.333333333333</v>
      </c>
      <c r="AH214" s="4" t="n">
        <f aca="false">IF(V214="","",IF((V214/1000)&lt;=1,(50/1)*(V214/1000),IF((V214/1000)&lt;=2,50+((100-50)/(2-1))*(V214/1000-1),IF((V214/1000)&lt;=10,100+((200-100)/(10-2))*(V214/1000-2),IF((V214/1000)&lt;=17,200+((300-200)/(17-10))*(V214/1000-10),IF((V214/1000)&lt;=34,300+((400-300)/(34-17))*(V214/1000-17),IF((V214/1000)&lt;=57,400+((500-400)/(57-34))*(V214/1000-34),500)))))))</f>
        <v>38.45</v>
      </c>
      <c r="AI214" s="4" t="n">
        <f aca="false">IF(W214="","",IF(W214&lt;=40,(50/40)*W214,IF(W214&lt;=80,50+((100-50)/(80-40))*(W214-40),IF(W214&lt;=180,100+((200-100)/(180-80))*(W214-80),IF(W214&lt;=280,200+((300-200)/(280-180))*(W214-180),IF(W214&lt;=400,300+((400-300)/(400-280))*(W214-280),IF(W214&lt;=800,400+((500-400)/(800-400))*(W214-400),500)))))))</f>
        <v>65.5</v>
      </c>
      <c r="AJ214" s="4" t="n">
        <f aca="false">IF(X214="","",IF(X214&lt;=40,(50/40)*X214,IF(X214&lt;=80,50+((100-50)/(80-40))*(X214-40),IF(X214&lt;=380,100+((200-100)/(380-80))*(X214-80),IF(X214&lt;=800,200+((300-200)/(800-380))*(X214-380),IF(X214&lt;=1600,300+((400-300)/(1600-800))*(X214-800),IF(X214&lt;=2100,400+((500-400)/(2100-1600))*(X214-1600),500)))))))</f>
        <v>23.25</v>
      </c>
      <c r="AK214" s="4" t="n">
        <f aca="false">IF(Y214="","",IF(Y214&lt;=50,(50/50)*Y214,IF(Y214&lt;=100,50+((100-50)/(100-50))*(Y214-50),IF(Y214&lt;=168,100+((200-100)/(168-100))*(Y214-100),IF(Y214&lt;=208,200+((300-200)/(208-168))*(Y214-168),IF(Y214&lt;=748,300+((400-300)/(748-208))*(Y214-208),IF(Y214&lt;=1000,400+((500-400)/(1000-748))*(Y214-748),500)))))))</f>
        <v>41</v>
      </c>
      <c r="AL214" s="4" t="n">
        <f aca="false">ROUND(MAX(AF214,AG214,AH214,AI214,AJ214,AK214),0)</f>
        <v>132</v>
      </c>
      <c r="AM214" s="4" t="str">
        <f aca="false">IF(AL214="","",IF(AL214&lt;=50,"Good",IF(AL214&lt;=100,"Satisfactory",IF(AL214&lt;=200,"Moderate",IF(AL214&lt;=300,"Poor",IF(AL214&lt;=400,"Very Poor","Severe"))))))</f>
        <v>Moderate</v>
      </c>
    </row>
    <row r="215" customFormat="false" ht="15.75" hidden="false" customHeight="false" outlineLevel="0" collapsed="false">
      <c r="A215" s="1" t="s">
        <v>39</v>
      </c>
      <c r="B215" s="1" t="s">
        <v>40</v>
      </c>
      <c r="C215" s="1" t="n">
        <v>28.4595</v>
      </c>
      <c r="D215" s="1" t="n">
        <v>77.0266</v>
      </c>
      <c r="E215" s="5" t="n">
        <v>45909</v>
      </c>
      <c r="F215" s="6" t="s">
        <v>74</v>
      </c>
      <c r="G215" s="1" t="n">
        <v>9</v>
      </c>
      <c r="H215" s="7" t="s">
        <v>78</v>
      </c>
      <c r="I215" s="6" t="s">
        <v>43</v>
      </c>
      <c r="J215" s="7" t="s">
        <v>44</v>
      </c>
      <c r="K215" s="7" t="s">
        <v>75</v>
      </c>
      <c r="L215" s="1" t="n">
        <v>81</v>
      </c>
      <c r="M215" s="1" t="n">
        <v>24.6</v>
      </c>
      <c r="N215" s="1" t="n">
        <v>15.8</v>
      </c>
      <c r="O215" s="1" t="n">
        <v>0</v>
      </c>
      <c r="P215" s="6" t="s">
        <v>43</v>
      </c>
      <c r="Q215" s="6" t="s">
        <v>43</v>
      </c>
      <c r="R215" s="1" t="n">
        <v>1006.9</v>
      </c>
      <c r="S215" s="1" t="n">
        <v>4</v>
      </c>
      <c r="T215" s="1" t="n">
        <v>52.6</v>
      </c>
      <c r="U215" s="1" t="n">
        <v>190.5</v>
      </c>
      <c r="V215" s="1" t="n">
        <v>756</v>
      </c>
      <c r="W215" s="1" t="n">
        <v>51.4</v>
      </c>
      <c r="X215" s="1" t="n">
        <v>18.2</v>
      </c>
      <c r="Y215" s="1" t="n">
        <v>35</v>
      </c>
      <c r="Z215" s="1" t="n">
        <v>226</v>
      </c>
      <c r="AA215" s="1" t="n">
        <v>138</v>
      </c>
      <c r="AB215" s="7" t="s">
        <v>81</v>
      </c>
      <c r="AC215" s="7" t="s">
        <v>82</v>
      </c>
      <c r="AD215" s="7" t="s">
        <v>83</v>
      </c>
      <c r="AE215" s="7" t="s">
        <v>84</v>
      </c>
      <c r="AF215" s="4" t="n">
        <f aca="false">IF(T215="","",IF(T215&lt;=30,(50/30)*T215,IF(T215&lt;=60,50+((100-50)/(60-30))*(T215-30),IF(T215&lt;=90,100+((200-100)/(90-60))*(T215-60),IF(T215&lt;=120,200+((300-200)/(120-90))*(T215-90),IF(T215&lt;=250,300+((400-300)/(250-120))*(T215-120),IF(T215&lt;=380,400+((500-400)/(380-250))*(T215-250),500)))))))</f>
        <v>87.6666666666667</v>
      </c>
      <c r="AG215" s="4" t="n">
        <f aca="false">IF(U215="","",IF(U215&lt;=50,(50/50)*U215,IF(U215&lt;=100,50+((100-50)/(100-50))*(U215-50),IF(U215&lt;=250,100+((200-100)/(250-100))*(U215-100),IF(U215&lt;=350,200+((300-200)/(350-250))*(U215-250),IF(U215&lt;=430,300+((400-300)/(430-350))*(U215-350),IF(U215&lt;=600,400+((500-400)/(600-430))*(U215-430),500)))))))</f>
        <v>160.333333333333</v>
      </c>
      <c r="AH215" s="4" t="n">
        <f aca="false">IF(V215="","",IF((V215/1000)&lt;=1,(50/1)*(V215/1000),IF((V215/1000)&lt;=2,50+((100-50)/(2-1))*(V215/1000-1),IF((V215/1000)&lt;=10,100+((200-100)/(10-2))*(V215/1000-2),IF((V215/1000)&lt;=17,200+((300-200)/(17-10))*(V215/1000-10),IF((V215/1000)&lt;=34,300+((400-300)/(34-17))*(V215/1000-17),IF((V215/1000)&lt;=57,400+((500-400)/(57-34))*(V215/1000-34),500)))))))</f>
        <v>37.8</v>
      </c>
      <c r="AI215" s="4" t="n">
        <f aca="false">IF(W215="","",IF(W215&lt;=40,(50/40)*W215,IF(W215&lt;=80,50+((100-50)/(80-40))*(W215-40),IF(W215&lt;=180,100+((200-100)/(180-80))*(W215-80),IF(W215&lt;=280,200+((300-200)/(280-180))*(W215-180),IF(W215&lt;=400,300+((400-300)/(400-280))*(W215-280),IF(W215&lt;=800,400+((500-400)/(800-400))*(W215-400),500)))))))</f>
        <v>64.25</v>
      </c>
      <c r="AJ215" s="4" t="n">
        <f aca="false">IF(X215="","",IF(X215&lt;=40,(50/40)*X215,IF(X215&lt;=80,50+((100-50)/(80-40))*(X215-40),IF(X215&lt;=380,100+((200-100)/(380-80))*(X215-80),IF(X215&lt;=800,200+((300-200)/(800-380))*(X215-380),IF(X215&lt;=1600,300+((400-300)/(1600-800))*(X215-800),IF(X215&lt;=2100,400+((500-400)/(2100-1600))*(X215-1600),500)))))))</f>
        <v>22.75</v>
      </c>
      <c r="AK215" s="4" t="n">
        <f aca="false">IF(Y215="","",IF(Y215&lt;=50,(50/50)*Y215,IF(Y215&lt;=100,50+((100-50)/(100-50))*(Y215-50),IF(Y215&lt;=168,100+((200-100)/(168-100))*(Y215-100),IF(Y215&lt;=208,200+((300-200)/(208-168))*(Y215-168),IF(Y215&lt;=748,300+((400-300)/(748-208))*(Y215-208),IF(Y215&lt;=1000,400+((500-400)/(1000-748))*(Y215-748),500)))))))</f>
        <v>35</v>
      </c>
      <c r="AL215" s="4" t="n">
        <f aca="false">ROUND(MAX(AF215,AG215,AH215,AI215,AJ215,AK215),0)</f>
        <v>160</v>
      </c>
      <c r="AM215" s="4" t="str">
        <f aca="false">IF(AL215="","",IF(AL215&lt;=50,"Good",IF(AL215&lt;=100,"Satisfactory",IF(AL215&lt;=200,"Moderate",IF(AL215&lt;=300,"Poor",IF(AL215&lt;=400,"Very Poor","Severe"))))))</f>
        <v>Moderate</v>
      </c>
    </row>
    <row r="216" customFormat="false" ht="15.75" hidden="false" customHeight="false" outlineLevel="0" collapsed="false">
      <c r="A216" s="1" t="s">
        <v>39</v>
      </c>
      <c r="B216" s="1" t="s">
        <v>40</v>
      </c>
      <c r="C216" s="1" t="n">
        <v>28.4595</v>
      </c>
      <c r="D216" s="1" t="n">
        <v>77.0266</v>
      </c>
      <c r="E216" s="5" t="n">
        <v>45909</v>
      </c>
      <c r="F216" s="6" t="s">
        <v>76</v>
      </c>
      <c r="G216" s="1" t="n">
        <v>9</v>
      </c>
      <c r="H216" s="7" t="s">
        <v>78</v>
      </c>
      <c r="I216" s="6" t="s">
        <v>43</v>
      </c>
      <c r="J216" s="7" t="s">
        <v>44</v>
      </c>
      <c r="K216" s="7" t="s">
        <v>75</v>
      </c>
      <c r="L216" s="1" t="n">
        <v>82</v>
      </c>
      <c r="M216" s="1" t="n">
        <v>24.3</v>
      </c>
      <c r="N216" s="1" t="n">
        <v>14</v>
      </c>
      <c r="O216" s="1" t="n">
        <v>0</v>
      </c>
      <c r="P216" s="6" t="s">
        <v>43</v>
      </c>
      <c r="Q216" s="6" t="s">
        <v>43</v>
      </c>
      <c r="R216" s="1" t="n">
        <v>1007</v>
      </c>
      <c r="S216" s="1" t="n">
        <v>4</v>
      </c>
      <c r="T216" s="1" t="n">
        <v>55.6</v>
      </c>
      <c r="U216" s="1" t="n">
        <v>243.1</v>
      </c>
      <c r="V216" s="1" t="n">
        <v>690</v>
      </c>
      <c r="W216" s="1" t="n">
        <v>45.2</v>
      </c>
      <c r="X216" s="1" t="n">
        <v>16.8</v>
      </c>
      <c r="Y216" s="1" t="n">
        <v>38</v>
      </c>
      <c r="Z216" s="1" t="n">
        <v>309</v>
      </c>
      <c r="AA216" s="1" t="n">
        <v>136</v>
      </c>
      <c r="AB216" s="7" t="s">
        <v>81</v>
      </c>
      <c r="AC216" s="7" t="s">
        <v>82</v>
      </c>
      <c r="AD216" s="7" t="s">
        <v>83</v>
      </c>
      <c r="AE216" s="7" t="s">
        <v>84</v>
      </c>
      <c r="AF216" s="4" t="n">
        <f aca="false">IF(T216="","",IF(T216&lt;=30,(50/30)*T216,IF(T216&lt;=60,50+((100-50)/(60-30))*(T216-30),IF(T216&lt;=90,100+((200-100)/(90-60))*(T216-60),IF(T216&lt;=120,200+((300-200)/(120-90))*(T216-90),IF(T216&lt;=250,300+((400-300)/(250-120))*(T216-120),IF(T216&lt;=380,400+((500-400)/(380-250))*(T216-250),500)))))))</f>
        <v>92.6666666666667</v>
      </c>
      <c r="AG216" s="4" t="n">
        <f aca="false">IF(U216="","",IF(U216&lt;=50,(50/50)*U216,IF(U216&lt;=100,50+((100-50)/(100-50))*(U216-50),IF(U216&lt;=250,100+((200-100)/(250-100))*(U216-100),IF(U216&lt;=350,200+((300-200)/(350-250))*(U216-250),IF(U216&lt;=430,300+((400-300)/(430-350))*(U216-350),IF(U216&lt;=600,400+((500-400)/(600-430))*(U216-430),500)))))))</f>
        <v>195.4</v>
      </c>
      <c r="AH216" s="4" t="n">
        <f aca="false">IF(V216="","",IF((V216/1000)&lt;=1,(50/1)*(V216/1000),IF((V216/1000)&lt;=2,50+((100-50)/(2-1))*(V216/1000-1),IF((V216/1000)&lt;=10,100+((200-100)/(10-2))*(V216/1000-2),IF((V216/1000)&lt;=17,200+((300-200)/(17-10))*(V216/1000-10),IF((V216/1000)&lt;=34,300+((400-300)/(34-17))*(V216/1000-17),IF((V216/1000)&lt;=57,400+((500-400)/(57-34))*(V216/1000-34),500)))))))</f>
        <v>34.5</v>
      </c>
      <c r="AI216" s="4" t="n">
        <f aca="false">IF(W216="","",IF(W216&lt;=40,(50/40)*W216,IF(W216&lt;=80,50+((100-50)/(80-40))*(W216-40),IF(W216&lt;=180,100+((200-100)/(180-80))*(W216-80),IF(W216&lt;=280,200+((300-200)/(280-180))*(W216-180),IF(W216&lt;=400,300+((400-300)/(400-280))*(W216-280),IF(W216&lt;=800,400+((500-400)/(800-400))*(W216-400),500)))))))</f>
        <v>56.5</v>
      </c>
      <c r="AJ216" s="4" t="n">
        <f aca="false">IF(X216="","",IF(X216&lt;=40,(50/40)*X216,IF(X216&lt;=80,50+((100-50)/(80-40))*(X216-40),IF(X216&lt;=380,100+((200-100)/(380-80))*(X216-80),IF(X216&lt;=800,200+((300-200)/(800-380))*(X216-380),IF(X216&lt;=1600,300+((400-300)/(1600-800))*(X216-800),IF(X216&lt;=2100,400+((500-400)/(2100-1600))*(X216-1600),500)))))))</f>
        <v>21</v>
      </c>
      <c r="AK216" s="4" t="n">
        <f aca="false">IF(Y216="","",IF(Y216&lt;=50,(50/50)*Y216,IF(Y216&lt;=100,50+((100-50)/(100-50))*(Y216-50),IF(Y216&lt;=168,100+((200-100)/(168-100))*(Y216-100),IF(Y216&lt;=208,200+((300-200)/(208-168))*(Y216-168),IF(Y216&lt;=748,300+((400-300)/(748-208))*(Y216-208),IF(Y216&lt;=1000,400+((500-400)/(1000-748))*(Y216-748),500)))))))</f>
        <v>38</v>
      </c>
      <c r="AL216" s="4" t="n">
        <f aca="false">ROUND(MAX(AF216,AG216,AH216,AI216,AJ216,AK216),0)</f>
        <v>195</v>
      </c>
      <c r="AM216" s="4" t="str">
        <f aca="false">IF(AL216="","",IF(AL216&lt;=50,"Good",IF(AL216&lt;=100,"Satisfactory",IF(AL216&lt;=200,"Moderate",IF(AL216&lt;=300,"Poor",IF(AL216&lt;=400,"Very Poor","Severe"))))))</f>
        <v>Moderate</v>
      </c>
    </row>
    <row r="217" customFormat="false" ht="15.75" hidden="false" customHeight="false" outlineLevel="0" collapsed="false">
      <c r="A217" s="1" t="s">
        <v>39</v>
      </c>
      <c r="B217" s="1" t="s">
        <v>40</v>
      </c>
      <c r="C217" s="1" t="n">
        <v>28.4595</v>
      </c>
      <c r="D217" s="1" t="n">
        <v>77.0266</v>
      </c>
      <c r="E217" s="5" t="n">
        <v>45909</v>
      </c>
      <c r="F217" s="6" t="s">
        <v>77</v>
      </c>
      <c r="G217" s="1" t="n">
        <v>9</v>
      </c>
      <c r="H217" s="7" t="s">
        <v>78</v>
      </c>
      <c r="I217" s="6" t="s">
        <v>43</v>
      </c>
      <c r="J217" s="7" t="s">
        <v>44</v>
      </c>
      <c r="K217" s="7" t="s">
        <v>75</v>
      </c>
      <c r="L217" s="1" t="n">
        <v>83</v>
      </c>
      <c r="M217" s="1" t="n">
        <v>24.1</v>
      </c>
      <c r="N217" s="1" t="n">
        <v>14.4</v>
      </c>
      <c r="O217" s="1" t="n">
        <v>0</v>
      </c>
      <c r="P217" s="6" t="s">
        <v>43</v>
      </c>
      <c r="Q217" s="6" t="s">
        <v>43</v>
      </c>
      <c r="R217" s="1" t="n">
        <v>1007.1</v>
      </c>
      <c r="S217" s="1" t="n">
        <v>0</v>
      </c>
      <c r="T217" s="1" t="n">
        <v>54.5</v>
      </c>
      <c r="U217" s="1" t="n">
        <v>246.8</v>
      </c>
      <c r="V217" s="1" t="n">
        <v>618</v>
      </c>
      <c r="W217" s="1" t="n">
        <v>39.3</v>
      </c>
      <c r="X217" s="1" t="n">
        <v>15.4</v>
      </c>
      <c r="Y217" s="1" t="n">
        <v>40</v>
      </c>
      <c r="Z217" s="1" t="n">
        <v>371</v>
      </c>
      <c r="AA217" s="1" t="n">
        <v>134</v>
      </c>
      <c r="AB217" s="7" t="s">
        <v>81</v>
      </c>
      <c r="AC217" s="7" t="s">
        <v>82</v>
      </c>
      <c r="AD217" s="7" t="s">
        <v>83</v>
      </c>
      <c r="AE217" s="7" t="s">
        <v>84</v>
      </c>
      <c r="AF217" s="4" t="n">
        <f aca="false">IF(T217="","",IF(T217&lt;=30,(50/30)*T217,IF(T217&lt;=60,50+((100-50)/(60-30))*(T217-30),IF(T217&lt;=90,100+((200-100)/(90-60))*(T217-60),IF(T217&lt;=120,200+((300-200)/(120-90))*(T217-90),IF(T217&lt;=250,300+((400-300)/(250-120))*(T217-120),IF(T217&lt;=380,400+((500-400)/(380-250))*(T217-250),500)))))))</f>
        <v>90.8333333333333</v>
      </c>
      <c r="AG217" s="4" t="n">
        <f aca="false">IF(U217="","",IF(U217&lt;=50,(50/50)*U217,IF(U217&lt;=100,50+((100-50)/(100-50))*(U217-50),IF(U217&lt;=250,100+((200-100)/(250-100))*(U217-100),IF(U217&lt;=350,200+((300-200)/(350-250))*(U217-250),IF(U217&lt;=430,300+((400-300)/(430-350))*(U217-350),IF(U217&lt;=600,400+((500-400)/(600-430))*(U217-430),500)))))))</f>
        <v>197.866666666667</v>
      </c>
      <c r="AH217" s="4" t="n">
        <f aca="false">IF(V217="","",IF((V217/1000)&lt;=1,(50/1)*(V217/1000),IF((V217/1000)&lt;=2,50+((100-50)/(2-1))*(V217/1000-1),IF((V217/1000)&lt;=10,100+((200-100)/(10-2))*(V217/1000-2),IF((V217/1000)&lt;=17,200+((300-200)/(17-10))*(V217/1000-10),IF((V217/1000)&lt;=34,300+((400-300)/(34-17))*(V217/1000-17),IF((V217/1000)&lt;=57,400+((500-400)/(57-34))*(V217/1000-34),500)))))))</f>
        <v>30.9</v>
      </c>
      <c r="AI217" s="4" t="n">
        <f aca="false">IF(W217="","",IF(W217&lt;=40,(50/40)*W217,IF(W217&lt;=80,50+((100-50)/(80-40))*(W217-40),IF(W217&lt;=180,100+((200-100)/(180-80))*(W217-80),IF(W217&lt;=280,200+((300-200)/(280-180))*(W217-180),IF(W217&lt;=400,300+((400-300)/(400-280))*(W217-280),IF(W217&lt;=800,400+((500-400)/(800-400))*(W217-400),500)))))))</f>
        <v>49.125</v>
      </c>
      <c r="AJ217" s="4" t="n">
        <f aca="false">IF(X217="","",IF(X217&lt;=40,(50/40)*X217,IF(X217&lt;=80,50+((100-50)/(80-40))*(X217-40),IF(X217&lt;=380,100+((200-100)/(380-80))*(X217-80),IF(X217&lt;=800,200+((300-200)/(800-380))*(X217-380),IF(X217&lt;=1600,300+((400-300)/(1600-800))*(X217-800),IF(X217&lt;=2100,400+((500-400)/(2100-1600))*(X217-1600),500)))))))</f>
        <v>19.25</v>
      </c>
      <c r="AK217" s="4" t="n">
        <f aca="false">IF(Y217="","",IF(Y217&lt;=50,(50/50)*Y217,IF(Y217&lt;=100,50+((100-50)/(100-50))*(Y217-50),IF(Y217&lt;=168,100+((200-100)/(168-100))*(Y217-100),IF(Y217&lt;=208,200+((300-200)/(208-168))*(Y217-168),IF(Y217&lt;=748,300+((400-300)/(748-208))*(Y217-208),IF(Y217&lt;=1000,400+((500-400)/(1000-748))*(Y217-748),500)))))))</f>
        <v>40</v>
      </c>
      <c r="AL217" s="4" t="n">
        <f aca="false">ROUND(MAX(AF217,AG217,AH217,AI217,AJ217,AK217),0)</f>
        <v>198</v>
      </c>
      <c r="AM217" s="4" t="str">
        <f aca="false">IF(AL217="","",IF(AL217&lt;=50,"Good",IF(AL217&lt;=100,"Satisfactory",IF(AL217&lt;=200,"Moderate",IF(AL217&lt;=300,"Poor",IF(AL217&lt;=400,"Very Poor","Severe"))))))</f>
        <v>Moderate</v>
      </c>
    </row>
    <row r="218" customFormat="false" ht="15.75" hidden="false" customHeight="false" outlineLevel="0" collapsed="false">
      <c r="A218" s="1" t="s">
        <v>39</v>
      </c>
      <c r="B218" s="1" t="s">
        <v>40</v>
      </c>
      <c r="C218" s="1" t="n">
        <v>28.4595</v>
      </c>
      <c r="D218" s="1" t="n">
        <v>77.0266</v>
      </c>
      <c r="E218" s="5" t="n">
        <v>45910</v>
      </c>
      <c r="F218" s="6" t="s">
        <v>41</v>
      </c>
      <c r="G218" s="1" t="n">
        <v>9</v>
      </c>
      <c r="H218" s="7" t="s">
        <v>79</v>
      </c>
      <c r="I218" s="6" t="s">
        <v>43</v>
      </c>
      <c r="J218" s="7" t="s">
        <v>44</v>
      </c>
      <c r="K218" s="7" t="s">
        <v>45</v>
      </c>
      <c r="L218" s="1" t="n">
        <v>85</v>
      </c>
      <c r="M218" s="1" t="n">
        <v>24</v>
      </c>
      <c r="N218" s="1" t="n">
        <v>14.8</v>
      </c>
      <c r="O218" s="1" t="n">
        <v>0</v>
      </c>
      <c r="P218" s="6" t="s">
        <v>43</v>
      </c>
      <c r="Q218" s="6" t="s">
        <v>43</v>
      </c>
      <c r="R218" s="1" t="n">
        <v>1006.6</v>
      </c>
      <c r="S218" s="1" t="n">
        <v>0</v>
      </c>
      <c r="T218" s="1" t="n">
        <v>51.6</v>
      </c>
      <c r="U218" s="1" t="n">
        <v>229.1</v>
      </c>
      <c r="V218" s="1" t="n">
        <v>552</v>
      </c>
      <c r="W218" s="1" t="n">
        <v>35.1</v>
      </c>
      <c r="X218" s="1" t="n">
        <v>14.2</v>
      </c>
      <c r="Y218" s="1" t="n">
        <v>40</v>
      </c>
      <c r="Z218" s="1" t="n">
        <v>378</v>
      </c>
      <c r="AA218" s="1" t="n">
        <v>132</v>
      </c>
      <c r="AB218" s="7" t="s">
        <v>81</v>
      </c>
      <c r="AC218" s="7" t="s">
        <v>82</v>
      </c>
      <c r="AD218" s="7" t="s">
        <v>83</v>
      </c>
      <c r="AE218" s="7" t="s">
        <v>84</v>
      </c>
      <c r="AF218" s="4" t="n">
        <f aca="false">IF(T218="","",IF(T218&lt;=30,(50/30)*T218,IF(T218&lt;=60,50+((100-50)/(60-30))*(T218-30),IF(T218&lt;=90,100+((200-100)/(90-60))*(T218-60),IF(T218&lt;=120,200+((300-200)/(120-90))*(T218-90),IF(T218&lt;=250,300+((400-300)/(250-120))*(T218-120),IF(T218&lt;=380,400+((500-400)/(380-250))*(T218-250),500)))))))</f>
        <v>86</v>
      </c>
      <c r="AG218" s="4" t="n">
        <f aca="false">IF(U218="","",IF(U218&lt;=50,(50/50)*U218,IF(U218&lt;=100,50+((100-50)/(100-50))*(U218-50),IF(U218&lt;=250,100+((200-100)/(250-100))*(U218-100),IF(U218&lt;=350,200+((300-200)/(350-250))*(U218-250),IF(U218&lt;=430,300+((400-300)/(430-350))*(U218-350),IF(U218&lt;=600,400+((500-400)/(600-430))*(U218-430),500)))))))</f>
        <v>186.066666666667</v>
      </c>
      <c r="AH218" s="4" t="n">
        <f aca="false">IF(V218="","",IF((V218/1000)&lt;=1,(50/1)*(V218/1000),IF((V218/1000)&lt;=2,50+((100-50)/(2-1))*(V218/1000-1),IF((V218/1000)&lt;=10,100+((200-100)/(10-2))*(V218/1000-2),IF((V218/1000)&lt;=17,200+((300-200)/(17-10))*(V218/1000-10),IF((V218/1000)&lt;=34,300+((400-300)/(34-17))*(V218/1000-17),IF((V218/1000)&lt;=57,400+((500-400)/(57-34))*(V218/1000-34),500)))))))</f>
        <v>27.6</v>
      </c>
      <c r="AI218" s="4" t="n">
        <f aca="false">IF(W218="","",IF(W218&lt;=40,(50/40)*W218,IF(W218&lt;=80,50+((100-50)/(80-40))*(W218-40),IF(W218&lt;=180,100+((200-100)/(180-80))*(W218-80),IF(W218&lt;=280,200+((300-200)/(280-180))*(W218-180),IF(W218&lt;=400,300+((400-300)/(400-280))*(W218-280),IF(W218&lt;=800,400+((500-400)/(800-400))*(W218-400),500)))))))</f>
        <v>43.875</v>
      </c>
      <c r="AJ218" s="4" t="n">
        <f aca="false">IF(X218="","",IF(X218&lt;=40,(50/40)*X218,IF(X218&lt;=80,50+((100-50)/(80-40))*(X218-40),IF(X218&lt;=380,100+((200-100)/(380-80))*(X218-80),IF(X218&lt;=800,200+((300-200)/(800-380))*(X218-380),IF(X218&lt;=1600,300+((400-300)/(1600-800))*(X218-800),IF(X218&lt;=2100,400+((500-400)/(2100-1600))*(X218-1600),500)))))))</f>
        <v>17.75</v>
      </c>
      <c r="AK218" s="4" t="n">
        <f aca="false">IF(Y218="","",IF(Y218&lt;=50,(50/50)*Y218,IF(Y218&lt;=100,50+((100-50)/(100-50))*(Y218-50),IF(Y218&lt;=168,100+((200-100)/(168-100))*(Y218-100),IF(Y218&lt;=208,200+((300-200)/(208-168))*(Y218-168),IF(Y218&lt;=748,300+((400-300)/(748-208))*(Y218-208),IF(Y218&lt;=1000,400+((500-400)/(1000-748))*(Y218-748),500)))))))</f>
        <v>40</v>
      </c>
      <c r="AL218" s="4" t="n">
        <f aca="false">ROUND(MAX(AF218,AG218,AH218,AI218,AJ218,AK218),0)</f>
        <v>186</v>
      </c>
      <c r="AM218" s="4" t="str">
        <f aca="false">IF(AL218="","",IF(AL218&lt;=50,"Good",IF(AL218&lt;=100,"Satisfactory",IF(AL218&lt;=200,"Moderate",IF(AL218&lt;=300,"Poor",IF(AL218&lt;=400,"Very Poor","Severe"))))))</f>
        <v>Moderate</v>
      </c>
    </row>
    <row r="219" customFormat="false" ht="15.75" hidden="false" customHeight="false" outlineLevel="0" collapsed="false">
      <c r="A219" s="1" t="s">
        <v>39</v>
      </c>
      <c r="B219" s="1" t="s">
        <v>40</v>
      </c>
      <c r="C219" s="1" t="n">
        <v>28.4595</v>
      </c>
      <c r="D219" s="1" t="n">
        <v>77.0266</v>
      </c>
      <c r="E219" s="5" t="n">
        <v>45910</v>
      </c>
      <c r="F219" s="6" t="s">
        <v>49</v>
      </c>
      <c r="G219" s="1" t="n">
        <v>9</v>
      </c>
      <c r="H219" s="7" t="s">
        <v>79</v>
      </c>
      <c r="I219" s="6" t="s">
        <v>43</v>
      </c>
      <c r="J219" s="7" t="s">
        <v>44</v>
      </c>
      <c r="K219" s="7" t="s">
        <v>45</v>
      </c>
      <c r="L219" s="1" t="n">
        <v>86</v>
      </c>
      <c r="M219" s="1" t="n">
        <v>23.9</v>
      </c>
      <c r="N219" s="1" t="n">
        <v>16.2</v>
      </c>
      <c r="O219" s="1" t="n">
        <v>0</v>
      </c>
      <c r="P219" s="6" t="s">
        <v>43</v>
      </c>
      <c r="Q219" s="6" t="s">
        <v>43</v>
      </c>
      <c r="R219" s="1" t="n">
        <v>1006.4</v>
      </c>
      <c r="S219" s="1" t="n">
        <v>0</v>
      </c>
      <c r="T219" s="1" t="n">
        <v>50.4</v>
      </c>
      <c r="U219" s="1" t="n">
        <v>231.4</v>
      </c>
      <c r="V219" s="1" t="n">
        <v>482</v>
      </c>
      <c r="W219" s="1" t="n">
        <v>31.2</v>
      </c>
      <c r="X219" s="1" t="n">
        <v>13.1</v>
      </c>
      <c r="Y219" s="1" t="n">
        <v>41</v>
      </c>
      <c r="Z219" s="1" t="n">
        <v>365</v>
      </c>
      <c r="AA219" s="1" t="n">
        <v>131</v>
      </c>
      <c r="AB219" s="7" t="s">
        <v>81</v>
      </c>
      <c r="AC219" s="7" t="s">
        <v>82</v>
      </c>
      <c r="AD219" s="7" t="s">
        <v>83</v>
      </c>
      <c r="AE219" s="7" t="s">
        <v>84</v>
      </c>
      <c r="AF219" s="4" t="n">
        <f aca="false">IF(T219="","",IF(T219&lt;=30,(50/30)*T219,IF(T219&lt;=60,50+((100-50)/(60-30))*(T219-30),IF(T219&lt;=90,100+((200-100)/(90-60))*(T219-60),IF(T219&lt;=120,200+((300-200)/(120-90))*(T219-90),IF(T219&lt;=250,300+((400-300)/(250-120))*(T219-120),IF(T219&lt;=380,400+((500-400)/(380-250))*(T219-250),500)))))))</f>
        <v>84</v>
      </c>
      <c r="AG219" s="4" t="n">
        <f aca="false">IF(U219="","",IF(U219&lt;=50,(50/50)*U219,IF(U219&lt;=100,50+((100-50)/(100-50))*(U219-50),IF(U219&lt;=250,100+((200-100)/(250-100))*(U219-100),IF(U219&lt;=350,200+((300-200)/(350-250))*(U219-250),IF(U219&lt;=430,300+((400-300)/(430-350))*(U219-350),IF(U219&lt;=600,400+((500-400)/(600-430))*(U219-430),500)))))))</f>
        <v>187.6</v>
      </c>
      <c r="AH219" s="4" t="n">
        <f aca="false">IF(V219="","",IF((V219/1000)&lt;=1,(50/1)*(V219/1000),IF((V219/1000)&lt;=2,50+((100-50)/(2-1))*(V219/1000-1),IF((V219/1000)&lt;=10,100+((200-100)/(10-2))*(V219/1000-2),IF((V219/1000)&lt;=17,200+((300-200)/(17-10))*(V219/1000-10),IF((V219/1000)&lt;=34,300+((400-300)/(34-17))*(V219/1000-17),IF((V219/1000)&lt;=57,400+((500-400)/(57-34))*(V219/1000-34),500)))))))</f>
        <v>24.1</v>
      </c>
      <c r="AI219" s="4" t="n">
        <f aca="false">IF(W219="","",IF(W219&lt;=40,(50/40)*W219,IF(W219&lt;=80,50+((100-50)/(80-40))*(W219-40),IF(W219&lt;=180,100+((200-100)/(180-80))*(W219-80),IF(W219&lt;=280,200+((300-200)/(280-180))*(W219-180),IF(W219&lt;=400,300+((400-300)/(400-280))*(W219-280),IF(W219&lt;=800,400+((500-400)/(800-400))*(W219-400),500)))))))</f>
        <v>39</v>
      </c>
      <c r="AJ219" s="4" t="n">
        <f aca="false">IF(X219="","",IF(X219&lt;=40,(50/40)*X219,IF(X219&lt;=80,50+((100-50)/(80-40))*(X219-40),IF(X219&lt;=380,100+((200-100)/(380-80))*(X219-80),IF(X219&lt;=800,200+((300-200)/(800-380))*(X219-380),IF(X219&lt;=1600,300+((400-300)/(1600-800))*(X219-800),IF(X219&lt;=2100,400+((500-400)/(2100-1600))*(X219-1600),500)))))))</f>
        <v>16.375</v>
      </c>
      <c r="AK219" s="4" t="n">
        <f aca="false">IF(Y219="","",IF(Y219&lt;=50,(50/50)*Y219,IF(Y219&lt;=100,50+((100-50)/(100-50))*(Y219-50),IF(Y219&lt;=168,100+((200-100)/(168-100))*(Y219-100),IF(Y219&lt;=208,200+((300-200)/(208-168))*(Y219-168),IF(Y219&lt;=748,300+((400-300)/(748-208))*(Y219-208),IF(Y219&lt;=1000,400+((500-400)/(1000-748))*(Y219-748),500)))))))</f>
        <v>41</v>
      </c>
      <c r="AL219" s="4" t="n">
        <f aca="false">ROUND(MAX(AF219,AG219,AH219,AI219,AJ219,AK219),0)</f>
        <v>188</v>
      </c>
      <c r="AM219" s="4" t="str">
        <f aca="false">IF(AL219="","",IF(AL219&lt;=50,"Good",IF(AL219&lt;=100,"Satisfactory",IF(AL219&lt;=200,"Moderate",IF(AL219&lt;=300,"Poor",IF(AL219&lt;=400,"Very Poor","Severe"))))))</f>
        <v>Moderate</v>
      </c>
    </row>
    <row r="220" customFormat="false" ht="15.75" hidden="false" customHeight="false" outlineLevel="0" collapsed="false">
      <c r="A220" s="1" t="s">
        <v>39</v>
      </c>
      <c r="B220" s="1" t="s">
        <v>40</v>
      </c>
      <c r="C220" s="1" t="n">
        <v>28.4595</v>
      </c>
      <c r="D220" s="1" t="n">
        <v>77.0266</v>
      </c>
      <c r="E220" s="5" t="n">
        <v>45910</v>
      </c>
      <c r="F220" s="6" t="s">
        <v>51</v>
      </c>
      <c r="G220" s="1" t="n">
        <v>9</v>
      </c>
      <c r="H220" s="7" t="s">
        <v>79</v>
      </c>
      <c r="I220" s="6" t="s">
        <v>43</v>
      </c>
      <c r="J220" s="7" t="s">
        <v>44</v>
      </c>
      <c r="K220" s="7" t="s">
        <v>45</v>
      </c>
      <c r="L220" s="1" t="n">
        <v>86</v>
      </c>
      <c r="M220" s="1" t="n">
        <v>23.6</v>
      </c>
      <c r="N220" s="1" t="n">
        <v>16.9</v>
      </c>
      <c r="O220" s="1" t="n">
        <v>0</v>
      </c>
      <c r="P220" s="6" t="s">
        <v>43</v>
      </c>
      <c r="Q220" s="6" t="s">
        <v>43</v>
      </c>
      <c r="R220" s="1" t="n">
        <v>1006.2</v>
      </c>
      <c r="S220" s="1" t="n">
        <v>1</v>
      </c>
      <c r="T220" s="1" t="n">
        <v>50.1</v>
      </c>
      <c r="U220" s="1" t="n">
        <v>240.3</v>
      </c>
      <c r="V220" s="1" t="n">
        <v>425</v>
      </c>
      <c r="W220" s="1" t="n">
        <v>28</v>
      </c>
      <c r="X220" s="1" t="n">
        <v>12.3</v>
      </c>
      <c r="Y220" s="1" t="n">
        <v>41</v>
      </c>
      <c r="Z220" s="1" t="n">
        <v>366</v>
      </c>
      <c r="AA220" s="1" t="n">
        <v>129</v>
      </c>
      <c r="AB220" s="7" t="s">
        <v>81</v>
      </c>
      <c r="AC220" s="7" t="s">
        <v>82</v>
      </c>
      <c r="AD220" s="7" t="s">
        <v>83</v>
      </c>
      <c r="AE220" s="7" t="s">
        <v>84</v>
      </c>
      <c r="AF220" s="4" t="n">
        <f aca="false">IF(T220="","",IF(T220&lt;=30,(50/30)*T220,IF(T220&lt;=60,50+((100-50)/(60-30))*(T220-30),IF(T220&lt;=90,100+((200-100)/(90-60))*(T220-60),IF(T220&lt;=120,200+((300-200)/(120-90))*(T220-90),IF(T220&lt;=250,300+((400-300)/(250-120))*(T220-120),IF(T220&lt;=380,400+((500-400)/(380-250))*(T220-250),500)))))))</f>
        <v>83.5</v>
      </c>
      <c r="AG220" s="4" t="n">
        <f aca="false">IF(U220="","",IF(U220&lt;=50,(50/50)*U220,IF(U220&lt;=100,50+((100-50)/(100-50))*(U220-50),IF(U220&lt;=250,100+((200-100)/(250-100))*(U220-100),IF(U220&lt;=350,200+((300-200)/(350-250))*(U220-250),IF(U220&lt;=430,300+((400-300)/(430-350))*(U220-350),IF(U220&lt;=600,400+((500-400)/(600-430))*(U220-430),500)))))))</f>
        <v>193.533333333333</v>
      </c>
      <c r="AH220" s="4" t="n">
        <f aca="false">IF(V220="","",IF((V220/1000)&lt;=1,(50/1)*(V220/1000),IF((V220/1000)&lt;=2,50+((100-50)/(2-1))*(V220/1000-1),IF((V220/1000)&lt;=10,100+((200-100)/(10-2))*(V220/1000-2),IF((V220/1000)&lt;=17,200+((300-200)/(17-10))*(V220/1000-10),IF((V220/1000)&lt;=34,300+((400-300)/(34-17))*(V220/1000-17),IF((V220/1000)&lt;=57,400+((500-400)/(57-34))*(V220/1000-34),500)))))))</f>
        <v>21.25</v>
      </c>
      <c r="AI220" s="4" t="n">
        <f aca="false">IF(W220="","",IF(W220&lt;=40,(50/40)*W220,IF(W220&lt;=80,50+((100-50)/(80-40))*(W220-40),IF(W220&lt;=180,100+((200-100)/(180-80))*(W220-80),IF(W220&lt;=280,200+((300-200)/(280-180))*(W220-180),IF(W220&lt;=400,300+((400-300)/(400-280))*(W220-280),IF(W220&lt;=800,400+((500-400)/(800-400))*(W220-400),500)))))))</f>
        <v>35</v>
      </c>
      <c r="AJ220" s="4" t="n">
        <f aca="false">IF(X220="","",IF(X220&lt;=40,(50/40)*X220,IF(X220&lt;=80,50+((100-50)/(80-40))*(X220-40),IF(X220&lt;=380,100+((200-100)/(380-80))*(X220-80),IF(X220&lt;=800,200+((300-200)/(800-380))*(X220-380),IF(X220&lt;=1600,300+((400-300)/(1600-800))*(X220-800),IF(X220&lt;=2100,400+((500-400)/(2100-1600))*(X220-1600),500)))))))</f>
        <v>15.375</v>
      </c>
      <c r="AK220" s="4" t="n">
        <f aca="false">IF(Y220="","",IF(Y220&lt;=50,(50/50)*Y220,IF(Y220&lt;=100,50+((100-50)/(100-50))*(Y220-50),IF(Y220&lt;=168,100+((200-100)/(168-100))*(Y220-100),IF(Y220&lt;=208,200+((300-200)/(208-168))*(Y220-168),IF(Y220&lt;=748,300+((400-300)/(748-208))*(Y220-208),IF(Y220&lt;=1000,400+((500-400)/(1000-748))*(Y220-748),500)))))))</f>
        <v>41</v>
      </c>
      <c r="AL220" s="4" t="n">
        <f aca="false">ROUND(MAX(AF220,AG220,AH220,AI220,AJ220,AK220),0)</f>
        <v>194</v>
      </c>
      <c r="AM220" s="4" t="str">
        <f aca="false">IF(AL220="","",IF(AL220&lt;=50,"Good",IF(AL220&lt;=100,"Satisfactory",IF(AL220&lt;=200,"Moderate",IF(AL220&lt;=300,"Poor",IF(AL220&lt;=400,"Very Poor","Severe"))))))</f>
        <v>Moderate</v>
      </c>
    </row>
    <row r="221" customFormat="false" ht="15.75" hidden="false" customHeight="false" outlineLevel="0" collapsed="false">
      <c r="A221" s="1" t="s">
        <v>39</v>
      </c>
      <c r="B221" s="1" t="s">
        <v>40</v>
      </c>
      <c r="C221" s="1" t="n">
        <v>28.4595</v>
      </c>
      <c r="D221" s="1" t="n">
        <v>77.0266</v>
      </c>
      <c r="E221" s="5" t="n">
        <v>45910</v>
      </c>
      <c r="F221" s="6" t="s">
        <v>52</v>
      </c>
      <c r="G221" s="1" t="n">
        <v>9</v>
      </c>
      <c r="H221" s="7" t="s">
        <v>79</v>
      </c>
      <c r="I221" s="6" t="s">
        <v>43</v>
      </c>
      <c r="J221" s="7" t="s">
        <v>44</v>
      </c>
      <c r="K221" s="7" t="s">
        <v>45</v>
      </c>
      <c r="L221" s="1" t="n">
        <v>87</v>
      </c>
      <c r="M221" s="1" t="n">
        <v>23.5</v>
      </c>
      <c r="N221" s="1" t="n">
        <v>15.8</v>
      </c>
      <c r="O221" s="1" t="n">
        <v>0</v>
      </c>
      <c r="P221" s="6" t="s">
        <v>43</v>
      </c>
      <c r="Q221" s="6" t="s">
        <v>43</v>
      </c>
      <c r="R221" s="1" t="n">
        <v>1006.3</v>
      </c>
      <c r="S221" s="1" t="n">
        <v>0</v>
      </c>
      <c r="T221" s="1" t="n">
        <v>50.2</v>
      </c>
      <c r="U221" s="1" t="n">
        <v>252.4</v>
      </c>
      <c r="V221" s="1" t="n">
        <v>387</v>
      </c>
      <c r="W221" s="1" t="n">
        <v>26.1</v>
      </c>
      <c r="X221" s="1" t="n">
        <v>12</v>
      </c>
      <c r="Y221" s="1" t="n">
        <v>39</v>
      </c>
      <c r="Z221" s="1" t="n">
        <v>397</v>
      </c>
      <c r="AA221" s="1" t="n">
        <v>129</v>
      </c>
      <c r="AB221" s="7" t="s">
        <v>81</v>
      </c>
      <c r="AC221" s="7" t="s">
        <v>82</v>
      </c>
      <c r="AD221" s="7" t="s">
        <v>83</v>
      </c>
      <c r="AE221" s="7" t="s">
        <v>84</v>
      </c>
      <c r="AF221" s="4" t="n">
        <f aca="false">IF(T221="","",IF(T221&lt;=30,(50/30)*T221,IF(T221&lt;=60,50+((100-50)/(60-30))*(T221-30),IF(T221&lt;=90,100+((200-100)/(90-60))*(T221-60),IF(T221&lt;=120,200+((300-200)/(120-90))*(T221-90),IF(T221&lt;=250,300+((400-300)/(250-120))*(T221-120),IF(T221&lt;=380,400+((500-400)/(380-250))*(T221-250),500)))))))</f>
        <v>83.6666666666667</v>
      </c>
      <c r="AG221" s="4" t="n">
        <f aca="false">IF(U221="","",IF(U221&lt;=50,(50/50)*U221,IF(U221&lt;=100,50+((100-50)/(100-50))*(U221-50),IF(U221&lt;=250,100+((200-100)/(250-100))*(U221-100),IF(U221&lt;=350,200+((300-200)/(350-250))*(U221-250),IF(U221&lt;=430,300+((400-300)/(430-350))*(U221-350),IF(U221&lt;=600,400+((500-400)/(600-430))*(U221-430),500)))))))</f>
        <v>202.4</v>
      </c>
      <c r="AH221" s="4" t="n">
        <f aca="false">IF(V221="","",IF((V221/1000)&lt;=1,(50/1)*(V221/1000),IF((V221/1000)&lt;=2,50+((100-50)/(2-1))*(V221/1000-1),IF((V221/1000)&lt;=10,100+((200-100)/(10-2))*(V221/1000-2),IF((V221/1000)&lt;=17,200+((300-200)/(17-10))*(V221/1000-10),IF((V221/1000)&lt;=34,300+((400-300)/(34-17))*(V221/1000-17),IF((V221/1000)&lt;=57,400+((500-400)/(57-34))*(V221/1000-34),500)))))))</f>
        <v>19.35</v>
      </c>
      <c r="AI221" s="4" t="n">
        <f aca="false">IF(W221="","",IF(W221&lt;=40,(50/40)*W221,IF(W221&lt;=80,50+((100-50)/(80-40))*(W221-40),IF(W221&lt;=180,100+((200-100)/(180-80))*(W221-80),IF(W221&lt;=280,200+((300-200)/(280-180))*(W221-180),IF(W221&lt;=400,300+((400-300)/(400-280))*(W221-280),IF(W221&lt;=800,400+((500-400)/(800-400))*(W221-400),500)))))))</f>
        <v>32.625</v>
      </c>
      <c r="AJ221" s="4" t="n">
        <f aca="false">IF(X221="","",IF(X221&lt;=40,(50/40)*X221,IF(X221&lt;=80,50+((100-50)/(80-40))*(X221-40),IF(X221&lt;=380,100+((200-100)/(380-80))*(X221-80),IF(X221&lt;=800,200+((300-200)/(800-380))*(X221-380),IF(X221&lt;=1600,300+((400-300)/(1600-800))*(X221-800),IF(X221&lt;=2100,400+((500-400)/(2100-1600))*(X221-1600),500)))))))</f>
        <v>15</v>
      </c>
      <c r="AK221" s="4" t="n">
        <f aca="false">IF(Y221="","",IF(Y221&lt;=50,(50/50)*Y221,IF(Y221&lt;=100,50+((100-50)/(100-50))*(Y221-50),IF(Y221&lt;=168,100+((200-100)/(168-100))*(Y221-100),IF(Y221&lt;=208,200+((300-200)/(208-168))*(Y221-168),IF(Y221&lt;=748,300+((400-300)/(748-208))*(Y221-208),IF(Y221&lt;=1000,400+((500-400)/(1000-748))*(Y221-748),500)))))))</f>
        <v>39</v>
      </c>
      <c r="AL221" s="4" t="n">
        <f aca="false">ROUND(MAX(AF221,AG221,AH221,AI221,AJ221,AK221),0)</f>
        <v>202</v>
      </c>
      <c r="AM221" s="4" t="str">
        <f aca="false">IF(AL221="","",IF(AL221&lt;=50,"Good",IF(AL221&lt;=100,"Satisfactory",IF(AL221&lt;=200,"Moderate",IF(AL221&lt;=300,"Poor",IF(AL221&lt;=400,"Very Poor","Severe"))))))</f>
        <v>Poor</v>
      </c>
    </row>
    <row r="222" customFormat="false" ht="15.75" hidden="false" customHeight="false" outlineLevel="0" collapsed="false">
      <c r="A222" s="1" t="s">
        <v>39</v>
      </c>
      <c r="B222" s="1" t="s">
        <v>40</v>
      </c>
      <c r="C222" s="1" t="n">
        <v>28.4595</v>
      </c>
      <c r="D222" s="1" t="n">
        <v>77.0266</v>
      </c>
      <c r="E222" s="5" t="n">
        <v>45910</v>
      </c>
      <c r="F222" s="6" t="s">
        <v>53</v>
      </c>
      <c r="G222" s="1" t="n">
        <v>9</v>
      </c>
      <c r="H222" s="7" t="s">
        <v>79</v>
      </c>
      <c r="I222" s="6" t="s">
        <v>43</v>
      </c>
      <c r="J222" s="7" t="s">
        <v>44</v>
      </c>
      <c r="K222" s="7" t="s">
        <v>45</v>
      </c>
      <c r="L222" s="1" t="n">
        <v>86</v>
      </c>
      <c r="M222" s="1" t="n">
        <v>23.1</v>
      </c>
      <c r="N222" s="1" t="n">
        <v>16.9</v>
      </c>
      <c r="O222" s="1" t="n">
        <v>0</v>
      </c>
      <c r="P222" s="6" t="s">
        <v>43</v>
      </c>
      <c r="Q222" s="6" t="s">
        <v>43</v>
      </c>
      <c r="R222" s="1" t="n">
        <v>1006.4</v>
      </c>
      <c r="S222" s="1" t="n">
        <v>0</v>
      </c>
      <c r="T222" s="1" t="n">
        <v>51.1</v>
      </c>
      <c r="U222" s="1" t="n">
        <v>271.9</v>
      </c>
      <c r="V222" s="1" t="n">
        <v>364</v>
      </c>
      <c r="W222" s="1" t="n">
        <v>25</v>
      </c>
      <c r="X222" s="1" t="n">
        <v>12.1</v>
      </c>
      <c r="Y222" s="1" t="n">
        <v>36</v>
      </c>
      <c r="Z222" s="1" t="n">
        <v>443</v>
      </c>
      <c r="AA222" s="1" t="n">
        <v>128</v>
      </c>
      <c r="AB222" s="7" t="s">
        <v>81</v>
      </c>
      <c r="AC222" s="7" t="s">
        <v>82</v>
      </c>
      <c r="AD222" s="7" t="s">
        <v>83</v>
      </c>
      <c r="AE222" s="7" t="s">
        <v>84</v>
      </c>
      <c r="AF222" s="4" t="n">
        <f aca="false">IF(T222="","",IF(T222&lt;=30,(50/30)*T222,IF(T222&lt;=60,50+((100-50)/(60-30))*(T222-30),IF(T222&lt;=90,100+((200-100)/(90-60))*(T222-60),IF(T222&lt;=120,200+((300-200)/(120-90))*(T222-90),IF(T222&lt;=250,300+((400-300)/(250-120))*(T222-120),IF(T222&lt;=380,400+((500-400)/(380-250))*(T222-250),500)))))))</f>
        <v>85.1666666666667</v>
      </c>
      <c r="AG222" s="4" t="n">
        <f aca="false">IF(U222="","",IF(U222&lt;=50,(50/50)*U222,IF(U222&lt;=100,50+((100-50)/(100-50))*(U222-50),IF(U222&lt;=250,100+((200-100)/(250-100))*(U222-100),IF(U222&lt;=350,200+((300-200)/(350-250))*(U222-250),IF(U222&lt;=430,300+((400-300)/(430-350))*(U222-350),IF(U222&lt;=600,400+((500-400)/(600-430))*(U222-430),500)))))))</f>
        <v>221.9</v>
      </c>
      <c r="AH222" s="4" t="n">
        <f aca="false">IF(V222="","",IF((V222/1000)&lt;=1,(50/1)*(V222/1000),IF((V222/1000)&lt;=2,50+((100-50)/(2-1))*(V222/1000-1),IF((V222/1000)&lt;=10,100+((200-100)/(10-2))*(V222/1000-2),IF((V222/1000)&lt;=17,200+((300-200)/(17-10))*(V222/1000-10),IF((V222/1000)&lt;=34,300+((400-300)/(34-17))*(V222/1000-17),IF((V222/1000)&lt;=57,400+((500-400)/(57-34))*(V222/1000-34),500)))))))</f>
        <v>18.2</v>
      </c>
      <c r="AI222" s="4" t="n">
        <f aca="false">IF(W222="","",IF(W222&lt;=40,(50/40)*W222,IF(W222&lt;=80,50+((100-50)/(80-40))*(W222-40),IF(W222&lt;=180,100+((200-100)/(180-80))*(W222-80),IF(W222&lt;=280,200+((300-200)/(280-180))*(W222-180),IF(W222&lt;=400,300+((400-300)/(400-280))*(W222-280),IF(W222&lt;=800,400+((500-400)/(800-400))*(W222-400),500)))))))</f>
        <v>31.25</v>
      </c>
      <c r="AJ222" s="4" t="n">
        <f aca="false">IF(X222="","",IF(X222&lt;=40,(50/40)*X222,IF(X222&lt;=80,50+((100-50)/(80-40))*(X222-40),IF(X222&lt;=380,100+((200-100)/(380-80))*(X222-80),IF(X222&lt;=800,200+((300-200)/(800-380))*(X222-380),IF(X222&lt;=1600,300+((400-300)/(1600-800))*(X222-800),IF(X222&lt;=2100,400+((500-400)/(2100-1600))*(X222-1600),500)))))))</f>
        <v>15.125</v>
      </c>
      <c r="AK222" s="4" t="n">
        <f aca="false">IF(Y222="","",IF(Y222&lt;=50,(50/50)*Y222,IF(Y222&lt;=100,50+((100-50)/(100-50))*(Y222-50),IF(Y222&lt;=168,100+((200-100)/(168-100))*(Y222-100),IF(Y222&lt;=208,200+((300-200)/(208-168))*(Y222-168),IF(Y222&lt;=748,300+((400-300)/(748-208))*(Y222-208),IF(Y222&lt;=1000,400+((500-400)/(1000-748))*(Y222-748),500)))))))</f>
        <v>36</v>
      </c>
      <c r="AL222" s="4" t="n">
        <f aca="false">ROUND(MAX(AF222,AG222,AH222,AI222,AJ222,AK222),0)</f>
        <v>222</v>
      </c>
      <c r="AM222" s="4" t="str">
        <f aca="false">IF(AL222="","",IF(AL222&lt;=50,"Good",IF(AL222&lt;=100,"Satisfactory",IF(AL222&lt;=200,"Moderate",IF(AL222&lt;=300,"Poor",IF(AL222&lt;=400,"Very Poor","Severe"))))))</f>
        <v>Poor</v>
      </c>
    </row>
    <row r="223" customFormat="false" ht="15.75" hidden="false" customHeight="false" outlineLevel="0" collapsed="false">
      <c r="A223" s="1" t="s">
        <v>39</v>
      </c>
      <c r="B223" s="1" t="s">
        <v>40</v>
      </c>
      <c r="C223" s="1" t="n">
        <v>28.4595</v>
      </c>
      <c r="D223" s="1" t="n">
        <v>77.0266</v>
      </c>
      <c r="E223" s="5" t="n">
        <v>45910</v>
      </c>
      <c r="F223" s="6" t="s">
        <v>54</v>
      </c>
      <c r="G223" s="1" t="n">
        <v>9</v>
      </c>
      <c r="H223" s="7" t="s">
        <v>79</v>
      </c>
      <c r="I223" s="6" t="s">
        <v>43</v>
      </c>
      <c r="J223" s="7" t="s">
        <v>44</v>
      </c>
      <c r="K223" s="7" t="s">
        <v>45</v>
      </c>
      <c r="L223" s="1" t="n">
        <v>85</v>
      </c>
      <c r="M223" s="1" t="n">
        <v>22.7</v>
      </c>
      <c r="N223" s="1" t="n">
        <v>19.1</v>
      </c>
      <c r="O223" s="1" t="n">
        <v>0</v>
      </c>
      <c r="P223" s="6" t="s">
        <v>43</v>
      </c>
      <c r="Q223" s="6" t="s">
        <v>43</v>
      </c>
      <c r="R223" s="1" t="n">
        <v>1006.7</v>
      </c>
      <c r="S223" s="1" t="n">
        <v>0</v>
      </c>
      <c r="T223" s="1" t="n">
        <v>70.5</v>
      </c>
      <c r="U223" s="1" t="n">
        <v>420</v>
      </c>
      <c r="V223" s="1" t="n">
        <v>355</v>
      </c>
      <c r="W223" s="1" t="n">
        <v>18</v>
      </c>
      <c r="X223" s="1" t="n">
        <v>12.9</v>
      </c>
      <c r="Y223" s="1" t="n">
        <v>51</v>
      </c>
      <c r="Z223" s="1" t="n">
        <v>714</v>
      </c>
      <c r="AA223" s="1" t="n">
        <v>129</v>
      </c>
      <c r="AB223" s="7" t="s">
        <v>81</v>
      </c>
      <c r="AC223" s="7" t="s">
        <v>82</v>
      </c>
      <c r="AD223" s="7" t="s">
        <v>83</v>
      </c>
      <c r="AE223" s="7" t="s">
        <v>84</v>
      </c>
      <c r="AF223" s="4" t="n">
        <f aca="false">IF(T223="","",IF(T223&lt;=30,(50/30)*T223,IF(T223&lt;=60,50+((100-50)/(60-30))*(T223-30),IF(T223&lt;=90,100+((200-100)/(90-60))*(T223-60),IF(T223&lt;=120,200+((300-200)/(120-90))*(T223-90),IF(T223&lt;=250,300+((400-300)/(250-120))*(T223-120),IF(T223&lt;=380,400+((500-400)/(380-250))*(T223-250),500)))))))</f>
        <v>135</v>
      </c>
      <c r="AG223" s="4" t="n">
        <f aca="false">IF(U223="","",IF(U223&lt;=50,(50/50)*U223,IF(U223&lt;=100,50+((100-50)/(100-50))*(U223-50),IF(U223&lt;=250,100+((200-100)/(250-100))*(U223-100),IF(U223&lt;=350,200+((300-200)/(350-250))*(U223-250),IF(U223&lt;=430,300+((400-300)/(430-350))*(U223-350),IF(U223&lt;=600,400+((500-400)/(600-430))*(U223-430),500)))))))</f>
        <v>387.5</v>
      </c>
      <c r="AH223" s="4" t="n">
        <f aca="false">IF(V223="","",IF((V223/1000)&lt;=1,(50/1)*(V223/1000),IF((V223/1000)&lt;=2,50+((100-50)/(2-1))*(V223/1000-1),IF((V223/1000)&lt;=10,100+((200-100)/(10-2))*(V223/1000-2),IF((V223/1000)&lt;=17,200+((300-200)/(17-10))*(V223/1000-10),IF((V223/1000)&lt;=34,300+((400-300)/(34-17))*(V223/1000-17),IF((V223/1000)&lt;=57,400+((500-400)/(57-34))*(V223/1000-34),500)))))))</f>
        <v>17.75</v>
      </c>
      <c r="AI223" s="4" t="n">
        <f aca="false">IF(W223="","",IF(W223&lt;=40,(50/40)*W223,IF(W223&lt;=80,50+((100-50)/(80-40))*(W223-40),IF(W223&lt;=180,100+((200-100)/(180-80))*(W223-80),IF(W223&lt;=280,200+((300-200)/(280-180))*(W223-180),IF(W223&lt;=400,300+((400-300)/(400-280))*(W223-280),IF(W223&lt;=800,400+((500-400)/(800-400))*(W223-400),500)))))))</f>
        <v>22.5</v>
      </c>
      <c r="AJ223" s="4" t="n">
        <f aca="false">IF(X223="","",IF(X223&lt;=40,(50/40)*X223,IF(X223&lt;=80,50+((100-50)/(80-40))*(X223-40),IF(X223&lt;=380,100+((200-100)/(380-80))*(X223-80),IF(X223&lt;=800,200+((300-200)/(800-380))*(X223-380),IF(X223&lt;=1600,300+((400-300)/(1600-800))*(X223-800),IF(X223&lt;=2100,400+((500-400)/(2100-1600))*(X223-1600),500)))))))</f>
        <v>16.125</v>
      </c>
      <c r="AK223" s="4" t="n">
        <f aca="false">IF(Y223="","",IF(Y223&lt;=50,(50/50)*Y223,IF(Y223&lt;=100,50+((100-50)/(100-50))*(Y223-50),IF(Y223&lt;=168,100+((200-100)/(168-100))*(Y223-100),IF(Y223&lt;=208,200+((300-200)/(208-168))*(Y223-168),IF(Y223&lt;=748,300+((400-300)/(748-208))*(Y223-208),IF(Y223&lt;=1000,400+((500-400)/(1000-748))*(Y223-748),500)))))))</f>
        <v>51</v>
      </c>
      <c r="AL223" s="4" t="n">
        <f aca="false">ROUND(MAX(AF223,AG223,AH223,AI223,AJ223,AK223),0)</f>
        <v>388</v>
      </c>
      <c r="AM223" s="4" t="str">
        <f aca="false">IF(AL223="","",IF(AL223&lt;=50,"Good",IF(AL223&lt;=100,"Satisfactory",IF(AL223&lt;=200,"Moderate",IF(AL223&lt;=300,"Poor",IF(AL223&lt;=400,"Very Poor","Severe"))))))</f>
        <v>Very Poor</v>
      </c>
    </row>
    <row r="224" customFormat="false" ht="15.75" hidden="false" customHeight="false" outlineLevel="0" collapsed="false">
      <c r="A224" s="1" t="s">
        <v>39</v>
      </c>
      <c r="B224" s="1" t="s">
        <v>40</v>
      </c>
      <c r="C224" s="1" t="n">
        <v>28.4595</v>
      </c>
      <c r="D224" s="1" t="n">
        <v>77.0266</v>
      </c>
      <c r="E224" s="5" t="n">
        <v>45910</v>
      </c>
      <c r="F224" s="6" t="s">
        <v>55</v>
      </c>
      <c r="G224" s="1" t="n">
        <v>9</v>
      </c>
      <c r="H224" s="7" t="s">
        <v>79</v>
      </c>
      <c r="I224" s="6" t="s">
        <v>43</v>
      </c>
      <c r="J224" s="7" t="s">
        <v>44</v>
      </c>
      <c r="K224" s="7" t="s">
        <v>56</v>
      </c>
      <c r="L224" s="1" t="n">
        <v>87</v>
      </c>
      <c r="M224" s="1" t="n">
        <v>24.4</v>
      </c>
      <c r="N224" s="1" t="n">
        <v>22.3</v>
      </c>
      <c r="O224" s="1" t="n">
        <v>0</v>
      </c>
      <c r="P224" s="6" t="s">
        <v>43</v>
      </c>
      <c r="Q224" s="6" t="s">
        <v>43</v>
      </c>
      <c r="R224" s="1" t="n">
        <v>1006.6</v>
      </c>
      <c r="S224" s="1" t="n">
        <v>5</v>
      </c>
      <c r="T224" s="1" t="n">
        <v>67.5</v>
      </c>
      <c r="U224" s="1" t="n">
        <v>420</v>
      </c>
      <c r="V224" s="1" t="n">
        <v>377</v>
      </c>
      <c r="W224" s="1" t="n">
        <v>18.9</v>
      </c>
      <c r="X224" s="1" t="n">
        <v>14.2</v>
      </c>
      <c r="Y224" s="1" t="n">
        <v>56</v>
      </c>
      <c r="Z224" s="1" t="n">
        <v>714</v>
      </c>
      <c r="AA224" s="1" t="n">
        <v>130</v>
      </c>
      <c r="AB224" s="7" t="s">
        <v>81</v>
      </c>
      <c r="AC224" s="7" t="s">
        <v>82</v>
      </c>
      <c r="AD224" s="7" t="s">
        <v>83</v>
      </c>
      <c r="AE224" s="7" t="s">
        <v>84</v>
      </c>
      <c r="AF224" s="4" t="n">
        <f aca="false">IF(T224="","",IF(T224&lt;=30,(50/30)*T224,IF(T224&lt;=60,50+((100-50)/(60-30))*(T224-30),IF(T224&lt;=90,100+((200-100)/(90-60))*(T224-60),IF(T224&lt;=120,200+((300-200)/(120-90))*(T224-90),IF(T224&lt;=250,300+((400-300)/(250-120))*(T224-120),IF(T224&lt;=380,400+((500-400)/(380-250))*(T224-250),500)))))))</f>
        <v>125</v>
      </c>
      <c r="AG224" s="4" t="n">
        <f aca="false">IF(U224="","",IF(U224&lt;=50,(50/50)*U224,IF(U224&lt;=100,50+((100-50)/(100-50))*(U224-50),IF(U224&lt;=250,100+((200-100)/(250-100))*(U224-100),IF(U224&lt;=350,200+((300-200)/(350-250))*(U224-250),IF(U224&lt;=430,300+((400-300)/(430-350))*(U224-350),IF(U224&lt;=600,400+((500-400)/(600-430))*(U224-430),500)))))))</f>
        <v>387.5</v>
      </c>
      <c r="AH224" s="4" t="n">
        <f aca="false">IF(V224="","",IF((V224/1000)&lt;=1,(50/1)*(V224/1000),IF((V224/1000)&lt;=2,50+((100-50)/(2-1))*(V224/1000-1),IF((V224/1000)&lt;=10,100+((200-100)/(10-2))*(V224/1000-2),IF((V224/1000)&lt;=17,200+((300-200)/(17-10))*(V224/1000-10),IF((V224/1000)&lt;=34,300+((400-300)/(34-17))*(V224/1000-17),IF((V224/1000)&lt;=57,400+((500-400)/(57-34))*(V224/1000-34),500)))))))</f>
        <v>18.85</v>
      </c>
      <c r="AI224" s="4" t="n">
        <f aca="false">IF(W224="","",IF(W224&lt;=40,(50/40)*W224,IF(W224&lt;=80,50+((100-50)/(80-40))*(W224-40),IF(W224&lt;=180,100+((200-100)/(180-80))*(W224-80),IF(W224&lt;=280,200+((300-200)/(280-180))*(W224-180),IF(W224&lt;=400,300+((400-300)/(400-280))*(W224-280),IF(W224&lt;=800,400+((500-400)/(800-400))*(W224-400),500)))))))</f>
        <v>23.625</v>
      </c>
      <c r="AJ224" s="4" t="n">
        <f aca="false">IF(X224="","",IF(X224&lt;=40,(50/40)*X224,IF(X224&lt;=80,50+((100-50)/(80-40))*(X224-40),IF(X224&lt;=380,100+((200-100)/(380-80))*(X224-80),IF(X224&lt;=800,200+((300-200)/(800-380))*(X224-380),IF(X224&lt;=1600,300+((400-300)/(1600-800))*(X224-800),IF(X224&lt;=2100,400+((500-400)/(2100-1600))*(X224-1600),500)))))))</f>
        <v>17.75</v>
      </c>
      <c r="AK224" s="4" t="n">
        <f aca="false">IF(Y224="","",IF(Y224&lt;=50,(50/50)*Y224,IF(Y224&lt;=100,50+((100-50)/(100-50))*(Y224-50),IF(Y224&lt;=168,100+((200-100)/(168-100))*(Y224-100),IF(Y224&lt;=208,200+((300-200)/(208-168))*(Y224-168),IF(Y224&lt;=748,300+((400-300)/(748-208))*(Y224-208),IF(Y224&lt;=1000,400+((500-400)/(1000-748))*(Y224-748),500)))))))</f>
        <v>56</v>
      </c>
      <c r="AL224" s="4" t="n">
        <f aca="false">ROUND(MAX(AF224,AG224,AH224,AI224,AJ224,AK224),0)</f>
        <v>388</v>
      </c>
      <c r="AM224" s="4" t="str">
        <f aca="false">IF(AL224="","",IF(AL224&lt;=50,"Good",IF(AL224&lt;=100,"Satisfactory",IF(AL224&lt;=200,"Moderate",IF(AL224&lt;=300,"Poor",IF(AL224&lt;=400,"Very Poor","Severe"))))))</f>
        <v>Very Poor</v>
      </c>
    </row>
    <row r="225" customFormat="false" ht="15.75" hidden="false" customHeight="false" outlineLevel="0" collapsed="false">
      <c r="A225" s="1" t="s">
        <v>39</v>
      </c>
      <c r="B225" s="1" t="s">
        <v>40</v>
      </c>
      <c r="C225" s="1" t="n">
        <v>28.4595</v>
      </c>
      <c r="D225" s="1" t="n">
        <v>77.0266</v>
      </c>
      <c r="E225" s="5" t="n">
        <v>45910</v>
      </c>
      <c r="F225" s="6" t="s">
        <v>57</v>
      </c>
      <c r="G225" s="1" t="n">
        <v>9</v>
      </c>
      <c r="H225" s="7" t="s">
        <v>79</v>
      </c>
      <c r="I225" s="6" t="s">
        <v>43</v>
      </c>
      <c r="J225" s="7" t="s">
        <v>44</v>
      </c>
      <c r="K225" s="7" t="s">
        <v>56</v>
      </c>
      <c r="L225" s="1" t="n">
        <v>85</v>
      </c>
      <c r="M225" s="1" t="n">
        <v>24.8</v>
      </c>
      <c r="N225" s="1" t="n">
        <v>22.3</v>
      </c>
      <c r="O225" s="1" t="n">
        <v>0</v>
      </c>
      <c r="P225" s="6" t="s">
        <v>43</v>
      </c>
      <c r="Q225" s="6" t="s">
        <v>43</v>
      </c>
      <c r="R225" s="1" t="n">
        <v>1007.5</v>
      </c>
      <c r="S225" s="1" t="n">
        <v>1</v>
      </c>
      <c r="T225" s="1" t="n">
        <v>70.3</v>
      </c>
      <c r="U225" s="1" t="n">
        <v>420</v>
      </c>
      <c r="V225" s="1" t="n">
        <v>414</v>
      </c>
      <c r="W225" s="1" t="n">
        <v>20</v>
      </c>
      <c r="X225" s="1" t="n">
        <v>15.9</v>
      </c>
      <c r="Y225" s="1" t="n">
        <v>63</v>
      </c>
      <c r="Z225" s="1" t="n">
        <v>714</v>
      </c>
      <c r="AA225" s="1" t="n">
        <v>131</v>
      </c>
      <c r="AB225" s="7" t="s">
        <v>81</v>
      </c>
      <c r="AC225" s="7" t="s">
        <v>82</v>
      </c>
      <c r="AD225" s="7" t="s">
        <v>83</v>
      </c>
      <c r="AE225" s="7" t="s">
        <v>84</v>
      </c>
      <c r="AF225" s="4" t="n">
        <f aca="false">IF(T225="","",IF(T225&lt;=30,(50/30)*T225,IF(T225&lt;=60,50+((100-50)/(60-30))*(T225-30),IF(T225&lt;=90,100+((200-100)/(90-60))*(T225-60),IF(T225&lt;=120,200+((300-200)/(120-90))*(T225-90),IF(T225&lt;=250,300+((400-300)/(250-120))*(T225-120),IF(T225&lt;=380,400+((500-400)/(380-250))*(T225-250),500)))))))</f>
        <v>134.333333333333</v>
      </c>
      <c r="AG225" s="4" t="n">
        <f aca="false">IF(U225="","",IF(U225&lt;=50,(50/50)*U225,IF(U225&lt;=100,50+((100-50)/(100-50))*(U225-50),IF(U225&lt;=250,100+((200-100)/(250-100))*(U225-100),IF(U225&lt;=350,200+((300-200)/(350-250))*(U225-250),IF(U225&lt;=430,300+((400-300)/(430-350))*(U225-350),IF(U225&lt;=600,400+((500-400)/(600-430))*(U225-430),500)))))))</f>
        <v>387.5</v>
      </c>
      <c r="AH225" s="4" t="n">
        <f aca="false">IF(V225="","",IF((V225/1000)&lt;=1,(50/1)*(V225/1000),IF((V225/1000)&lt;=2,50+((100-50)/(2-1))*(V225/1000-1),IF((V225/1000)&lt;=10,100+((200-100)/(10-2))*(V225/1000-2),IF((V225/1000)&lt;=17,200+((300-200)/(17-10))*(V225/1000-10),IF((V225/1000)&lt;=34,300+((400-300)/(34-17))*(V225/1000-17),IF((V225/1000)&lt;=57,400+((500-400)/(57-34))*(V225/1000-34),500)))))))</f>
        <v>20.7</v>
      </c>
      <c r="AI225" s="4" t="n">
        <f aca="false">IF(W225="","",IF(W225&lt;=40,(50/40)*W225,IF(W225&lt;=80,50+((100-50)/(80-40))*(W225-40),IF(W225&lt;=180,100+((200-100)/(180-80))*(W225-80),IF(W225&lt;=280,200+((300-200)/(280-180))*(W225-180),IF(W225&lt;=400,300+((400-300)/(400-280))*(W225-280),IF(W225&lt;=800,400+((500-400)/(800-400))*(W225-400),500)))))))</f>
        <v>25</v>
      </c>
      <c r="AJ225" s="4" t="n">
        <f aca="false">IF(X225="","",IF(X225&lt;=40,(50/40)*X225,IF(X225&lt;=80,50+((100-50)/(80-40))*(X225-40),IF(X225&lt;=380,100+((200-100)/(380-80))*(X225-80),IF(X225&lt;=800,200+((300-200)/(800-380))*(X225-380),IF(X225&lt;=1600,300+((400-300)/(1600-800))*(X225-800),IF(X225&lt;=2100,400+((500-400)/(2100-1600))*(X225-1600),500)))))))</f>
        <v>19.875</v>
      </c>
      <c r="AK225" s="4" t="n">
        <f aca="false">IF(Y225="","",IF(Y225&lt;=50,(50/50)*Y225,IF(Y225&lt;=100,50+((100-50)/(100-50))*(Y225-50),IF(Y225&lt;=168,100+((200-100)/(168-100))*(Y225-100),IF(Y225&lt;=208,200+((300-200)/(208-168))*(Y225-168),IF(Y225&lt;=748,300+((400-300)/(748-208))*(Y225-208),IF(Y225&lt;=1000,400+((500-400)/(1000-748))*(Y225-748),500)))))))</f>
        <v>63</v>
      </c>
      <c r="AL225" s="4" t="n">
        <f aca="false">ROUND(MAX(AF225,AG225,AH225,AI225,AJ225,AK225),0)</f>
        <v>388</v>
      </c>
      <c r="AM225" s="4" t="str">
        <f aca="false">IF(AL225="","",IF(AL225&lt;=50,"Good",IF(AL225&lt;=100,"Satisfactory",IF(AL225&lt;=200,"Moderate",IF(AL225&lt;=300,"Poor",IF(AL225&lt;=400,"Very Poor","Severe"))))))</f>
        <v>Very Poor</v>
      </c>
    </row>
    <row r="226" customFormat="false" ht="15.75" hidden="false" customHeight="false" outlineLevel="0" collapsed="false">
      <c r="A226" s="1" t="s">
        <v>39</v>
      </c>
      <c r="B226" s="1" t="s">
        <v>40</v>
      </c>
      <c r="C226" s="1" t="n">
        <v>28.4595</v>
      </c>
      <c r="D226" s="1" t="n">
        <v>77.0266</v>
      </c>
      <c r="E226" s="5" t="n">
        <v>45910</v>
      </c>
      <c r="F226" s="6" t="s">
        <v>58</v>
      </c>
      <c r="G226" s="1" t="n">
        <v>9</v>
      </c>
      <c r="H226" s="7" t="s">
        <v>79</v>
      </c>
      <c r="I226" s="6" t="s">
        <v>43</v>
      </c>
      <c r="J226" s="7" t="s">
        <v>44</v>
      </c>
      <c r="K226" s="7" t="s">
        <v>56</v>
      </c>
      <c r="L226" s="1" t="n">
        <v>80</v>
      </c>
      <c r="M226" s="1" t="n">
        <v>24.9</v>
      </c>
      <c r="N226" s="1" t="n">
        <v>25.9</v>
      </c>
      <c r="O226" s="1" t="n">
        <v>0</v>
      </c>
      <c r="P226" s="6" t="s">
        <v>43</v>
      </c>
      <c r="Q226" s="6" t="s">
        <v>43</v>
      </c>
      <c r="R226" s="1" t="n">
        <v>1007.6</v>
      </c>
      <c r="S226" s="1" t="n">
        <v>0</v>
      </c>
      <c r="T226" s="1" t="n">
        <v>67.5</v>
      </c>
      <c r="U226" s="1" t="n">
        <v>420</v>
      </c>
      <c r="V226" s="1" t="n">
        <v>422</v>
      </c>
      <c r="W226" s="1" t="n">
        <v>19.4</v>
      </c>
      <c r="X226" s="1" t="n">
        <v>16.9</v>
      </c>
      <c r="Y226" s="1" t="n">
        <v>74</v>
      </c>
      <c r="Z226" s="1" t="n">
        <v>698</v>
      </c>
      <c r="AA226" s="1" t="n">
        <v>132</v>
      </c>
      <c r="AB226" s="7" t="s">
        <v>81</v>
      </c>
      <c r="AC226" s="7" t="s">
        <v>82</v>
      </c>
      <c r="AD226" s="7" t="s">
        <v>83</v>
      </c>
      <c r="AE226" s="7" t="s">
        <v>84</v>
      </c>
      <c r="AF226" s="4" t="n">
        <f aca="false">IF(T226="","",IF(T226&lt;=30,(50/30)*T226,IF(T226&lt;=60,50+((100-50)/(60-30))*(T226-30),IF(T226&lt;=90,100+((200-100)/(90-60))*(T226-60),IF(T226&lt;=120,200+((300-200)/(120-90))*(T226-90),IF(T226&lt;=250,300+((400-300)/(250-120))*(T226-120),IF(T226&lt;=380,400+((500-400)/(380-250))*(T226-250),500)))))))</f>
        <v>125</v>
      </c>
      <c r="AG226" s="4" t="n">
        <f aca="false">IF(U226="","",IF(U226&lt;=50,(50/50)*U226,IF(U226&lt;=100,50+((100-50)/(100-50))*(U226-50),IF(U226&lt;=250,100+((200-100)/(250-100))*(U226-100),IF(U226&lt;=350,200+((300-200)/(350-250))*(U226-250),IF(U226&lt;=430,300+((400-300)/(430-350))*(U226-350),IF(U226&lt;=600,400+((500-400)/(600-430))*(U226-430),500)))))))</f>
        <v>387.5</v>
      </c>
      <c r="AH226" s="4" t="n">
        <f aca="false">IF(V226="","",IF((V226/1000)&lt;=1,(50/1)*(V226/1000),IF((V226/1000)&lt;=2,50+((100-50)/(2-1))*(V226/1000-1),IF((V226/1000)&lt;=10,100+((200-100)/(10-2))*(V226/1000-2),IF((V226/1000)&lt;=17,200+((300-200)/(17-10))*(V226/1000-10),IF((V226/1000)&lt;=34,300+((400-300)/(34-17))*(V226/1000-17),IF((V226/1000)&lt;=57,400+((500-400)/(57-34))*(V226/1000-34),500)))))))</f>
        <v>21.1</v>
      </c>
      <c r="AI226" s="4" t="n">
        <f aca="false">IF(W226="","",IF(W226&lt;=40,(50/40)*W226,IF(W226&lt;=80,50+((100-50)/(80-40))*(W226-40),IF(W226&lt;=180,100+((200-100)/(180-80))*(W226-80),IF(W226&lt;=280,200+((300-200)/(280-180))*(W226-180),IF(W226&lt;=400,300+((400-300)/(400-280))*(W226-280),IF(W226&lt;=800,400+((500-400)/(800-400))*(W226-400),500)))))))</f>
        <v>24.25</v>
      </c>
      <c r="AJ226" s="4" t="n">
        <f aca="false">IF(X226="","",IF(X226&lt;=40,(50/40)*X226,IF(X226&lt;=80,50+((100-50)/(80-40))*(X226-40),IF(X226&lt;=380,100+((200-100)/(380-80))*(X226-80),IF(X226&lt;=800,200+((300-200)/(800-380))*(X226-380),IF(X226&lt;=1600,300+((400-300)/(1600-800))*(X226-800),IF(X226&lt;=2100,400+((500-400)/(2100-1600))*(X226-1600),500)))))))</f>
        <v>21.125</v>
      </c>
      <c r="AK226" s="4" t="n">
        <f aca="false">IF(Y226="","",IF(Y226&lt;=50,(50/50)*Y226,IF(Y226&lt;=100,50+((100-50)/(100-50))*(Y226-50),IF(Y226&lt;=168,100+((200-100)/(168-100))*(Y226-100),IF(Y226&lt;=208,200+((300-200)/(208-168))*(Y226-168),IF(Y226&lt;=748,300+((400-300)/(748-208))*(Y226-208),IF(Y226&lt;=1000,400+((500-400)/(1000-748))*(Y226-748),500)))))))</f>
        <v>74</v>
      </c>
      <c r="AL226" s="4" t="n">
        <f aca="false">ROUND(MAX(AF226,AG226,AH226,AI226,AJ226,AK226),0)</f>
        <v>388</v>
      </c>
      <c r="AM226" s="4" t="str">
        <f aca="false">IF(AL226="","",IF(AL226&lt;=50,"Good",IF(AL226&lt;=100,"Satisfactory",IF(AL226&lt;=200,"Moderate",IF(AL226&lt;=300,"Poor",IF(AL226&lt;=400,"Very Poor","Severe"))))))</f>
        <v>Very Poor</v>
      </c>
    </row>
    <row r="227" customFormat="false" ht="15.75" hidden="false" customHeight="false" outlineLevel="0" collapsed="false">
      <c r="A227" s="1" t="s">
        <v>39</v>
      </c>
      <c r="B227" s="1" t="s">
        <v>40</v>
      </c>
      <c r="C227" s="1" t="n">
        <v>28.4595</v>
      </c>
      <c r="D227" s="1" t="n">
        <v>77.0266</v>
      </c>
      <c r="E227" s="5" t="n">
        <v>45910</v>
      </c>
      <c r="F227" s="6" t="s">
        <v>59</v>
      </c>
      <c r="G227" s="1" t="n">
        <v>9</v>
      </c>
      <c r="H227" s="7" t="s">
        <v>79</v>
      </c>
      <c r="I227" s="6" t="s">
        <v>43</v>
      </c>
      <c r="J227" s="7" t="s">
        <v>44</v>
      </c>
      <c r="K227" s="7" t="s">
        <v>60</v>
      </c>
      <c r="L227" s="1" t="n">
        <v>73</v>
      </c>
      <c r="M227" s="1" t="n">
        <v>24.5</v>
      </c>
      <c r="N227" s="1" t="n">
        <v>33.1</v>
      </c>
      <c r="O227" s="1" t="n">
        <v>0</v>
      </c>
      <c r="P227" s="6" t="s">
        <v>43</v>
      </c>
      <c r="Q227" s="6" t="s">
        <v>43</v>
      </c>
      <c r="R227" s="1" t="n">
        <v>1008</v>
      </c>
      <c r="S227" s="1" t="n">
        <v>0</v>
      </c>
      <c r="T227" s="1" t="n">
        <v>66.1</v>
      </c>
      <c r="U227" s="1" t="n">
        <v>420</v>
      </c>
      <c r="V227" s="1" t="n">
        <v>369</v>
      </c>
      <c r="W227" s="1" t="n">
        <v>15.3</v>
      </c>
      <c r="X227" s="1" t="n">
        <v>16.4</v>
      </c>
      <c r="Y227" s="1" t="n">
        <v>93</v>
      </c>
      <c r="Z227" s="1" t="n">
        <v>517</v>
      </c>
      <c r="AA227" s="1" t="n">
        <v>133</v>
      </c>
      <c r="AB227" s="7" t="s">
        <v>81</v>
      </c>
      <c r="AC227" s="7" t="s">
        <v>82</v>
      </c>
      <c r="AD227" s="7" t="s">
        <v>83</v>
      </c>
      <c r="AE227" s="7" t="s">
        <v>84</v>
      </c>
      <c r="AF227" s="4" t="n">
        <f aca="false">IF(T227="","",IF(T227&lt;=30,(50/30)*T227,IF(T227&lt;=60,50+((100-50)/(60-30))*(T227-30),IF(T227&lt;=90,100+((200-100)/(90-60))*(T227-60),IF(T227&lt;=120,200+((300-200)/(120-90))*(T227-90),IF(T227&lt;=250,300+((400-300)/(250-120))*(T227-120),IF(T227&lt;=380,400+((500-400)/(380-250))*(T227-250),500)))))))</f>
        <v>120.333333333333</v>
      </c>
      <c r="AG227" s="4" t="n">
        <f aca="false">IF(U227="","",IF(U227&lt;=50,(50/50)*U227,IF(U227&lt;=100,50+((100-50)/(100-50))*(U227-50),IF(U227&lt;=250,100+((200-100)/(250-100))*(U227-100),IF(U227&lt;=350,200+((300-200)/(350-250))*(U227-250),IF(U227&lt;=430,300+((400-300)/(430-350))*(U227-350),IF(U227&lt;=600,400+((500-400)/(600-430))*(U227-430),500)))))))</f>
        <v>387.5</v>
      </c>
      <c r="AH227" s="4" t="n">
        <f aca="false">IF(V227="","",IF((V227/1000)&lt;=1,(50/1)*(V227/1000),IF((V227/1000)&lt;=2,50+((100-50)/(2-1))*(V227/1000-1),IF((V227/1000)&lt;=10,100+((200-100)/(10-2))*(V227/1000-2),IF((V227/1000)&lt;=17,200+((300-200)/(17-10))*(V227/1000-10),IF((V227/1000)&lt;=34,300+((400-300)/(34-17))*(V227/1000-17),IF((V227/1000)&lt;=57,400+((500-400)/(57-34))*(V227/1000-34),500)))))))</f>
        <v>18.45</v>
      </c>
      <c r="AI227" s="4" t="n">
        <f aca="false">IF(W227="","",IF(W227&lt;=40,(50/40)*W227,IF(W227&lt;=80,50+((100-50)/(80-40))*(W227-40),IF(W227&lt;=180,100+((200-100)/(180-80))*(W227-80),IF(W227&lt;=280,200+((300-200)/(280-180))*(W227-180),IF(W227&lt;=400,300+((400-300)/(400-280))*(W227-280),IF(W227&lt;=800,400+((500-400)/(800-400))*(W227-400),500)))))))</f>
        <v>19.125</v>
      </c>
      <c r="AJ227" s="4" t="n">
        <f aca="false">IF(X227="","",IF(X227&lt;=40,(50/40)*X227,IF(X227&lt;=80,50+((100-50)/(80-40))*(X227-40),IF(X227&lt;=380,100+((200-100)/(380-80))*(X227-80),IF(X227&lt;=800,200+((300-200)/(800-380))*(X227-380),IF(X227&lt;=1600,300+((400-300)/(1600-800))*(X227-800),IF(X227&lt;=2100,400+((500-400)/(2100-1600))*(X227-1600),500)))))))</f>
        <v>20.5</v>
      </c>
      <c r="AK227" s="4" t="n">
        <f aca="false">IF(Y227="","",IF(Y227&lt;=50,(50/50)*Y227,IF(Y227&lt;=100,50+((100-50)/(100-50))*(Y227-50),IF(Y227&lt;=168,100+((200-100)/(168-100))*(Y227-100),IF(Y227&lt;=208,200+((300-200)/(208-168))*(Y227-168),IF(Y227&lt;=748,300+((400-300)/(748-208))*(Y227-208),IF(Y227&lt;=1000,400+((500-400)/(1000-748))*(Y227-748),500)))))))</f>
        <v>93</v>
      </c>
      <c r="AL227" s="4" t="n">
        <f aca="false">ROUND(MAX(AF227,AG227,AH227,AI227,AJ227,AK227),0)</f>
        <v>388</v>
      </c>
      <c r="AM227" s="4" t="str">
        <f aca="false">IF(AL227="","",IF(AL227&lt;=50,"Good",IF(AL227&lt;=100,"Satisfactory",IF(AL227&lt;=200,"Moderate",IF(AL227&lt;=300,"Poor",IF(AL227&lt;=400,"Very Poor","Severe"))))))</f>
        <v>Very Poor</v>
      </c>
    </row>
    <row r="228" customFormat="false" ht="15.75" hidden="false" customHeight="false" outlineLevel="0" collapsed="false">
      <c r="A228" s="1" t="s">
        <v>39</v>
      </c>
      <c r="B228" s="1" t="s">
        <v>40</v>
      </c>
      <c r="C228" s="1" t="n">
        <v>28.4595</v>
      </c>
      <c r="D228" s="1" t="n">
        <v>77.0266</v>
      </c>
      <c r="E228" s="5" t="n">
        <v>45910</v>
      </c>
      <c r="F228" s="6" t="s">
        <v>61</v>
      </c>
      <c r="G228" s="1" t="n">
        <v>9</v>
      </c>
      <c r="H228" s="7" t="s">
        <v>79</v>
      </c>
      <c r="I228" s="6" t="s">
        <v>43</v>
      </c>
      <c r="J228" s="7" t="s">
        <v>44</v>
      </c>
      <c r="K228" s="7" t="s">
        <v>60</v>
      </c>
      <c r="L228" s="1" t="n">
        <v>67</v>
      </c>
      <c r="M228" s="1" t="n">
        <v>24.2</v>
      </c>
      <c r="N228" s="1" t="n">
        <v>37.8</v>
      </c>
      <c r="O228" s="1" t="n">
        <v>0</v>
      </c>
      <c r="P228" s="6" t="s">
        <v>43</v>
      </c>
      <c r="Q228" s="6" t="s">
        <v>43</v>
      </c>
      <c r="R228" s="1" t="n">
        <v>1007.9</v>
      </c>
      <c r="S228" s="1" t="n">
        <v>11</v>
      </c>
      <c r="T228" s="1" t="n">
        <v>36.9</v>
      </c>
      <c r="U228" s="1" t="n">
        <v>139.7</v>
      </c>
      <c r="V228" s="1" t="n">
        <v>286</v>
      </c>
      <c r="W228" s="1" t="n">
        <v>9.5</v>
      </c>
      <c r="X228" s="1" t="n">
        <v>15.2</v>
      </c>
      <c r="Y228" s="1" t="n">
        <v>116</v>
      </c>
      <c r="Z228" s="1" t="n">
        <v>285</v>
      </c>
      <c r="AA228" s="1" t="n">
        <v>135</v>
      </c>
      <c r="AB228" s="7" t="s">
        <v>81</v>
      </c>
      <c r="AC228" s="7" t="s">
        <v>82</v>
      </c>
      <c r="AD228" s="7" t="s">
        <v>83</v>
      </c>
      <c r="AE228" s="7" t="s">
        <v>84</v>
      </c>
      <c r="AF228" s="4" t="n">
        <f aca="false">IF(T228="","",IF(T228&lt;=30,(50/30)*T228,IF(T228&lt;=60,50+((100-50)/(60-30))*(T228-30),IF(T228&lt;=90,100+((200-100)/(90-60))*(T228-60),IF(T228&lt;=120,200+((300-200)/(120-90))*(T228-90),IF(T228&lt;=250,300+((400-300)/(250-120))*(T228-120),IF(T228&lt;=380,400+((500-400)/(380-250))*(T228-250),500)))))))</f>
        <v>61.5</v>
      </c>
      <c r="AG228" s="4" t="n">
        <f aca="false">IF(U228="","",IF(U228&lt;=50,(50/50)*U228,IF(U228&lt;=100,50+((100-50)/(100-50))*(U228-50),IF(U228&lt;=250,100+((200-100)/(250-100))*(U228-100),IF(U228&lt;=350,200+((300-200)/(350-250))*(U228-250),IF(U228&lt;=430,300+((400-300)/(430-350))*(U228-350),IF(U228&lt;=600,400+((500-400)/(600-430))*(U228-430),500)))))))</f>
        <v>126.466666666667</v>
      </c>
      <c r="AH228" s="4" t="n">
        <f aca="false">IF(V228="","",IF((V228/1000)&lt;=1,(50/1)*(V228/1000),IF((V228/1000)&lt;=2,50+((100-50)/(2-1))*(V228/1000-1),IF((V228/1000)&lt;=10,100+((200-100)/(10-2))*(V228/1000-2),IF((V228/1000)&lt;=17,200+((300-200)/(17-10))*(V228/1000-10),IF((V228/1000)&lt;=34,300+((400-300)/(34-17))*(V228/1000-17),IF((V228/1000)&lt;=57,400+((500-400)/(57-34))*(V228/1000-34),500)))))))</f>
        <v>14.3</v>
      </c>
      <c r="AI228" s="4" t="n">
        <f aca="false">IF(W228="","",IF(W228&lt;=40,(50/40)*W228,IF(W228&lt;=80,50+((100-50)/(80-40))*(W228-40),IF(W228&lt;=180,100+((200-100)/(180-80))*(W228-80),IF(W228&lt;=280,200+((300-200)/(280-180))*(W228-180),IF(W228&lt;=400,300+((400-300)/(400-280))*(W228-280),IF(W228&lt;=800,400+((500-400)/(800-400))*(W228-400),500)))))))</f>
        <v>11.875</v>
      </c>
      <c r="AJ228" s="4" t="n">
        <f aca="false">IF(X228="","",IF(X228&lt;=40,(50/40)*X228,IF(X228&lt;=80,50+((100-50)/(80-40))*(X228-40),IF(X228&lt;=380,100+((200-100)/(380-80))*(X228-80),IF(X228&lt;=800,200+((300-200)/(800-380))*(X228-380),IF(X228&lt;=1600,300+((400-300)/(1600-800))*(X228-800),IF(X228&lt;=2100,400+((500-400)/(2100-1600))*(X228-1600),500)))))))</f>
        <v>19</v>
      </c>
      <c r="AK228" s="4" t="n">
        <f aca="false">IF(Y228="","",IF(Y228&lt;=50,(50/50)*Y228,IF(Y228&lt;=100,50+((100-50)/(100-50))*(Y228-50),IF(Y228&lt;=168,100+((200-100)/(168-100))*(Y228-100),IF(Y228&lt;=208,200+((300-200)/(208-168))*(Y228-168),IF(Y228&lt;=748,300+((400-300)/(748-208))*(Y228-208),IF(Y228&lt;=1000,400+((500-400)/(1000-748))*(Y228-748),500)))))))</f>
        <v>123.529411764706</v>
      </c>
      <c r="AL228" s="4" t="n">
        <f aca="false">ROUND(MAX(AF228,AG228,AH228,AI228,AJ228,AK228),0)</f>
        <v>126</v>
      </c>
      <c r="AM228" s="4" t="str">
        <f aca="false">IF(AL228="","",IF(AL228&lt;=50,"Good",IF(AL228&lt;=100,"Satisfactory",IF(AL228&lt;=200,"Moderate",IF(AL228&lt;=300,"Poor",IF(AL228&lt;=400,"Very Poor","Severe"))))))</f>
        <v>Moderate</v>
      </c>
    </row>
    <row r="229" customFormat="false" ht="15.75" hidden="false" customHeight="false" outlineLevel="0" collapsed="false">
      <c r="A229" s="1" t="s">
        <v>39</v>
      </c>
      <c r="B229" s="1" t="s">
        <v>40</v>
      </c>
      <c r="C229" s="1" t="n">
        <v>28.4595</v>
      </c>
      <c r="D229" s="1" t="n">
        <v>77.0266</v>
      </c>
      <c r="E229" s="5" t="n">
        <v>45910</v>
      </c>
      <c r="F229" s="6" t="s">
        <v>62</v>
      </c>
      <c r="G229" s="1" t="n">
        <v>9</v>
      </c>
      <c r="H229" s="7" t="s">
        <v>79</v>
      </c>
      <c r="I229" s="6" t="s">
        <v>43</v>
      </c>
      <c r="J229" s="7" t="s">
        <v>44</v>
      </c>
      <c r="K229" s="7" t="s">
        <v>60</v>
      </c>
      <c r="L229" s="1" t="n">
        <v>63</v>
      </c>
      <c r="M229" s="1" t="n">
        <v>23.7</v>
      </c>
      <c r="N229" s="1" t="n">
        <v>39.6</v>
      </c>
      <c r="O229" s="1" t="n">
        <v>0</v>
      </c>
      <c r="P229" s="6" t="s">
        <v>43</v>
      </c>
      <c r="Q229" s="6" t="s">
        <v>43</v>
      </c>
      <c r="R229" s="1" t="n">
        <v>1007.7</v>
      </c>
      <c r="S229" s="1" t="n">
        <v>8</v>
      </c>
      <c r="T229" s="1" t="n">
        <v>27.1</v>
      </c>
      <c r="U229" s="1" t="n">
        <v>86.6</v>
      </c>
      <c r="V229" s="1" t="n">
        <v>224</v>
      </c>
      <c r="W229" s="1" t="n">
        <v>5.2</v>
      </c>
      <c r="X229" s="1" t="n">
        <v>13.8</v>
      </c>
      <c r="Y229" s="1" t="n">
        <v>133</v>
      </c>
      <c r="Z229" s="1" t="n">
        <v>116</v>
      </c>
      <c r="AA229" s="1" t="n">
        <v>135</v>
      </c>
      <c r="AB229" s="7" t="s">
        <v>81</v>
      </c>
      <c r="AC229" s="7" t="s">
        <v>82</v>
      </c>
      <c r="AD229" s="7" t="s">
        <v>83</v>
      </c>
      <c r="AE229" s="7" t="s">
        <v>84</v>
      </c>
      <c r="AF229" s="4" t="n">
        <f aca="false">IF(T229="","",IF(T229&lt;=30,(50/30)*T229,IF(T229&lt;=60,50+((100-50)/(60-30))*(T229-30),IF(T229&lt;=90,100+((200-100)/(90-60))*(T229-60),IF(T229&lt;=120,200+((300-200)/(120-90))*(T229-90),IF(T229&lt;=250,300+((400-300)/(250-120))*(T229-120),IF(T229&lt;=380,400+((500-400)/(380-250))*(T229-250),500)))))))</f>
        <v>45.1666666666667</v>
      </c>
      <c r="AG229" s="4" t="n">
        <f aca="false">IF(U229="","",IF(U229&lt;=50,(50/50)*U229,IF(U229&lt;=100,50+((100-50)/(100-50))*(U229-50),IF(U229&lt;=250,100+((200-100)/(250-100))*(U229-100),IF(U229&lt;=350,200+((300-200)/(350-250))*(U229-250),IF(U229&lt;=430,300+((400-300)/(430-350))*(U229-350),IF(U229&lt;=600,400+((500-400)/(600-430))*(U229-430),500)))))))</f>
        <v>86.6</v>
      </c>
      <c r="AH229" s="4" t="n">
        <f aca="false">IF(V229="","",IF((V229/1000)&lt;=1,(50/1)*(V229/1000),IF((V229/1000)&lt;=2,50+((100-50)/(2-1))*(V229/1000-1),IF((V229/1000)&lt;=10,100+((200-100)/(10-2))*(V229/1000-2),IF((V229/1000)&lt;=17,200+((300-200)/(17-10))*(V229/1000-10),IF((V229/1000)&lt;=34,300+((400-300)/(34-17))*(V229/1000-17),IF((V229/1000)&lt;=57,400+((500-400)/(57-34))*(V229/1000-34),500)))))))</f>
        <v>11.2</v>
      </c>
      <c r="AI229" s="4" t="n">
        <f aca="false">IF(W229="","",IF(W229&lt;=40,(50/40)*W229,IF(W229&lt;=80,50+((100-50)/(80-40))*(W229-40),IF(W229&lt;=180,100+((200-100)/(180-80))*(W229-80),IF(W229&lt;=280,200+((300-200)/(280-180))*(W229-180),IF(W229&lt;=400,300+((400-300)/(400-280))*(W229-280),IF(W229&lt;=800,400+((500-400)/(800-400))*(W229-400),500)))))))</f>
        <v>6.5</v>
      </c>
      <c r="AJ229" s="4" t="n">
        <f aca="false">IF(X229="","",IF(X229&lt;=40,(50/40)*X229,IF(X229&lt;=80,50+((100-50)/(80-40))*(X229-40),IF(X229&lt;=380,100+((200-100)/(380-80))*(X229-80),IF(X229&lt;=800,200+((300-200)/(800-380))*(X229-380),IF(X229&lt;=1600,300+((400-300)/(1600-800))*(X229-800),IF(X229&lt;=2100,400+((500-400)/(2100-1600))*(X229-1600),500)))))))</f>
        <v>17.25</v>
      </c>
      <c r="AK229" s="4" t="n">
        <f aca="false">IF(Y229="","",IF(Y229&lt;=50,(50/50)*Y229,IF(Y229&lt;=100,50+((100-50)/(100-50))*(Y229-50),IF(Y229&lt;=168,100+((200-100)/(168-100))*(Y229-100),IF(Y229&lt;=208,200+((300-200)/(208-168))*(Y229-168),IF(Y229&lt;=748,300+((400-300)/(748-208))*(Y229-208),IF(Y229&lt;=1000,400+((500-400)/(1000-748))*(Y229-748),500)))))))</f>
        <v>148.529411764706</v>
      </c>
      <c r="AL229" s="4" t="n">
        <f aca="false">ROUND(MAX(AF229,AG229,AH229,AI229,AJ229,AK229),0)</f>
        <v>149</v>
      </c>
      <c r="AM229" s="4" t="str">
        <f aca="false">IF(AL229="","",IF(AL229&lt;=50,"Good",IF(AL229&lt;=100,"Satisfactory",IF(AL229&lt;=200,"Moderate",IF(AL229&lt;=300,"Poor",IF(AL229&lt;=400,"Very Poor","Severe"))))))</f>
        <v>Moderate</v>
      </c>
    </row>
    <row r="230" customFormat="false" ht="15.75" hidden="false" customHeight="false" outlineLevel="0" collapsed="false">
      <c r="A230" s="1" t="s">
        <v>39</v>
      </c>
      <c r="B230" s="1" t="s">
        <v>40</v>
      </c>
      <c r="C230" s="1" t="n">
        <v>28.4595</v>
      </c>
      <c r="D230" s="1" t="n">
        <v>77.0266</v>
      </c>
      <c r="E230" s="5" t="n">
        <v>45910</v>
      </c>
      <c r="F230" s="6" t="s">
        <v>63</v>
      </c>
      <c r="G230" s="1" t="n">
        <v>9</v>
      </c>
      <c r="H230" s="7" t="s">
        <v>79</v>
      </c>
      <c r="I230" s="6" t="s">
        <v>43</v>
      </c>
      <c r="J230" s="7" t="s">
        <v>44</v>
      </c>
      <c r="K230" s="7" t="s">
        <v>60</v>
      </c>
      <c r="L230" s="1" t="n">
        <v>60</v>
      </c>
      <c r="M230" s="1" t="n">
        <v>23.5</v>
      </c>
      <c r="N230" s="1" t="n">
        <v>39.6</v>
      </c>
      <c r="O230" s="1" t="n">
        <v>0</v>
      </c>
      <c r="P230" s="6" t="s">
        <v>43</v>
      </c>
      <c r="Q230" s="6" t="s">
        <v>43</v>
      </c>
      <c r="R230" s="1" t="n">
        <v>1006.9</v>
      </c>
      <c r="S230" s="1" t="n">
        <v>8</v>
      </c>
      <c r="T230" s="1" t="n">
        <v>29.2</v>
      </c>
      <c r="U230" s="1" t="n">
        <v>111.3</v>
      </c>
      <c r="V230" s="1" t="n">
        <v>201</v>
      </c>
      <c r="W230" s="1" t="n">
        <v>3.6</v>
      </c>
      <c r="X230" s="1" t="n">
        <v>12.3</v>
      </c>
      <c r="Y230" s="1" t="n">
        <v>138</v>
      </c>
      <c r="Z230" s="1" t="n">
        <v>30</v>
      </c>
      <c r="AA230" s="1" t="n">
        <v>135</v>
      </c>
      <c r="AB230" s="7" t="s">
        <v>81</v>
      </c>
      <c r="AC230" s="7" t="s">
        <v>82</v>
      </c>
      <c r="AD230" s="7" t="s">
        <v>83</v>
      </c>
      <c r="AE230" s="7" t="s">
        <v>84</v>
      </c>
      <c r="AF230" s="4" t="n">
        <f aca="false">IF(T230="","",IF(T230&lt;=30,(50/30)*T230,IF(T230&lt;=60,50+((100-50)/(60-30))*(T230-30),IF(T230&lt;=90,100+((200-100)/(90-60))*(T230-60),IF(T230&lt;=120,200+((300-200)/(120-90))*(T230-90),IF(T230&lt;=250,300+((400-300)/(250-120))*(T230-120),IF(T230&lt;=380,400+((500-400)/(380-250))*(T230-250),500)))))))</f>
        <v>48.6666666666667</v>
      </c>
      <c r="AG230" s="4" t="n">
        <f aca="false">IF(U230="","",IF(U230&lt;=50,(50/50)*U230,IF(U230&lt;=100,50+((100-50)/(100-50))*(U230-50),IF(U230&lt;=250,100+((200-100)/(250-100))*(U230-100),IF(U230&lt;=350,200+((300-200)/(350-250))*(U230-250),IF(U230&lt;=430,300+((400-300)/(430-350))*(U230-350),IF(U230&lt;=600,400+((500-400)/(600-430))*(U230-430),500)))))))</f>
        <v>107.533333333333</v>
      </c>
      <c r="AH230" s="4" t="n">
        <f aca="false">IF(V230="","",IF((V230/1000)&lt;=1,(50/1)*(V230/1000),IF((V230/1000)&lt;=2,50+((100-50)/(2-1))*(V230/1000-1),IF((V230/1000)&lt;=10,100+((200-100)/(10-2))*(V230/1000-2),IF((V230/1000)&lt;=17,200+((300-200)/(17-10))*(V230/1000-10),IF((V230/1000)&lt;=34,300+((400-300)/(34-17))*(V230/1000-17),IF((V230/1000)&lt;=57,400+((500-400)/(57-34))*(V230/1000-34),500)))))))</f>
        <v>10.05</v>
      </c>
      <c r="AI230" s="4" t="n">
        <f aca="false">IF(W230="","",IF(W230&lt;=40,(50/40)*W230,IF(W230&lt;=80,50+((100-50)/(80-40))*(W230-40),IF(W230&lt;=180,100+((200-100)/(180-80))*(W230-80),IF(W230&lt;=280,200+((300-200)/(280-180))*(W230-180),IF(W230&lt;=400,300+((400-300)/(400-280))*(W230-280),IF(W230&lt;=800,400+((500-400)/(800-400))*(W230-400),500)))))))</f>
        <v>4.5</v>
      </c>
      <c r="AJ230" s="4" t="n">
        <f aca="false">IF(X230="","",IF(X230&lt;=40,(50/40)*X230,IF(X230&lt;=80,50+((100-50)/(80-40))*(X230-40),IF(X230&lt;=380,100+((200-100)/(380-80))*(X230-80),IF(X230&lt;=800,200+((300-200)/(800-380))*(X230-380),IF(X230&lt;=1600,300+((400-300)/(1600-800))*(X230-800),IF(X230&lt;=2100,400+((500-400)/(2100-1600))*(X230-1600),500)))))))</f>
        <v>15.375</v>
      </c>
      <c r="AK230" s="4" t="n">
        <f aca="false">IF(Y230="","",IF(Y230&lt;=50,(50/50)*Y230,IF(Y230&lt;=100,50+((100-50)/(100-50))*(Y230-50),IF(Y230&lt;=168,100+((200-100)/(168-100))*(Y230-100),IF(Y230&lt;=208,200+((300-200)/(208-168))*(Y230-168),IF(Y230&lt;=748,300+((400-300)/(748-208))*(Y230-208),IF(Y230&lt;=1000,400+((500-400)/(1000-748))*(Y230-748),500)))))))</f>
        <v>155.882352941176</v>
      </c>
      <c r="AL230" s="4" t="n">
        <f aca="false">ROUND(MAX(AF230,AG230,AH230,AI230,AJ230,AK230),0)</f>
        <v>156</v>
      </c>
      <c r="AM230" s="4" t="str">
        <f aca="false">IF(AL230="","",IF(AL230&lt;=50,"Good",IF(AL230&lt;=100,"Satisfactory",IF(AL230&lt;=200,"Moderate",IF(AL230&lt;=300,"Poor",IF(AL230&lt;=400,"Very Poor","Severe"))))))</f>
        <v>Moderate</v>
      </c>
    </row>
    <row r="231" customFormat="false" ht="15.75" hidden="false" customHeight="false" outlineLevel="0" collapsed="false">
      <c r="A231" s="1" t="s">
        <v>39</v>
      </c>
      <c r="B231" s="1" t="s">
        <v>40</v>
      </c>
      <c r="C231" s="1" t="n">
        <v>28.4595</v>
      </c>
      <c r="D231" s="1" t="n">
        <v>77.0266</v>
      </c>
      <c r="E231" s="5" t="n">
        <v>45910</v>
      </c>
      <c r="F231" s="6" t="s">
        <v>64</v>
      </c>
      <c r="G231" s="1" t="n">
        <v>9</v>
      </c>
      <c r="H231" s="7" t="s">
        <v>79</v>
      </c>
      <c r="I231" s="6" t="s">
        <v>43</v>
      </c>
      <c r="J231" s="7" t="s">
        <v>44</v>
      </c>
      <c r="K231" s="7" t="s">
        <v>65</v>
      </c>
      <c r="L231" s="1" t="n">
        <v>58</v>
      </c>
      <c r="M231" s="1" t="n">
        <v>23.2</v>
      </c>
      <c r="N231" s="1" t="n">
        <v>39.2</v>
      </c>
      <c r="O231" s="1" t="n">
        <v>0</v>
      </c>
      <c r="P231" s="6" t="s">
        <v>43</v>
      </c>
      <c r="Q231" s="6" t="s">
        <v>43</v>
      </c>
      <c r="R231" s="1" t="n">
        <v>1005.8</v>
      </c>
      <c r="S231" s="1" t="n">
        <v>4</v>
      </c>
      <c r="T231" s="1" t="n">
        <v>27.1</v>
      </c>
      <c r="U231" s="1" t="n">
        <v>97.8</v>
      </c>
      <c r="V231" s="1" t="n">
        <v>198</v>
      </c>
      <c r="W231" s="1" t="n">
        <v>3.5</v>
      </c>
      <c r="X231" s="1" t="n">
        <v>10.6</v>
      </c>
      <c r="Y231" s="1" t="n">
        <v>136</v>
      </c>
      <c r="Z231" s="1" t="n">
        <v>6</v>
      </c>
      <c r="AA231" s="1" t="n">
        <v>136</v>
      </c>
      <c r="AB231" s="7" t="s">
        <v>81</v>
      </c>
      <c r="AC231" s="7" t="s">
        <v>82</v>
      </c>
      <c r="AD231" s="7" t="s">
        <v>83</v>
      </c>
      <c r="AE231" s="7" t="s">
        <v>84</v>
      </c>
      <c r="AF231" s="4" t="n">
        <f aca="false">IF(T231="","",IF(T231&lt;=30,(50/30)*T231,IF(T231&lt;=60,50+((100-50)/(60-30))*(T231-30),IF(T231&lt;=90,100+((200-100)/(90-60))*(T231-60),IF(T231&lt;=120,200+((300-200)/(120-90))*(T231-90),IF(T231&lt;=250,300+((400-300)/(250-120))*(T231-120),IF(T231&lt;=380,400+((500-400)/(380-250))*(T231-250),500)))))))</f>
        <v>45.1666666666667</v>
      </c>
      <c r="AG231" s="4" t="n">
        <f aca="false">IF(U231="","",IF(U231&lt;=50,(50/50)*U231,IF(U231&lt;=100,50+((100-50)/(100-50))*(U231-50),IF(U231&lt;=250,100+((200-100)/(250-100))*(U231-100),IF(U231&lt;=350,200+((300-200)/(350-250))*(U231-250),IF(U231&lt;=430,300+((400-300)/(430-350))*(U231-350),IF(U231&lt;=600,400+((500-400)/(600-430))*(U231-430),500)))))))</f>
        <v>97.8</v>
      </c>
      <c r="AH231" s="4" t="n">
        <f aca="false">IF(V231="","",IF((V231/1000)&lt;=1,(50/1)*(V231/1000),IF((V231/1000)&lt;=2,50+((100-50)/(2-1))*(V231/1000-1),IF((V231/1000)&lt;=10,100+((200-100)/(10-2))*(V231/1000-2),IF((V231/1000)&lt;=17,200+((300-200)/(17-10))*(V231/1000-10),IF((V231/1000)&lt;=34,300+((400-300)/(34-17))*(V231/1000-17),IF((V231/1000)&lt;=57,400+((500-400)/(57-34))*(V231/1000-34),500)))))))</f>
        <v>9.9</v>
      </c>
      <c r="AI231" s="4" t="n">
        <f aca="false">IF(W231="","",IF(W231&lt;=40,(50/40)*W231,IF(W231&lt;=80,50+((100-50)/(80-40))*(W231-40),IF(W231&lt;=180,100+((200-100)/(180-80))*(W231-80),IF(W231&lt;=280,200+((300-200)/(280-180))*(W231-180),IF(W231&lt;=400,300+((400-300)/(400-280))*(W231-280),IF(W231&lt;=800,400+((500-400)/(800-400))*(W231-400),500)))))))</f>
        <v>4.375</v>
      </c>
      <c r="AJ231" s="4" t="n">
        <f aca="false">IF(X231="","",IF(X231&lt;=40,(50/40)*X231,IF(X231&lt;=80,50+((100-50)/(80-40))*(X231-40),IF(X231&lt;=380,100+((200-100)/(380-80))*(X231-80),IF(X231&lt;=800,200+((300-200)/(800-380))*(X231-380),IF(X231&lt;=1600,300+((400-300)/(1600-800))*(X231-800),IF(X231&lt;=2100,400+((500-400)/(2100-1600))*(X231-1600),500)))))))</f>
        <v>13.25</v>
      </c>
      <c r="AK231" s="4" t="n">
        <f aca="false">IF(Y231="","",IF(Y231&lt;=50,(50/50)*Y231,IF(Y231&lt;=100,50+((100-50)/(100-50))*(Y231-50),IF(Y231&lt;=168,100+((200-100)/(168-100))*(Y231-100),IF(Y231&lt;=208,200+((300-200)/(208-168))*(Y231-168),IF(Y231&lt;=748,300+((400-300)/(748-208))*(Y231-208),IF(Y231&lt;=1000,400+((500-400)/(1000-748))*(Y231-748),500)))))))</f>
        <v>152.941176470588</v>
      </c>
      <c r="AL231" s="4" t="n">
        <f aca="false">ROUND(MAX(AF231,AG231,AH231,AI231,AJ231,AK231),0)</f>
        <v>153</v>
      </c>
      <c r="AM231" s="4" t="str">
        <f aca="false">IF(AL231="","",IF(AL231&lt;=50,"Good",IF(AL231&lt;=100,"Satisfactory",IF(AL231&lt;=200,"Moderate",IF(AL231&lt;=300,"Poor",IF(AL231&lt;=400,"Very Poor","Severe"))))))</f>
        <v>Moderate</v>
      </c>
    </row>
    <row r="232" customFormat="false" ht="15.75" hidden="false" customHeight="false" outlineLevel="0" collapsed="false">
      <c r="A232" s="1" t="s">
        <v>39</v>
      </c>
      <c r="B232" s="1" t="s">
        <v>40</v>
      </c>
      <c r="C232" s="1" t="n">
        <v>28.4595</v>
      </c>
      <c r="D232" s="1" t="n">
        <v>77.0266</v>
      </c>
      <c r="E232" s="5" t="n">
        <v>45910</v>
      </c>
      <c r="F232" s="6" t="s">
        <v>66</v>
      </c>
      <c r="G232" s="1" t="n">
        <v>9</v>
      </c>
      <c r="H232" s="7" t="s">
        <v>79</v>
      </c>
      <c r="I232" s="6" t="s">
        <v>43</v>
      </c>
      <c r="J232" s="7" t="s">
        <v>44</v>
      </c>
      <c r="K232" s="7" t="s">
        <v>65</v>
      </c>
      <c r="L232" s="1" t="n">
        <v>57</v>
      </c>
      <c r="M232" s="1" t="n">
        <v>22.9</v>
      </c>
      <c r="N232" s="1" t="n">
        <v>39.2</v>
      </c>
      <c r="O232" s="1" t="n">
        <v>0</v>
      </c>
      <c r="P232" s="6" t="s">
        <v>43</v>
      </c>
      <c r="Q232" s="6" t="s">
        <v>43</v>
      </c>
      <c r="R232" s="1" t="n">
        <v>1004.8</v>
      </c>
      <c r="S232" s="1" t="n">
        <v>3</v>
      </c>
      <c r="T232" s="1" t="n">
        <v>22.8</v>
      </c>
      <c r="U232" s="1" t="n">
        <v>70.1</v>
      </c>
      <c r="V232" s="1" t="n">
        <v>209</v>
      </c>
      <c r="W232" s="1" t="n">
        <v>4.6</v>
      </c>
      <c r="X232" s="1" t="n">
        <v>9.5</v>
      </c>
      <c r="Y232" s="1" t="n">
        <v>132</v>
      </c>
      <c r="Z232" s="1" t="n">
        <v>93</v>
      </c>
      <c r="AA232" s="1" t="n">
        <v>137</v>
      </c>
      <c r="AB232" s="7" t="s">
        <v>81</v>
      </c>
      <c r="AC232" s="7" t="s">
        <v>82</v>
      </c>
      <c r="AD232" s="7" t="s">
        <v>83</v>
      </c>
      <c r="AE232" s="7" t="s">
        <v>84</v>
      </c>
      <c r="AF232" s="4" t="n">
        <f aca="false">IF(T232="","",IF(T232&lt;=30,(50/30)*T232,IF(T232&lt;=60,50+((100-50)/(60-30))*(T232-30),IF(T232&lt;=90,100+((200-100)/(90-60))*(T232-60),IF(T232&lt;=120,200+((300-200)/(120-90))*(T232-90),IF(T232&lt;=250,300+((400-300)/(250-120))*(T232-120),IF(T232&lt;=380,400+((500-400)/(380-250))*(T232-250),500)))))))</f>
        <v>38</v>
      </c>
      <c r="AG232" s="4" t="n">
        <f aca="false">IF(U232="","",IF(U232&lt;=50,(50/50)*U232,IF(U232&lt;=100,50+((100-50)/(100-50))*(U232-50),IF(U232&lt;=250,100+((200-100)/(250-100))*(U232-100),IF(U232&lt;=350,200+((300-200)/(350-250))*(U232-250),IF(U232&lt;=430,300+((400-300)/(430-350))*(U232-350),IF(U232&lt;=600,400+((500-400)/(600-430))*(U232-430),500)))))))</f>
        <v>70.1</v>
      </c>
      <c r="AH232" s="4" t="n">
        <f aca="false">IF(V232="","",IF((V232/1000)&lt;=1,(50/1)*(V232/1000),IF((V232/1000)&lt;=2,50+((100-50)/(2-1))*(V232/1000-1),IF((V232/1000)&lt;=10,100+((200-100)/(10-2))*(V232/1000-2),IF((V232/1000)&lt;=17,200+((300-200)/(17-10))*(V232/1000-10),IF((V232/1000)&lt;=34,300+((400-300)/(34-17))*(V232/1000-17),IF((V232/1000)&lt;=57,400+((500-400)/(57-34))*(V232/1000-34),500)))))))</f>
        <v>10.45</v>
      </c>
      <c r="AI232" s="4" t="n">
        <f aca="false">IF(W232="","",IF(W232&lt;=40,(50/40)*W232,IF(W232&lt;=80,50+((100-50)/(80-40))*(W232-40),IF(W232&lt;=180,100+((200-100)/(180-80))*(W232-80),IF(W232&lt;=280,200+((300-200)/(280-180))*(W232-180),IF(W232&lt;=400,300+((400-300)/(400-280))*(W232-280),IF(W232&lt;=800,400+((500-400)/(800-400))*(W232-400),500)))))))</f>
        <v>5.75</v>
      </c>
      <c r="AJ232" s="4" t="n">
        <f aca="false">IF(X232="","",IF(X232&lt;=40,(50/40)*X232,IF(X232&lt;=80,50+((100-50)/(80-40))*(X232-40),IF(X232&lt;=380,100+((200-100)/(380-80))*(X232-80),IF(X232&lt;=800,200+((300-200)/(800-380))*(X232-380),IF(X232&lt;=1600,300+((400-300)/(1600-800))*(X232-800),IF(X232&lt;=2100,400+((500-400)/(2100-1600))*(X232-1600),500)))))))</f>
        <v>11.875</v>
      </c>
      <c r="AK232" s="4" t="n">
        <f aca="false">IF(Y232="","",IF(Y232&lt;=50,(50/50)*Y232,IF(Y232&lt;=100,50+((100-50)/(100-50))*(Y232-50),IF(Y232&lt;=168,100+((200-100)/(168-100))*(Y232-100),IF(Y232&lt;=208,200+((300-200)/(208-168))*(Y232-168),IF(Y232&lt;=748,300+((400-300)/(748-208))*(Y232-208),IF(Y232&lt;=1000,400+((500-400)/(1000-748))*(Y232-748),500)))))))</f>
        <v>147.058823529412</v>
      </c>
      <c r="AL232" s="4" t="n">
        <f aca="false">ROUND(MAX(AF232,AG232,AH232,AI232,AJ232,AK232),0)</f>
        <v>147</v>
      </c>
      <c r="AM232" s="4" t="str">
        <f aca="false">IF(AL232="","",IF(AL232&lt;=50,"Good",IF(AL232&lt;=100,"Satisfactory",IF(AL232&lt;=200,"Moderate",IF(AL232&lt;=300,"Poor",IF(AL232&lt;=400,"Very Poor","Severe"))))))</f>
        <v>Moderate</v>
      </c>
    </row>
    <row r="233" customFormat="false" ht="15.75" hidden="false" customHeight="false" outlineLevel="0" collapsed="false">
      <c r="A233" s="1" t="s">
        <v>39</v>
      </c>
      <c r="B233" s="1" t="s">
        <v>40</v>
      </c>
      <c r="C233" s="1" t="n">
        <v>28.4595</v>
      </c>
      <c r="D233" s="1" t="n">
        <v>77.0266</v>
      </c>
      <c r="E233" s="5" t="n">
        <v>45910</v>
      </c>
      <c r="F233" s="6" t="s">
        <v>67</v>
      </c>
      <c r="G233" s="1" t="n">
        <v>9</v>
      </c>
      <c r="H233" s="7" t="s">
        <v>79</v>
      </c>
      <c r="I233" s="6" t="s">
        <v>43</v>
      </c>
      <c r="J233" s="7" t="s">
        <v>44</v>
      </c>
      <c r="K233" s="7" t="s">
        <v>65</v>
      </c>
      <c r="L233" s="1" t="n">
        <v>58</v>
      </c>
      <c r="M233" s="1" t="n">
        <v>23</v>
      </c>
      <c r="N233" s="1" t="n">
        <v>38.5</v>
      </c>
      <c r="O233" s="1" t="n">
        <v>0</v>
      </c>
      <c r="P233" s="6" t="s">
        <v>43</v>
      </c>
      <c r="Q233" s="6" t="s">
        <v>43</v>
      </c>
      <c r="R233" s="1" t="n">
        <v>1003.6</v>
      </c>
      <c r="S233" s="1" t="n">
        <v>3</v>
      </c>
      <c r="T233" s="1" t="n">
        <v>46.1</v>
      </c>
      <c r="U233" s="1" t="n">
        <v>344.6</v>
      </c>
      <c r="V233" s="1" t="n">
        <v>233</v>
      </c>
      <c r="W233" s="1" t="n">
        <v>7.2</v>
      </c>
      <c r="X233" s="1" t="n">
        <v>9.1</v>
      </c>
      <c r="Y233" s="1" t="n">
        <v>126</v>
      </c>
      <c r="Z233" s="1" t="n">
        <v>387</v>
      </c>
      <c r="AA233" s="1" t="n">
        <v>137</v>
      </c>
      <c r="AB233" s="7" t="s">
        <v>81</v>
      </c>
      <c r="AC233" s="7" t="s">
        <v>82</v>
      </c>
      <c r="AD233" s="7" t="s">
        <v>83</v>
      </c>
      <c r="AE233" s="7" t="s">
        <v>84</v>
      </c>
      <c r="AF233" s="4" t="n">
        <f aca="false">IF(T233="","",IF(T233&lt;=30,(50/30)*T233,IF(T233&lt;=60,50+((100-50)/(60-30))*(T233-30),IF(T233&lt;=90,100+((200-100)/(90-60))*(T233-60),IF(T233&lt;=120,200+((300-200)/(120-90))*(T233-90),IF(T233&lt;=250,300+((400-300)/(250-120))*(T233-120),IF(T233&lt;=380,400+((500-400)/(380-250))*(T233-250),500)))))))</f>
        <v>76.8333333333333</v>
      </c>
      <c r="AG233" s="4" t="n">
        <f aca="false">IF(U233="","",IF(U233&lt;=50,(50/50)*U233,IF(U233&lt;=100,50+((100-50)/(100-50))*(U233-50),IF(U233&lt;=250,100+((200-100)/(250-100))*(U233-100),IF(U233&lt;=350,200+((300-200)/(350-250))*(U233-250),IF(U233&lt;=430,300+((400-300)/(430-350))*(U233-350),IF(U233&lt;=600,400+((500-400)/(600-430))*(U233-430),500)))))))</f>
        <v>294.6</v>
      </c>
      <c r="AH233" s="4" t="n">
        <f aca="false">IF(V233="","",IF((V233/1000)&lt;=1,(50/1)*(V233/1000),IF((V233/1000)&lt;=2,50+((100-50)/(2-1))*(V233/1000-1),IF((V233/1000)&lt;=10,100+((200-100)/(10-2))*(V233/1000-2),IF((V233/1000)&lt;=17,200+((300-200)/(17-10))*(V233/1000-10),IF((V233/1000)&lt;=34,300+((400-300)/(34-17))*(V233/1000-17),IF((V233/1000)&lt;=57,400+((500-400)/(57-34))*(V233/1000-34),500)))))))</f>
        <v>11.65</v>
      </c>
      <c r="AI233" s="4" t="n">
        <f aca="false">IF(W233="","",IF(W233&lt;=40,(50/40)*W233,IF(W233&lt;=80,50+((100-50)/(80-40))*(W233-40),IF(W233&lt;=180,100+((200-100)/(180-80))*(W233-80),IF(W233&lt;=280,200+((300-200)/(280-180))*(W233-180),IF(W233&lt;=400,300+((400-300)/(400-280))*(W233-280),IF(W233&lt;=800,400+((500-400)/(800-400))*(W233-400),500)))))))</f>
        <v>9</v>
      </c>
      <c r="AJ233" s="4" t="n">
        <f aca="false">IF(X233="","",IF(X233&lt;=40,(50/40)*X233,IF(X233&lt;=80,50+((100-50)/(80-40))*(X233-40),IF(X233&lt;=380,100+((200-100)/(380-80))*(X233-80),IF(X233&lt;=800,200+((300-200)/(800-380))*(X233-380),IF(X233&lt;=1600,300+((400-300)/(1600-800))*(X233-800),IF(X233&lt;=2100,400+((500-400)/(2100-1600))*(X233-1600),500)))))))</f>
        <v>11.375</v>
      </c>
      <c r="AK233" s="4" t="n">
        <f aca="false">IF(Y233="","",IF(Y233&lt;=50,(50/50)*Y233,IF(Y233&lt;=100,50+((100-50)/(100-50))*(Y233-50),IF(Y233&lt;=168,100+((200-100)/(168-100))*(Y233-100),IF(Y233&lt;=208,200+((300-200)/(208-168))*(Y233-168),IF(Y233&lt;=748,300+((400-300)/(748-208))*(Y233-208),IF(Y233&lt;=1000,400+((500-400)/(1000-748))*(Y233-748),500)))))))</f>
        <v>138.235294117647</v>
      </c>
      <c r="AL233" s="4" t="n">
        <f aca="false">ROUND(MAX(AF233,AG233,AH233,AI233,AJ233,AK233),0)</f>
        <v>295</v>
      </c>
      <c r="AM233" s="4" t="str">
        <f aca="false">IF(AL233="","",IF(AL233&lt;=50,"Good",IF(AL233&lt;=100,"Satisfactory",IF(AL233&lt;=200,"Moderate",IF(AL233&lt;=300,"Poor",IF(AL233&lt;=400,"Very Poor","Severe"))))))</f>
        <v>Poor</v>
      </c>
    </row>
    <row r="234" customFormat="false" ht="15.75" hidden="false" customHeight="false" outlineLevel="0" collapsed="false">
      <c r="A234" s="1" t="s">
        <v>39</v>
      </c>
      <c r="B234" s="1" t="s">
        <v>40</v>
      </c>
      <c r="C234" s="1" t="n">
        <v>28.4595</v>
      </c>
      <c r="D234" s="1" t="n">
        <v>77.0266</v>
      </c>
      <c r="E234" s="5" t="n">
        <v>45910</v>
      </c>
      <c r="F234" s="6" t="s">
        <v>68</v>
      </c>
      <c r="G234" s="1" t="n">
        <v>9</v>
      </c>
      <c r="H234" s="7" t="s">
        <v>79</v>
      </c>
      <c r="I234" s="6" t="s">
        <v>43</v>
      </c>
      <c r="J234" s="7" t="s">
        <v>44</v>
      </c>
      <c r="K234" s="7" t="s">
        <v>65</v>
      </c>
      <c r="L234" s="1" t="n">
        <v>60</v>
      </c>
      <c r="M234" s="1" t="n">
        <v>23.2</v>
      </c>
      <c r="N234" s="1" t="n">
        <v>37.4</v>
      </c>
      <c r="O234" s="1" t="n">
        <v>0</v>
      </c>
      <c r="P234" s="6" t="s">
        <v>43</v>
      </c>
      <c r="Q234" s="6" t="s">
        <v>43</v>
      </c>
      <c r="R234" s="1" t="n">
        <v>1003.1</v>
      </c>
      <c r="S234" s="1" t="n">
        <v>3</v>
      </c>
      <c r="T234" s="1" t="n">
        <v>68.7</v>
      </c>
      <c r="U234" s="1" t="n">
        <v>420</v>
      </c>
      <c r="V234" s="1" t="n">
        <v>270</v>
      </c>
      <c r="W234" s="1" t="n">
        <v>11.1</v>
      </c>
      <c r="X234" s="1" t="n">
        <v>9.3</v>
      </c>
      <c r="Y234" s="1" t="n">
        <v>117</v>
      </c>
      <c r="Z234" s="1" t="n">
        <v>714</v>
      </c>
      <c r="AA234" s="1" t="n">
        <v>144</v>
      </c>
      <c r="AB234" s="7" t="s">
        <v>81</v>
      </c>
      <c r="AC234" s="7" t="s">
        <v>82</v>
      </c>
      <c r="AD234" s="7" t="s">
        <v>83</v>
      </c>
      <c r="AE234" s="7" t="s">
        <v>84</v>
      </c>
      <c r="AF234" s="4" t="n">
        <f aca="false">IF(T234="","",IF(T234&lt;=30,(50/30)*T234,IF(T234&lt;=60,50+((100-50)/(60-30))*(T234-30),IF(T234&lt;=90,100+((200-100)/(90-60))*(T234-60),IF(T234&lt;=120,200+((300-200)/(120-90))*(T234-90),IF(T234&lt;=250,300+((400-300)/(250-120))*(T234-120),IF(T234&lt;=380,400+((500-400)/(380-250))*(T234-250),500)))))))</f>
        <v>129</v>
      </c>
      <c r="AG234" s="4" t="n">
        <f aca="false">IF(U234="","",IF(U234&lt;=50,(50/50)*U234,IF(U234&lt;=100,50+((100-50)/(100-50))*(U234-50),IF(U234&lt;=250,100+((200-100)/(250-100))*(U234-100),IF(U234&lt;=350,200+((300-200)/(350-250))*(U234-250),IF(U234&lt;=430,300+((400-300)/(430-350))*(U234-350),IF(U234&lt;=600,400+((500-400)/(600-430))*(U234-430),500)))))))</f>
        <v>387.5</v>
      </c>
      <c r="AH234" s="4" t="n">
        <f aca="false">IF(V234="","",IF((V234/1000)&lt;=1,(50/1)*(V234/1000),IF((V234/1000)&lt;=2,50+((100-50)/(2-1))*(V234/1000-1),IF((V234/1000)&lt;=10,100+((200-100)/(10-2))*(V234/1000-2),IF((V234/1000)&lt;=17,200+((300-200)/(17-10))*(V234/1000-10),IF((V234/1000)&lt;=34,300+((400-300)/(34-17))*(V234/1000-17),IF((V234/1000)&lt;=57,400+((500-400)/(57-34))*(V234/1000-34),500)))))))</f>
        <v>13.5</v>
      </c>
      <c r="AI234" s="4" t="n">
        <f aca="false">IF(W234="","",IF(W234&lt;=40,(50/40)*W234,IF(W234&lt;=80,50+((100-50)/(80-40))*(W234-40),IF(W234&lt;=180,100+((200-100)/(180-80))*(W234-80),IF(W234&lt;=280,200+((300-200)/(280-180))*(W234-180),IF(W234&lt;=400,300+((400-300)/(400-280))*(W234-280),IF(W234&lt;=800,400+((500-400)/(800-400))*(W234-400),500)))))))</f>
        <v>13.875</v>
      </c>
      <c r="AJ234" s="4" t="n">
        <f aca="false">IF(X234="","",IF(X234&lt;=40,(50/40)*X234,IF(X234&lt;=80,50+((100-50)/(80-40))*(X234-40),IF(X234&lt;=380,100+((200-100)/(380-80))*(X234-80),IF(X234&lt;=800,200+((300-200)/(800-380))*(X234-380),IF(X234&lt;=1600,300+((400-300)/(1600-800))*(X234-800),IF(X234&lt;=2100,400+((500-400)/(2100-1600))*(X234-1600),500)))))))</f>
        <v>11.625</v>
      </c>
      <c r="AK234" s="4" t="n">
        <f aca="false">IF(Y234="","",IF(Y234&lt;=50,(50/50)*Y234,IF(Y234&lt;=100,50+((100-50)/(100-50))*(Y234-50),IF(Y234&lt;=168,100+((200-100)/(168-100))*(Y234-100),IF(Y234&lt;=208,200+((300-200)/(208-168))*(Y234-168),IF(Y234&lt;=748,300+((400-300)/(748-208))*(Y234-208),IF(Y234&lt;=1000,400+((500-400)/(1000-748))*(Y234-748),500)))))))</f>
        <v>125</v>
      </c>
      <c r="AL234" s="4" t="n">
        <f aca="false">ROUND(MAX(AF234,AG234,AH234,AI234,AJ234,AK234),0)</f>
        <v>388</v>
      </c>
      <c r="AM234" s="4" t="str">
        <f aca="false">IF(AL234="","",IF(AL234&lt;=50,"Good",IF(AL234&lt;=100,"Satisfactory",IF(AL234&lt;=200,"Moderate",IF(AL234&lt;=300,"Poor",IF(AL234&lt;=400,"Very Poor","Severe"))))))</f>
        <v>Very Poor</v>
      </c>
    </row>
    <row r="235" customFormat="false" ht="15.75" hidden="false" customHeight="false" outlineLevel="0" collapsed="false">
      <c r="A235" s="1" t="s">
        <v>39</v>
      </c>
      <c r="B235" s="1" t="s">
        <v>40</v>
      </c>
      <c r="C235" s="1" t="n">
        <v>28.4595</v>
      </c>
      <c r="D235" s="1" t="n">
        <v>77.0266</v>
      </c>
      <c r="E235" s="5" t="n">
        <v>45910</v>
      </c>
      <c r="F235" s="6" t="s">
        <v>69</v>
      </c>
      <c r="G235" s="1" t="n">
        <v>9</v>
      </c>
      <c r="H235" s="7" t="s">
        <v>79</v>
      </c>
      <c r="I235" s="6" t="s">
        <v>43</v>
      </c>
      <c r="J235" s="7" t="s">
        <v>44</v>
      </c>
      <c r="K235" s="7" t="s">
        <v>65</v>
      </c>
      <c r="L235" s="1" t="n">
        <v>65</v>
      </c>
      <c r="M235" s="1" t="n">
        <v>23.6</v>
      </c>
      <c r="N235" s="1" t="n">
        <v>33.5</v>
      </c>
      <c r="O235" s="1" t="n">
        <v>0</v>
      </c>
      <c r="P235" s="6" t="s">
        <v>43</v>
      </c>
      <c r="Q235" s="6" t="s">
        <v>43</v>
      </c>
      <c r="R235" s="1" t="n">
        <v>1002.7</v>
      </c>
      <c r="S235" s="1" t="n">
        <v>2</v>
      </c>
      <c r="T235" s="1" t="n">
        <v>77.8</v>
      </c>
      <c r="U235" s="1" t="n">
        <v>420</v>
      </c>
      <c r="V235" s="1" t="n">
        <v>313</v>
      </c>
      <c r="W235" s="1" t="n">
        <v>15.3</v>
      </c>
      <c r="X235" s="1" t="n">
        <v>10.2</v>
      </c>
      <c r="Y235" s="1" t="n">
        <v>104</v>
      </c>
      <c r="Z235" s="1" t="n">
        <v>714</v>
      </c>
      <c r="AA235" s="1" t="n">
        <v>154</v>
      </c>
      <c r="AB235" s="7" t="s">
        <v>81</v>
      </c>
      <c r="AC235" s="7" t="s">
        <v>88</v>
      </c>
      <c r="AD235" s="6" t="s">
        <v>43</v>
      </c>
      <c r="AE235" s="6" t="s">
        <v>43</v>
      </c>
      <c r="AF235" s="4" t="n">
        <f aca="false">IF(T235="","",IF(T235&lt;=30,(50/30)*T235,IF(T235&lt;=60,50+((100-50)/(60-30))*(T235-30),IF(T235&lt;=90,100+((200-100)/(90-60))*(T235-60),IF(T235&lt;=120,200+((300-200)/(120-90))*(T235-90),IF(T235&lt;=250,300+((400-300)/(250-120))*(T235-120),IF(T235&lt;=380,400+((500-400)/(380-250))*(T235-250),500)))))))</f>
        <v>159.333333333333</v>
      </c>
      <c r="AG235" s="4" t="n">
        <f aca="false">IF(U235="","",IF(U235&lt;=50,(50/50)*U235,IF(U235&lt;=100,50+((100-50)/(100-50))*(U235-50),IF(U235&lt;=250,100+((200-100)/(250-100))*(U235-100),IF(U235&lt;=350,200+((300-200)/(350-250))*(U235-250),IF(U235&lt;=430,300+((400-300)/(430-350))*(U235-350),IF(U235&lt;=600,400+((500-400)/(600-430))*(U235-430),500)))))))</f>
        <v>387.5</v>
      </c>
      <c r="AH235" s="4" t="n">
        <f aca="false">IF(V235="","",IF((V235/1000)&lt;=1,(50/1)*(V235/1000),IF((V235/1000)&lt;=2,50+((100-50)/(2-1))*(V235/1000-1),IF((V235/1000)&lt;=10,100+((200-100)/(10-2))*(V235/1000-2),IF((V235/1000)&lt;=17,200+((300-200)/(17-10))*(V235/1000-10),IF((V235/1000)&lt;=34,300+((400-300)/(34-17))*(V235/1000-17),IF((V235/1000)&lt;=57,400+((500-400)/(57-34))*(V235/1000-34),500)))))))</f>
        <v>15.65</v>
      </c>
      <c r="AI235" s="4" t="n">
        <f aca="false">IF(W235="","",IF(W235&lt;=40,(50/40)*W235,IF(W235&lt;=80,50+((100-50)/(80-40))*(W235-40),IF(W235&lt;=180,100+((200-100)/(180-80))*(W235-80),IF(W235&lt;=280,200+((300-200)/(280-180))*(W235-180),IF(W235&lt;=400,300+((400-300)/(400-280))*(W235-280),IF(W235&lt;=800,400+((500-400)/(800-400))*(W235-400),500)))))))</f>
        <v>19.125</v>
      </c>
      <c r="AJ235" s="4" t="n">
        <f aca="false">IF(X235="","",IF(X235&lt;=40,(50/40)*X235,IF(X235&lt;=80,50+((100-50)/(80-40))*(X235-40),IF(X235&lt;=380,100+((200-100)/(380-80))*(X235-80),IF(X235&lt;=800,200+((300-200)/(800-380))*(X235-380),IF(X235&lt;=1600,300+((400-300)/(1600-800))*(X235-800),IF(X235&lt;=2100,400+((500-400)/(2100-1600))*(X235-1600),500)))))))</f>
        <v>12.75</v>
      </c>
      <c r="AK235" s="4" t="n">
        <f aca="false">IF(Y235="","",IF(Y235&lt;=50,(50/50)*Y235,IF(Y235&lt;=100,50+((100-50)/(100-50))*(Y235-50),IF(Y235&lt;=168,100+((200-100)/(168-100))*(Y235-100),IF(Y235&lt;=208,200+((300-200)/(208-168))*(Y235-168),IF(Y235&lt;=748,300+((400-300)/(748-208))*(Y235-208),IF(Y235&lt;=1000,400+((500-400)/(1000-748))*(Y235-748),500)))))))</f>
        <v>105.882352941176</v>
      </c>
      <c r="AL235" s="4" t="n">
        <f aca="false">ROUND(MAX(AF235,AG235,AH235,AI235,AJ235,AK235),0)</f>
        <v>388</v>
      </c>
      <c r="AM235" s="4" t="str">
        <f aca="false">IF(AL235="","",IF(AL235&lt;=50,"Good",IF(AL235&lt;=100,"Satisfactory",IF(AL235&lt;=200,"Moderate",IF(AL235&lt;=300,"Poor",IF(AL235&lt;=400,"Very Poor","Severe"))))))</f>
        <v>Very Poor</v>
      </c>
    </row>
    <row r="236" customFormat="false" ht="15.75" hidden="false" customHeight="false" outlineLevel="0" collapsed="false">
      <c r="A236" s="1" t="s">
        <v>39</v>
      </c>
      <c r="B236" s="1" t="s">
        <v>40</v>
      </c>
      <c r="C236" s="1" t="n">
        <v>28.4595</v>
      </c>
      <c r="D236" s="1" t="n">
        <v>77.0266</v>
      </c>
      <c r="E236" s="5" t="n">
        <v>45910</v>
      </c>
      <c r="F236" s="6" t="s">
        <v>70</v>
      </c>
      <c r="G236" s="1" t="n">
        <v>9</v>
      </c>
      <c r="H236" s="7" t="s">
        <v>79</v>
      </c>
      <c r="I236" s="6" t="s">
        <v>43</v>
      </c>
      <c r="J236" s="7" t="s">
        <v>44</v>
      </c>
      <c r="K236" s="7" t="s">
        <v>71</v>
      </c>
      <c r="L236" s="1" t="n">
        <v>69</v>
      </c>
      <c r="M236" s="1" t="n">
        <v>23.2</v>
      </c>
      <c r="N236" s="1" t="n">
        <v>28.1</v>
      </c>
      <c r="O236" s="1" t="n">
        <v>0</v>
      </c>
      <c r="P236" s="6" t="s">
        <v>43</v>
      </c>
      <c r="Q236" s="6" t="s">
        <v>43</v>
      </c>
      <c r="R236" s="1" t="n">
        <v>1003.5</v>
      </c>
      <c r="S236" s="1" t="n">
        <v>43</v>
      </c>
      <c r="T236" s="1" t="n">
        <v>78.2</v>
      </c>
      <c r="U236" s="1" t="n">
        <v>420</v>
      </c>
      <c r="V236" s="1" t="n">
        <v>367</v>
      </c>
      <c r="W236" s="1" t="n">
        <v>18.5</v>
      </c>
      <c r="X236" s="1" t="n">
        <v>11.3</v>
      </c>
      <c r="Y236" s="1" t="n">
        <v>94</v>
      </c>
      <c r="Z236" s="1" t="n">
        <v>714</v>
      </c>
      <c r="AA236" s="1" t="n">
        <v>161</v>
      </c>
      <c r="AB236" s="7" t="s">
        <v>81</v>
      </c>
      <c r="AC236" s="7" t="s">
        <v>88</v>
      </c>
      <c r="AD236" s="6" t="s">
        <v>43</v>
      </c>
      <c r="AE236" s="6" t="s">
        <v>43</v>
      </c>
      <c r="AF236" s="4" t="n">
        <f aca="false">IF(T236="","",IF(T236&lt;=30,(50/30)*T236,IF(T236&lt;=60,50+((100-50)/(60-30))*(T236-30),IF(T236&lt;=90,100+((200-100)/(90-60))*(T236-60),IF(T236&lt;=120,200+((300-200)/(120-90))*(T236-90),IF(T236&lt;=250,300+((400-300)/(250-120))*(T236-120),IF(T236&lt;=380,400+((500-400)/(380-250))*(T236-250),500)))))))</f>
        <v>160.666666666667</v>
      </c>
      <c r="AG236" s="4" t="n">
        <f aca="false">IF(U236="","",IF(U236&lt;=50,(50/50)*U236,IF(U236&lt;=100,50+((100-50)/(100-50))*(U236-50),IF(U236&lt;=250,100+((200-100)/(250-100))*(U236-100),IF(U236&lt;=350,200+((300-200)/(350-250))*(U236-250),IF(U236&lt;=430,300+((400-300)/(430-350))*(U236-350),IF(U236&lt;=600,400+((500-400)/(600-430))*(U236-430),500)))))))</f>
        <v>387.5</v>
      </c>
      <c r="AH236" s="4" t="n">
        <f aca="false">IF(V236="","",IF((V236/1000)&lt;=1,(50/1)*(V236/1000),IF((V236/1000)&lt;=2,50+((100-50)/(2-1))*(V236/1000-1),IF((V236/1000)&lt;=10,100+((200-100)/(10-2))*(V236/1000-2),IF((V236/1000)&lt;=17,200+((300-200)/(17-10))*(V236/1000-10),IF((V236/1000)&lt;=34,300+((400-300)/(34-17))*(V236/1000-17),IF((V236/1000)&lt;=57,400+((500-400)/(57-34))*(V236/1000-34),500)))))))</f>
        <v>18.35</v>
      </c>
      <c r="AI236" s="4" t="n">
        <f aca="false">IF(W236="","",IF(W236&lt;=40,(50/40)*W236,IF(W236&lt;=80,50+((100-50)/(80-40))*(W236-40),IF(W236&lt;=180,100+((200-100)/(180-80))*(W236-80),IF(W236&lt;=280,200+((300-200)/(280-180))*(W236-180),IF(W236&lt;=400,300+((400-300)/(400-280))*(W236-280),IF(W236&lt;=800,400+((500-400)/(800-400))*(W236-400),500)))))))</f>
        <v>23.125</v>
      </c>
      <c r="AJ236" s="4" t="n">
        <f aca="false">IF(X236="","",IF(X236&lt;=40,(50/40)*X236,IF(X236&lt;=80,50+((100-50)/(80-40))*(X236-40),IF(X236&lt;=380,100+((200-100)/(380-80))*(X236-80),IF(X236&lt;=800,200+((300-200)/(800-380))*(X236-380),IF(X236&lt;=1600,300+((400-300)/(1600-800))*(X236-800),IF(X236&lt;=2100,400+((500-400)/(2100-1600))*(X236-1600),500)))))))</f>
        <v>14.125</v>
      </c>
      <c r="AK236" s="4" t="n">
        <f aca="false">IF(Y236="","",IF(Y236&lt;=50,(50/50)*Y236,IF(Y236&lt;=100,50+((100-50)/(100-50))*(Y236-50),IF(Y236&lt;=168,100+((200-100)/(168-100))*(Y236-100),IF(Y236&lt;=208,200+((300-200)/(208-168))*(Y236-168),IF(Y236&lt;=748,300+((400-300)/(748-208))*(Y236-208),IF(Y236&lt;=1000,400+((500-400)/(1000-748))*(Y236-748),500)))))))</f>
        <v>94</v>
      </c>
      <c r="AL236" s="4" t="n">
        <f aca="false">ROUND(MAX(AF236,AG236,AH236,AI236,AJ236,AK236),0)</f>
        <v>388</v>
      </c>
      <c r="AM236" s="4" t="str">
        <f aca="false">IF(AL236="","",IF(AL236&lt;=50,"Good",IF(AL236&lt;=100,"Satisfactory",IF(AL236&lt;=200,"Moderate",IF(AL236&lt;=300,"Poor",IF(AL236&lt;=400,"Very Poor","Severe"))))))</f>
        <v>Very Poor</v>
      </c>
    </row>
    <row r="237" customFormat="false" ht="15.75" hidden="false" customHeight="false" outlineLevel="0" collapsed="false">
      <c r="A237" s="1" t="s">
        <v>39</v>
      </c>
      <c r="B237" s="1" t="s">
        <v>40</v>
      </c>
      <c r="C237" s="1" t="n">
        <v>28.4595</v>
      </c>
      <c r="D237" s="1" t="n">
        <v>77.0266</v>
      </c>
      <c r="E237" s="5" t="n">
        <v>45910</v>
      </c>
      <c r="F237" s="6" t="s">
        <v>72</v>
      </c>
      <c r="G237" s="1" t="n">
        <v>9</v>
      </c>
      <c r="H237" s="7" t="s">
        <v>79</v>
      </c>
      <c r="I237" s="6" t="s">
        <v>43</v>
      </c>
      <c r="J237" s="7" t="s">
        <v>44</v>
      </c>
      <c r="K237" s="7" t="s">
        <v>71</v>
      </c>
      <c r="L237" s="1" t="n">
        <v>73</v>
      </c>
      <c r="M237" s="1" t="n">
        <v>23.3</v>
      </c>
      <c r="N237" s="1" t="n">
        <v>23.4</v>
      </c>
      <c r="O237" s="1" t="n">
        <v>0</v>
      </c>
      <c r="P237" s="6" t="s">
        <v>43</v>
      </c>
      <c r="Q237" s="6" t="s">
        <v>43</v>
      </c>
      <c r="R237" s="1" t="n">
        <v>1003.7</v>
      </c>
      <c r="S237" s="1" t="n">
        <v>74</v>
      </c>
      <c r="T237" s="1" t="n">
        <v>76.8</v>
      </c>
      <c r="U237" s="1" t="n">
        <v>420</v>
      </c>
      <c r="V237" s="1" t="n">
        <v>426</v>
      </c>
      <c r="W237" s="1" t="n">
        <v>23</v>
      </c>
      <c r="X237" s="1" t="n">
        <v>12.8</v>
      </c>
      <c r="Y237" s="1" t="n">
        <v>80</v>
      </c>
      <c r="Z237" s="1" t="n">
        <v>714</v>
      </c>
      <c r="AA237" s="1" t="n">
        <v>170</v>
      </c>
      <c r="AB237" s="7" t="s">
        <v>81</v>
      </c>
      <c r="AC237" s="7" t="s">
        <v>88</v>
      </c>
      <c r="AD237" s="6" t="s">
        <v>43</v>
      </c>
      <c r="AE237" s="6" t="s">
        <v>43</v>
      </c>
      <c r="AF237" s="4" t="n">
        <f aca="false">IF(T237="","",IF(T237&lt;=30,(50/30)*T237,IF(T237&lt;=60,50+((100-50)/(60-30))*(T237-30),IF(T237&lt;=90,100+((200-100)/(90-60))*(T237-60),IF(T237&lt;=120,200+((300-200)/(120-90))*(T237-90),IF(T237&lt;=250,300+((400-300)/(250-120))*(T237-120),IF(T237&lt;=380,400+((500-400)/(380-250))*(T237-250),500)))))))</f>
        <v>156</v>
      </c>
      <c r="AG237" s="4" t="n">
        <f aca="false">IF(U237="","",IF(U237&lt;=50,(50/50)*U237,IF(U237&lt;=100,50+((100-50)/(100-50))*(U237-50),IF(U237&lt;=250,100+((200-100)/(250-100))*(U237-100),IF(U237&lt;=350,200+((300-200)/(350-250))*(U237-250),IF(U237&lt;=430,300+((400-300)/(430-350))*(U237-350),IF(U237&lt;=600,400+((500-400)/(600-430))*(U237-430),500)))))))</f>
        <v>387.5</v>
      </c>
      <c r="AH237" s="4" t="n">
        <f aca="false">IF(V237="","",IF((V237/1000)&lt;=1,(50/1)*(V237/1000),IF((V237/1000)&lt;=2,50+((100-50)/(2-1))*(V237/1000-1),IF((V237/1000)&lt;=10,100+((200-100)/(10-2))*(V237/1000-2),IF((V237/1000)&lt;=17,200+((300-200)/(17-10))*(V237/1000-10),IF((V237/1000)&lt;=34,300+((400-300)/(34-17))*(V237/1000-17),IF((V237/1000)&lt;=57,400+((500-400)/(57-34))*(V237/1000-34),500)))))))</f>
        <v>21.3</v>
      </c>
      <c r="AI237" s="4" t="n">
        <f aca="false">IF(W237="","",IF(W237&lt;=40,(50/40)*W237,IF(W237&lt;=80,50+((100-50)/(80-40))*(W237-40),IF(W237&lt;=180,100+((200-100)/(180-80))*(W237-80),IF(W237&lt;=280,200+((300-200)/(280-180))*(W237-180),IF(W237&lt;=400,300+((400-300)/(400-280))*(W237-280),IF(W237&lt;=800,400+((500-400)/(800-400))*(W237-400),500)))))))</f>
        <v>28.75</v>
      </c>
      <c r="AJ237" s="4" t="n">
        <f aca="false">IF(X237="","",IF(X237&lt;=40,(50/40)*X237,IF(X237&lt;=80,50+((100-50)/(80-40))*(X237-40),IF(X237&lt;=380,100+((200-100)/(380-80))*(X237-80),IF(X237&lt;=800,200+((300-200)/(800-380))*(X237-380),IF(X237&lt;=1600,300+((400-300)/(1600-800))*(X237-800),IF(X237&lt;=2100,400+((500-400)/(2100-1600))*(X237-1600),500)))))))</f>
        <v>16</v>
      </c>
      <c r="AK237" s="4" t="n">
        <f aca="false">IF(Y237="","",IF(Y237&lt;=50,(50/50)*Y237,IF(Y237&lt;=100,50+((100-50)/(100-50))*(Y237-50),IF(Y237&lt;=168,100+((200-100)/(168-100))*(Y237-100),IF(Y237&lt;=208,200+((300-200)/(208-168))*(Y237-168),IF(Y237&lt;=748,300+((400-300)/(748-208))*(Y237-208),IF(Y237&lt;=1000,400+((500-400)/(1000-748))*(Y237-748),500)))))))</f>
        <v>80</v>
      </c>
      <c r="AL237" s="4" t="n">
        <f aca="false">ROUND(MAX(AF237,AG237,AH237,AI237,AJ237,AK237),0)</f>
        <v>388</v>
      </c>
      <c r="AM237" s="4" t="str">
        <f aca="false">IF(AL237="","",IF(AL237&lt;=50,"Good",IF(AL237&lt;=100,"Satisfactory",IF(AL237&lt;=200,"Moderate",IF(AL237&lt;=300,"Poor",IF(AL237&lt;=400,"Very Poor","Severe"))))))</f>
        <v>Very Poor</v>
      </c>
    </row>
    <row r="238" customFormat="false" ht="15.75" hidden="false" customHeight="false" outlineLevel="0" collapsed="false">
      <c r="A238" s="1" t="s">
        <v>39</v>
      </c>
      <c r="B238" s="1" t="s">
        <v>40</v>
      </c>
      <c r="C238" s="1" t="n">
        <v>28.4595</v>
      </c>
      <c r="D238" s="1" t="n">
        <v>77.0266</v>
      </c>
      <c r="E238" s="5" t="n">
        <v>45910</v>
      </c>
      <c r="F238" s="6" t="s">
        <v>73</v>
      </c>
      <c r="G238" s="1" t="n">
        <v>9</v>
      </c>
      <c r="H238" s="7" t="s">
        <v>79</v>
      </c>
      <c r="I238" s="6" t="s">
        <v>43</v>
      </c>
      <c r="J238" s="7" t="s">
        <v>44</v>
      </c>
      <c r="K238" s="7" t="s">
        <v>71</v>
      </c>
      <c r="L238" s="1" t="n">
        <v>77</v>
      </c>
      <c r="M238" s="1" t="n">
        <v>23.4</v>
      </c>
      <c r="N238" s="1" t="n">
        <v>18.4</v>
      </c>
      <c r="O238" s="1" t="n">
        <v>0</v>
      </c>
      <c r="P238" s="6" t="s">
        <v>43</v>
      </c>
      <c r="Q238" s="6" t="s">
        <v>43</v>
      </c>
      <c r="R238" s="1" t="n">
        <v>1004.4</v>
      </c>
      <c r="S238" s="1" t="n">
        <v>0</v>
      </c>
      <c r="T238" s="1" t="n">
        <v>73.1</v>
      </c>
      <c r="U238" s="1" t="n">
        <v>420</v>
      </c>
      <c r="V238" s="1" t="n">
        <v>468</v>
      </c>
      <c r="W238" s="1" t="n">
        <v>26.9</v>
      </c>
      <c r="X238" s="1" t="n">
        <v>13.8</v>
      </c>
      <c r="Y238" s="1" t="n">
        <v>67</v>
      </c>
      <c r="Z238" s="1" t="n">
        <v>714</v>
      </c>
      <c r="AA238" s="1" t="n">
        <v>178</v>
      </c>
      <c r="AB238" s="7" t="s">
        <v>81</v>
      </c>
      <c r="AC238" s="7" t="s">
        <v>88</v>
      </c>
      <c r="AD238" s="6" t="s">
        <v>43</v>
      </c>
      <c r="AE238" s="6" t="s">
        <v>43</v>
      </c>
      <c r="AF238" s="4" t="n">
        <f aca="false">IF(T238="","",IF(T238&lt;=30,(50/30)*T238,IF(T238&lt;=60,50+((100-50)/(60-30))*(T238-30),IF(T238&lt;=90,100+((200-100)/(90-60))*(T238-60),IF(T238&lt;=120,200+((300-200)/(120-90))*(T238-90),IF(T238&lt;=250,300+((400-300)/(250-120))*(T238-120),IF(T238&lt;=380,400+((500-400)/(380-250))*(T238-250),500)))))))</f>
        <v>143.666666666667</v>
      </c>
      <c r="AG238" s="4" t="n">
        <f aca="false">IF(U238="","",IF(U238&lt;=50,(50/50)*U238,IF(U238&lt;=100,50+((100-50)/(100-50))*(U238-50),IF(U238&lt;=250,100+((200-100)/(250-100))*(U238-100),IF(U238&lt;=350,200+((300-200)/(350-250))*(U238-250),IF(U238&lt;=430,300+((400-300)/(430-350))*(U238-350),IF(U238&lt;=600,400+((500-400)/(600-430))*(U238-430),500)))))))</f>
        <v>387.5</v>
      </c>
      <c r="AH238" s="4" t="n">
        <f aca="false">IF(V238="","",IF((V238/1000)&lt;=1,(50/1)*(V238/1000),IF((V238/1000)&lt;=2,50+((100-50)/(2-1))*(V238/1000-1),IF((V238/1000)&lt;=10,100+((200-100)/(10-2))*(V238/1000-2),IF((V238/1000)&lt;=17,200+((300-200)/(17-10))*(V238/1000-10),IF((V238/1000)&lt;=34,300+((400-300)/(34-17))*(V238/1000-17),IF((V238/1000)&lt;=57,400+((500-400)/(57-34))*(V238/1000-34),500)))))))</f>
        <v>23.4</v>
      </c>
      <c r="AI238" s="4" t="n">
        <f aca="false">IF(W238="","",IF(W238&lt;=40,(50/40)*W238,IF(W238&lt;=80,50+((100-50)/(80-40))*(W238-40),IF(W238&lt;=180,100+((200-100)/(180-80))*(W238-80),IF(W238&lt;=280,200+((300-200)/(280-180))*(W238-180),IF(W238&lt;=400,300+((400-300)/(400-280))*(W238-280),IF(W238&lt;=800,400+((500-400)/(800-400))*(W238-400),500)))))))</f>
        <v>33.625</v>
      </c>
      <c r="AJ238" s="4" t="n">
        <f aca="false">IF(X238="","",IF(X238&lt;=40,(50/40)*X238,IF(X238&lt;=80,50+((100-50)/(80-40))*(X238-40),IF(X238&lt;=380,100+((200-100)/(380-80))*(X238-80),IF(X238&lt;=800,200+((300-200)/(800-380))*(X238-380),IF(X238&lt;=1600,300+((400-300)/(1600-800))*(X238-800),IF(X238&lt;=2100,400+((500-400)/(2100-1600))*(X238-1600),500)))))))</f>
        <v>17.25</v>
      </c>
      <c r="AK238" s="4" t="n">
        <f aca="false">IF(Y238="","",IF(Y238&lt;=50,(50/50)*Y238,IF(Y238&lt;=100,50+((100-50)/(100-50))*(Y238-50),IF(Y238&lt;=168,100+((200-100)/(168-100))*(Y238-100),IF(Y238&lt;=208,200+((300-200)/(208-168))*(Y238-168),IF(Y238&lt;=748,300+((400-300)/(748-208))*(Y238-208),IF(Y238&lt;=1000,400+((500-400)/(1000-748))*(Y238-748),500)))))))</f>
        <v>67</v>
      </c>
      <c r="AL238" s="4" t="n">
        <f aca="false">ROUND(MAX(AF238,AG238,AH238,AI238,AJ238,AK238),0)</f>
        <v>388</v>
      </c>
      <c r="AM238" s="4" t="str">
        <f aca="false">IF(AL238="","",IF(AL238&lt;=50,"Good",IF(AL238&lt;=100,"Satisfactory",IF(AL238&lt;=200,"Moderate",IF(AL238&lt;=300,"Poor",IF(AL238&lt;=400,"Very Poor","Severe"))))))</f>
        <v>Very Poor</v>
      </c>
    </row>
    <row r="239" customFormat="false" ht="15.75" hidden="false" customHeight="false" outlineLevel="0" collapsed="false">
      <c r="A239" s="1" t="s">
        <v>39</v>
      </c>
      <c r="B239" s="1" t="s">
        <v>40</v>
      </c>
      <c r="C239" s="1" t="n">
        <v>28.4595</v>
      </c>
      <c r="D239" s="1" t="n">
        <v>77.0266</v>
      </c>
      <c r="E239" s="5" t="n">
        <v>45910</v>
      </c>
      <c r="F239" s="6" t="s">
        <v>74</v>
      </c>
      <c r="G239" s="1" t="n">
        <v>9</v>
      </c>
      <c r="H239" s="7" t="s">
        <v>79</v>
      </c>
      <c r="I239" s="6" t="s">
        <v>43</v>
      </c>
      <c r="J239" s="7" t="s">
        <v>44</v>
      </c>
      <c r="K239" s="7" t="s">
        <v>75</v>
      </c>
      <c r="L239" s="1" t="n">
        <v>78</v>
      </c>
      <c r="M239" s="1" t="n">
        <v>23.2</v>
      </c>
      <c r="N239" s="1" t="n">
        <v>17.6</v>
      </c>
      <c r="O239" s="1" t="n">
        <v>0</v>
      </c>
      <c r="P239" s="6" t="s">
        <v>43</v>
      </c>
      <c r="Q239" s="6" t="s">
        <v>43</v>
      </c>
      <c r="R239" s="1" t="n">
        <v>1005.1</v>
      </c>
      <c r="S239" s="1" t="n">
        <v>0</v>
      </c>
      <c r="T239" s="1" t="n">
        <v>68.5</v>
      </c>
      <c r="U239" s="1" t="n">
        <v>378.1</v>
      </c>
      <c r="V239" s="1" t="n">
        <v>488</v>
      </c>
      <c r="W239" s="1" t="n">
        <v>29.8</v>
      </c>
      <c r="X239" s="1" t="n">
        <v>14</v>
      </c>
      <c r="Y239" s="1" t="n">
        <v>57</v>
      </c>
      <c r="Z239" s="1" t="n">
        <v>653</v>
      </c>
      <c r="AA239" s="1" t="n">
        <v>185</v>
      </c>
      <c r="AB239" s="7" t="s">
        <v>81</v>
      </c>
      <c r="AC239" s="7" t="s">
        <v>88</v>
      </c>
      <c r="AD239" s="6" t="s">
        <v>43</v>
      </c>
      <c r="AE239" s="6" t="s">
        <v>43</v>
      </c>
      <c r="AF239" s="4" t="n">
        <f aca="false">IF(T239="","",IF(T239&lt;=30,(50/30)*T239,IF(T239&lt;=60,50+((100-50)/(60-30))*(T239-30),IF(T239&lt;=90,100+((200-100)/(90-60))*(T239-60),IF(T239&lt;=120,200+((300-200)/(120-90))*(T239-90),IF(T239&lt;=250,300+((400-300)/(250-120))*(T239-120),IF(T239&lt;=380,400+((500-400)/(380-250))*(T239-250),500)))))))</f>
        <v>128.333333333333</v>
      </c>
      <c r="AG239" s="4" t="n">
        <f aca="false">IF(U239="","",IF(U239&lt;=50,(50/50)*U239,IF(U239&lt;=100,50+((100-50)/(100-50))*(U239-50),IF(U239&lt;=250,100+((200-100)/(250-100))*(U239-100),IF(U239&lt;=350,200+((300-200)/(350-250))*(U239-250),IF(U239&lt;=430,300+((400-300)/(430-350))*(U239-350),IF(U239&lt;=600,400+((500-400)/(600-430))*(U239-430),500)))))))</f>
        <v>335.125</v>
      </c>
      <c r="AH239" s="4" t="n">
        <f aca="false">IF(V239="","",IF((V239/1000)&lt;=1,(50/1)*(V239/1000),IF((V239/1000)&lt;=2,50+((100-50)/(2-1))*(V239/1000-1),IF((V239/1000)&lt;=10,100+((200-100)/(10-2))*(V239/1000-2),IF((V239/1000)&lt;=17,200+((300-200)/(17-10))*(V239/1000-10),IF((V239/1000)&lt;=34,300+((400-300)/(34-17))*(V239/1000-17),IF((V239/1000)&lt;=57,400+((500-400)/(57-34))*(V239/1000-34),500)))))))</f>
        <v>24.4</v>
      </c>
      <c r="AI239" s="4" t="n">
        <f aca="false">IF(W239="","",IF(W239&lt;=40,(50/40)*W239,IF(W239&lt;=80,50+((100-50)/(80-40))*(W239-40),IF(W239&lt;=180,100+((200-100)/(180-80))*(W239-80),IF(W239&lt;=280,200+((300-200)/(280-180))*(W239-180),IF(W239&lt;=400,300+((400-300)/(400-280))*(W239-280),IF(W239&lt;=800,400+((500-400)/(800-400))*(W239-400),500)))))))</f>
        <v>37.25</v>
      </c>
      <c r="AJ239" s="4" t="n">
        <f aca="false">IF(X239="","",IF(X239&lt;=40,(50/40)*X239,IF(X239&lt;=80,50+((100-50)/(80-40))*(X239-40),IF(X239&lt;=380,100+((200-100)/(380-80))*(X239-80),IF(X239&lt;=800,200+((300-200)/(800-380))*(X239-380),IF(X239&lt;=1600,300+((400-300)/(1600-800))*(X239-800),IF(X239&lt;=2100,400+((500-400)/(2100-1600))*(X239-1600),500)))))))</f>
        <v>17.5</v>
      </c>
      <c r="AK239" s="4" t="n">
        <f aca="false">IF(Y239="","",IF(Y239&lt;=50,(50/50)*Y239,IF(Y239&lt;=100,50+((100-50)/(100-50))*(Y239-50),IF(Y239&lt;=168,100+((200-100)/(168-100))*(Y239-100),IF(Y239&lt;=208,200+((300-200)/(208-168))*(Y239-168),IF(Y239&lt;=748,300+((400-300)/(748-208))*(Y239-208),IF(Y239&lt;=1000,400+((500-400)/(1000-748))*(Y239-748),500)))))))</f>
        <v>57</v>
      </c>
      <c r="AL239" s="4" t="n">
        <f aca="false">ROUND(MAX(AF239,AG239,AH239,AI239,AJ239,AK239),0)</f>
        <v>335</v>
      </c>
      <c r="AM239" s="4" t="str">
        <f aca="false">IF(AL239="","",IF(AL239&lt;=50,"Good",IF(AL239&lt;=100,"Satisfactory",IF(AL239&lt;=200,"Moderate",IF(AL239&lt;=300,"Poor",IF(AL239&lt;=400,"Very Poor","Severe"))))))</f>
        <v>Very Poor</v>
      </c>
    </row>
    <row r="240" customFormat="false" ht="15.75" hidden="false" customHeight="false" outlineLevel="0" collapsed="false">
      <c r="A240" s="1" t="s">
        <v>39</v>
      </c>
      <c r="B240" s="1" t="s">
        <v>40</v>
      </c>
      <c r="C240" s="1" t="n">
        <v>28.4595</v>
      </c>
      <c r="D240" s="1" t="n">
        <v>77.0266</v>
      </c>
      <c r="E240" s="5" t="n">
        <v>45910</v>
      </c>
      <c r="F240" s="6" t="s">
        <v>76</v>
      </c>
      <c r="G240" s="1" t="n">
        <v>9</v>
      </c>
      <c r="H240" s="7" t="s">
        <v>79</v>
      </c>
      <c r="I240" s="6" t="s">
        <v>43</v>
      </c>
      <c r="J240" s="7" t="s">
        <v>44</v>
      </c>
      <c r="K240" s="7" t="s">
        <v>75</v>
      </c>
      <c r="L240" s="1" t="n">
        <v>77</v>
      </c>
      <c r="M240" s="1" t="n">
        <v>22.6</v>
      </c>
      <c r="N240" s="1" t="n">
        <v>18</v>
      </c>
      <c r="O240" s="1" t="n">
        <v>0</v>
      </c>
      <c r="P240" s="6" t="s">
        <v>43</v>
      </c>
      <c r="Q240" s="6" t="s">
        <v>43</v>
      </c>
      <c r="R240" s="1" t="n">
        <v>1005</v>
      </c>
      <c r="S240" s="1" t="n">
        <v>0</v>
      </c>
      <c r="T240" s="1" t="n">
        <v>65.2</v>
      </c>
      <c r="U240" s="1" t="n">
        <v>317.6</v>
      </c>
      <c r="V240" s="1" t="n">
        <v>491</v>
      </c>
      <c r="W240" s="1" t="n">
        <v>32</v>
      </c>
      <c r="X240" s="1" t="n">
        <v>13.6</v>
      </c>
      <c r="Y240" s="1" t="n">
        <v>48</v>
      </c>
      <c r="Z240" s="1" t="n">
        <v>543</v>
      </c>
      <c r="AA240" s="1" t="n">
        <v>188</v>
      </c>
      <c r="AB240" s="7" t="s">
        <v>81</v>
      </c>
      <c r="AC240" s="7" t="s">
        <v>88</v>
      </c>
      <c r="AD240" s="6" t="s">
        <v>43</v>
      </c>
      <c r="AE240" s="6" t="s">
        <v>43</v>
      </c>
      <c r="AF240" s="4" t="n">
        <f aca="false">IF(T240="","",IF(T240&lt;=30,(50/30)*T240,IF(T240&lt;=60,50+((100-50)/(60-30))*(T240-30),IF(T240&lt;=90,100+((200-100)/(90-60))*(T240-60),IF(T240&lt;=120,200+((300-200)/(120-90))*(T240-90),IF(T240&lt;=250,300+((400-300)/(250-120))*(T240-120),IF(T240&lt;=380,400+((500-400)/(380-250))*(T240-250),500)))))))</f>
        <v>117.333333333333</v>
      </c>
      <c r="AG240" s="4" t="n">
        <f aca="false">IF(U240="","",IF(U240&lt;=50,(50/50)*U240,IF(U240&lt;=100,50+((100-50)/(100-50))*(U240-50),IF(U240&lt;=250,100+((200-100)/(250-100))*(U240-100),IF(U240&lt;=350,200+((300-200)/(350-250))*(U240-250),IF(U240&lt;=430,300+((400-300)/(430-350))*(U240-350),IF(U240&lt;=600,400+((500-400)/(600-430))*(U240-430),500)))))))</f>
        <v>267.6</v>
      </c>
      <c r="AH240" s="4" t="n">
        <f aca="false">IF(V240="","",IF((V240/1000)&lt;=1,(50/1)*(V240/1000),IF((V240/1000)&lt;=2,50+((100-50)/(2-1))*(V240/1000-1),IF((V240/1000)&lt;=10,100+((200-100)/(10-2))*(V240/1000-2),IF((V240/1000)&lt;=17,200+((300-200)/(17-10))*(V240/1000-10),IF((V240/1000)&lt;=34,300+((400-300)/(34-17))*(V240/1000-17),IF((V240/1000)&lt;=57,400+((500-400)/(57-34))*(V240/1000-34),500)))))))</f>
        <v>24.55</v>
      </c>
      <c r="AI240" s="4" t="n">
        <f aca="false">IF(W240="","",IF(W240&lt;=40,(50/40)*W240,IF(W240&lt;=80,50+((100-50)/(80-40))*(W240-40),IF(W240&lt;=180,100+((200-100)/(180-80))*(W240-80),IF(W240&lt;=280,200+((300-200)/(280-180))*(W240-180),IF(W240&lt;=400,300+((400-300)/(400-280))*(W240-280),IF(W240&lt;=800,400+((500-400)/(800-400))*(W240-400),500)))))))</f>
        <v>40</v>
      </c>
      <c r="AJ240" s="4" t="n">
        <f aca="false">IF(X240="","",IF(X240&lt;=40,(50/40)*X240,IF(X240&lt;=80,50+((100-50)/(80-40))*(X240-40),IF(X240&lt;=380,100+((200-100)/(380-80))*(X240-80),IF(X240&lt;=800,200+((300-200)/(800-380))*(X240-380),IF(X240&lt;=1600,300+((400-300)/(1600-800))*(X240-800),IF(X240&lt;=2100,400+((500-400)/(2100-1600))*(X240-1600),500)))))))</f>
        <v>17</v>
      </c>
      <c r="AK240" s="4" t="n">
        <f aca="false">IF(Y240="","",IF(Y240&lt;=50,(50/50)*Y240,IF(Y240&lt;=100,50+((100-50)/(100-50))*(Y240-50),IF(Y240&lt;=168,100+((200-100)/(168-100))*(Y240-100),IF(Y240&lt;=208,200+((300-200)/(208-168))*(Y240-168),IF(Y240&lt;=748,300+((400-300)/(748-208))*(Y240-208),IF(Y240&lt;=1000,400+((500-400)/(1000-748))*(Y240-748),500)))))))</f>
        <v>48</v>
      </c>
      <c r="AL240" s="4" t="n">
        <f aca="false">ROUND(MAX(AF240,AG240,AH240,AI240,AJ240,AK240),0)</f>
        <v>268</v>
      </c>
      <c r="AM240" s="4" t="str">
        <f aca="false">IF(AL240="","",IF(AL240&lt;=50,"Good",IF(AL240&lt;=100,"Satisfactory",IF(AL240&lt;=200,"Moderate",IF(AL240&lt;=300,"Poor",IF(AL240&lt;=400,"Very Poor","Severe"))))))</f>
        <v>Poor</v>
      </c>
    </row>
    <row r="241" customFormat="false" ht="15.75" hidden="false" customHeight="false" outlineLevel="0" collapsed="false">
      <c r="A241" s="1" t="s">
        <v>39</v>
      </c>
      <c r="B241" s="1" t="s">
        <v>40</v>
      </c>
      <c r="C241" s="1" t="n">
        <v>28.4595</v>
      </c>
      <c r="D241" s="1" t="n">
        <v>77.0266</v>
      </c>
      <c r="E241" s="5" t="n">
        <v>45910</v>
      </c>
      <c r="F241" s="6" t="s">
        <v>77</v>
      </c>
      <c r="G241" s="1" t="n">
        <v>9</v>
      </c>
      <c r="H241" s="7" t="s">
        <v>79</v>
      </c>
      <c r="I241" s="6" t="s">
        <v>43</v>
      </c>
      <c r="J241" s="7" t="s">
        <v>44</v>
      </c>
      <c r="K241" s="7" t="s">
        <v>75</v>
      </c>
      <c r="L241" s="1" t="n">
        <v>77</v>
      </c>
      <c r="M241" s="1" t="n">
        <v>22</v>
      </c>
      <c r="N241" s="1" t="n">
        <v>17.3</v>
      </c>
      <c r="O241" s="1" t="n">
        <v>0</v>
      </c>
      <c r="P241" s="6" t="s">
        <v>43</v>
      </c>
      <c r="Q241" s="6" t="s">
        <v>43</v>
      </c>
      <c r="R241" s="1" t="n">
        <v>1005.3</v>
      </c>
      <c r="S241" s="1" t="n">
        <v>10</v>
      </c>
      <c r="T241" s="1" t="n">
        <v>63.1</v>
      </c>
      <c r="U241" s="1" t="n">
        <v>299</v>
      </c>
      <c r="V241" s="1" t="n">
        <v>470</v>
      </c>
      <c r="W241" s="1" t="n">
        <v>32.7</v>
      </c>
      <c r="X241" s="1" t="n">
        <v>13.1</v>
      </c>
      <c r="Y241" s="1" t="n">
        <v>41</v>
      </c>
      <c r="Z241" s="1" t="n">
        <v>456</v>
      </c>
      <c r="AA241" s="1" t="n">
        <v>190</v>
      </c>
      <c r="AB241" s="7" t="s">
        <v>81</v>
      </c>
      <c r="AC241" s="7" t="s">
        <v>88</v>
      </c>
      <c r="AD241" s="6" t="s">
        <v>43</v>
      </c>
      <c r="AE241" s="6" t="s">
        <v>43</v>
      </c>
      <c r="AF241" s="4" t="n">
        <f aca="false">IF(T241="","",IF(T241&lt;=30,(50/30)*T241,IF(T241&lt;=60,50+((100-50)/(60-30))*(T241-30),IF(T241&lt;=90,100+((200-100)/(90-60))*(T241-60),IF(T241&lt;=120,200+((300-200)/(120-90))*(T241-90),IF(T241&lt;=250,300+((400-300)/(250-120))*(T241-120),IF(T241&lt;=380,400+((500-400)/(380-250))*(T241-250),500)))))))</f>
        <v>110.333333333333</v>
      </c>
      <c r="AG241" s="4" t="n">
        <f aca="false">IF(U241="","",IF(U241&lt;=50,(50/50)*U241,IF(U241&lt;=100,50+((100-50)/(100-50))*(U241-50),IF(U241&lt;=250,100+((200-100)/(250-100))*(U241-100),IF(U241&lt;=350,200+((300-200)/(350-250))*(U241-250),IF(U241&lt;=430,300+((400-300)/(430-350))*(U241-350),IF(U241&lt;=600,400+((500-400)/(600-430))*(U241-430),500)))))))</f>
        <v>249</v>
      </c>
      <c r="AH241" s="4" t="n">
        <f aca="false">IF(V241="","",IF((V241/1000)&lt;=1,(50/1)*(V241/1000),IF((V241/1000)&lt;=2,50+((100-50)/(2-1))*(V241/1000-1),IF((V241/1000)&lt;=10,100+((200-100)/(10-2))*(V241/1000-2),IF((V241/1000)&lt;=17,200+((300-200)/(17-10))*(V241/1000-10),IF((V241/1000)&lt;=34,300+((400-300)/(34-17))*(V241/1000-17),IF((V241/1000)&lt;=57,400+((500-400)/(57-34))*(V241/1000-34),500)))))))</f>
        <v>23.5</v>
      </c>
      <c r="AI241" s="4" t="n">
        <f aca="false">IF(W241="","",IF(W241&lt;=40,(50/40)*W241,IF(W241&lt;=80,50+((100-50)/(80-40))*(W241-40),IF(W241&lt;=180,100+((200-100)/(180-80))*(W241-80),IF(W241&lt;=280,200+((300-200)/(280-180))*(W241-180),IF(W241&lt;=400,300+((400-300)/(400-280))*(W241-280),IF(W241&lt;=800,400+((500-400)/(800-400))*(W241-400),500)))))))</f>
        <v>40.875</v>
      </c>
      <c r="AJ241" s="4" t="n">
        <f aca="false">IF(X241="","",IF(X241&lt;=40,(50/40)*X241,IF(X241&lt;=80,50+((100-50)/(80-40))*(X241-40),IF(X241&lt;=380,100+((200-100)/(380-80))*(X241-80),IF(X241&lt;=800,200+((300-200)/(800-380))*(X241-380),IF(X241&lt;=1600,300+((400-300)/(1600-800))*(X241-800),IF(X241&lt;=2100,400+((500-400)/(2100-1600))*(X241-1600),500)))))))</f>
        <v>16.375</v>
      </c>
      <c r="AK241" s="4" t="n">
        <f aca="false">IF(Y241="","",IF(Y241&lt;=50,(50/50)*Y241,IF(Y241&lt;=100,50+((100-50)/(100-50))*(Y241-50),IF(Y241&lt;=168,100+((200-100)/(168-100))*(Y241-100),IF(Y241&lt;=208,200+((300-200)/(208-168))*(Y241-168),IF(Y241&lt;=748,300+((400-300)/(748-208))*(Y241-208),IF(Y241&lt;=1000,400+((500-400)/(1000-748))*(Y241-748),500)))))))</f>
        <v>41</v>
      </c>
      <c r="AL241" s="4" t="n">
        <f aca="false">ROUND(MAX(AF241,AG241,AH241,AI241,AJ241,AK241),0)</f>
        <v>249</v>
      </c>
      <c r="AM241" s="4" t="str">
        <f aca="false">IF(AL241="","",IF(AL241&lt;=50,"Good",IF(AL241&lt;=100,"Satisfactory",IF(AL241&lt;=200,"Moderate",IF(AL241&lt;=300,"Poor",IF(AL241&lt;=400,"Very Poor","Severe"))))))</f>
        <v>Poor</v>
      </c>
    </row>
    <row r="242" customFormat="false" ht="15.75" hidden="false" customHeight="false" outlineLevel="0" collapsed="false">
      <c r="A242" s="1" t="s">
        <v>39</v>
      </c>
      <c r="B242" s="1" t="s">
        <v>40</v>
      </c>
      <c r="C242" s="1" t="n">
        <v>28.4595</v>
      </c>
      <c r="D242" s="1" t="n">
        <v>77.0266</v>
      </c>
      <c r="E242" s="5" t="n">
        <v>45911</v>
      </c>
      <c r="F242" s="6" t="s">
        <v>41</v>
      </c>
      <c r="G242" s="1" t="n">
        <v>9</v>
      </c>
      <c r="H242" s="7" t="s">
        <v>80</v>
      </c>
      <c r="I242" s="6" t="s">
        <v>43</v>
      </c>
      <c r="J242" s="7" t="s">
        <v>44</v>
      </c>
      <c r="K242" s="7" t="s">
        <v>45</v>
      </c>
      <c r="L242" s="1" t="n">
        <v>79</v>
      </c>
      <c r="M242" s="1" t="n">
        <v>21.7</v>
      </c>
      <c r="N242" s="1" t="n">
        <v>16.2</v>
      </c>
      <c r="O242" s="1" t="n">
        <v>0</v>
      </c>
      <c r="P242" s="6" t="s">
        <v>43</v>
      </c>
      <c r="Q242" s="6" t="s">
        <v>43</v>
      </c>
      <c r="R242" s="1" t="n">
        <v>1005.2</v>
      </c>
      <c r="S242" s="1" t="n">
        <v>33</v>
      </c>
      <c r="T242" s="1" t="n">
        <v>58.9</v>
      </c>
      <c r="U242" s="1" t="n">
        <v>279.4</v>
      </c>
      <c r="V242" s="1" t="n">
        <v>407</v>
      </c>
      <c r="W242" s="1" t="n">
        <v>30.9</v>
      </c>
      <c r="X242" s="1" t="n">
        <v>12.3</v>
      </c>
      <c r="Y242" s="1" t="n">
        <v>38</v>
      </c>
      <c r="Z242" s="1" t="n">
        <v>404</v>
      </c>
      <c r="AA242" s="1" t="n">
        <v>191</v>
      </c>
      <c r="AB242" s="7" t="s">
        <v>81</v>
      </c>
      <c r="AC242" s="7" t="s">
        <v>48</v>
      </c>
      <c r="AD242" s="6" t="s">
        <v>43</v>
      </c>
      <c r="AE242" s="6" t="s">
        <v>43</v>
      </c>
      <c r="AF242" s="4" t="n">
        <f aca="false">IF(T242="","",IF(T242&lt;=30,(50/30)*T242,IF(T242&lt;=60,50+((100-50)/(60-30))*(T242-30),IF(T242&lt;=90,100+((200-100)/(90-60))*(T242-60),IF(T242&lt;=120,200+((300-200)/(120-90))*(T242-90),IF(T242&lt;=250,300+((400-300)/(250-120))*(T242-120),IF(T242&lt;=380,400+((500-400)/(380-250))*(T242-250),500)))))))</f>
        <v>98.1666666666667</v>
      </c>
      <c r="AG242" s="4" t="n">
        <f aca="false">IF(U242="","",IF(U242&lt;=50,(50/50)*U242,IF(U242&lt;=100,50+((100-50)/(100-50))*(U242-50),IF(U242&lt;=250,100+((200-100)/(250-100))*(U242-100),IF(U242&lt;=350,200+((300-200)/(350-250))*(U242-250),IF(U242&lt;=430,300+((400-300)/(430-350))*(U242-350),IF(U242&lt;=600,400+((500-400)/(600-430))*(U242-430),500)))))))</f>
        <v>229.4</v>
      </c>
      <c r="AH242" s="4" t="n">
        <f aca="false">IF(V242="","",IF((V242/1000)&lt;=1,(50/1)*(V242/1000),IF((V242/1000)&lt;=2,50+((100-50)/(2-1))*(V242/1000-1),IF((V242/1000)&lt;=10,100+((200-100)/(10-2))*(V242/1000-2),IF((V242/1000)&lt;=17,200+((300-200)/(17-10))*(V242/1000-10),IF((V242/1000)&lt;=34,300+((400-300)/(34-17))*(V242/1000-17),IF((V242/1000)&lt;=57,400+((500-400)/(57-34))*(V242/1000-34),500)))))))</f>
        <v>20.35</v>
      </c>
      <c r="AI242" s="4" t="n">
        <f aca="false">IF(W242="","",IF(W242&lt;=40,(50/40)*W242,IF(W242&lt;=80,50+((100-50)/(80-40))*(W242-40),IF(W242&lt;=180,100+((200-100)/(180-80))*(W242-80),IF(W242&lt;=280,200+((300-200)/(280-180))*(W242-180),IF(W242&lt;=400,300+((400-300)/(400-280))*(W242-280),IF(W242&lt;=800,400+((500-400)/(800-400))*(W242-400),500)))))))</f>
        <v>38.625</v>
      </c>
      <c r="AJ242" s="4" t="n">
        <f aca="false">IF(X242="","",IF(X242&lt;=40,(50/40)*X242,IF(X242&lt;=80,50+((100-50)/(80-40))*(X242-40),IF(X242&lt;=380,100+((200-100)/(380-80))*(X242-80),IF(X242&lt;=800,200+((300-200)/(800-380))*(X242-380),IF(X242&lt;=1600,300+((400-300)/(1600-800))*(X242-800),IF(X242&lt;=2100,400+((500-400)/(2100-1600))*(X242-1600),500)))))))</f>
        <v>15.375</v>
      </c>
      <c r="AK242" s="4" t="n">
        <f aca="false">IF(Y242="","",IF(Y242&lt;=50,(50/50)*Y242,IF(Y242&lt;=100,50+((100-50)/(100-50))*(Y242-50),IF(Y242&lt;=168,100+((200-100)/(168-100))*(Y242-100),IF(Y242&lt;=208,200+((300-200)/(208-168))*(Y242-168),IF(Y242&lt;=748,300+((400-300)/(748-208))*(Y242-208),IF(Y242&lt;=1000,400+((500-400)/(1000-748))*(Y242-748),500)))))))</f>
        <v>38</v>
      </c>
      <c r="AL242" s="4" t="n">
        <f aca="false">ROUND(MAX(AF242,AG242,AH242,AI242,AJ242,AK242),0)</f>
        <v>229</v>
      </c>
      <c r="AM242" s="4" t="str">
        <f aca="false">IF(AL242="","",IF(AL242&lt;=50,"Good",IF(AL242&lt;=100,"Satisfactory",IF(AL242&lt;=200,"Moderate",IF(AL242&lt;=300,"Poor",IF(AL242&lt;=400,"Very Poor","Severe"))))))</f>
        <v>Poor</v>
      </c>
    </row>
    <row r="243" customFormat="false" ht="15.75" hidden="false" customHeight="false" outlineLevel="0" collapsed="false">
      <c r="A243" s="1" t="s">
        <v>39</v>
      </c>
      <c r="B243" s="1" t="s">
        <v>40</v>
      </c>
      <c r="C243" s="1" t="n">
        <v>28.4595</v>
      </c>
      <c r="D243" s="1" t="n">
        <v>77.0266</v>
      </c>
      <c r="E243" s="5" t="n">
        <v>45911</v>
      </c>
      <c r="F243" s="6" t="s">
        <v>49</v>
      </c>
      <c r="G243" s="1" t="n">
        <v>9</v>
      </c>
      <c r="H243" s="7" t="s">
        <v>80</v>
      </c>
      <c r="I243" s="6" t="s">
        <v>43</v>
      </c>
      <c r="J243" s="7" t="s">
        <v>44</v>
      </c>
      <c r="K243" s="7" t="s">
        <v>45</v>
      </c>
      <c r="L243" s="1" t="n">
        <v>80</v>
      </c>
      <c r="M243" s="1" t="n">
        <v>21.6</v>
      </c>
      <c r="N243" s="1" t="n">
        <v>15.1</v>
      </c>
      <c r="O243" s="1" t="n">
        <v>0</v>
      </c>
      <c r="P243" s="6" t="s">
        <v>43</v>
      </c>
      <c r="Q243" s="6" t="s">
        <v>43</v>
      </c>
      <c r="R243" s="1" t="n">
        <v>1005.1</v>
      </c>
      <c r="S243" s="1" t="n">
        <v>1</v>
      </c>
      <c r="T243" s="1" t="n">
        <v>54.9</v>
      </c>
      <c r="U243" s="1" t="n">
        <v>257</v>
      </c>
      <c r="V243" s="1" t="n">
        <v>320</v>
      </c>
      <c r="W243" s="1" t="n">
        <v>27.7</v>
      </c>
      <c r="X243" s="1" t="n">
        <v>11.3</v>
      </c>
      <c r="Y243" s="1" t="n">
        <v>37</v>
      </c>
      <c r="Z243" s="1" t="n">
        <v>376</v>
      </c>
      <c r="AA243" s="1" t="n">
        <v>192</v>
      </c>
      <c r="AB243" s="7" t="s">
        <v>81</v>
      </c>
      <c r="AC243" s="7" t="s">
        <v>48</v>
      </c>
      <c r="AD243" s="6" t="s">
        <v>43</v>
      </c>
      <c r="AE243" s="6" t="s">
        <v>43</v>
      </c>
      <c r="AF243" s="4" t="n">
        <f aca="false">IF(T243="","",IF(T243&lt;=30,(50/30)*T243,IF(T243&lt;=60,50+((100-50)/(60-30))*(T243-30),IF(T243&lt;=90,100+((200-100)/(90-60))*(T243-60),IF(T243&lt;=120,200+((300-200)/(120-90))*(T243-90),IF(T243&lt;=250,300+((400-300)/(250-120))*(T243-120),IF(T243&lt;=380,400+((500-400)/(380-250))*(T243-250),500)))))))</f>
        <v>91.5</v>
      </c>
      <c r="AG243" s="4" t="n">
        <f aca="false">IF(U243="","",IF(U243&lt;=50,(50/50)*U243,IF(U243&lt;=100,50+((100-50)/(100-50))*(U243-50),IF(U243&lt;=250,100+((200-100)/(250-100))*(U243-100),IF(U243&lt;=350,200+((300-200)/(350-250))*(U243-250),IF(U243&lt;=430,300+((400-300)/(430-350))*(U243-350),IF(U243&lt;=600,400+((500-400)/(600-430))*(U243-430),500)))))))</f>
        <v>207</v>
      </c>
      <c r="AH243" s="4" t="n">
        <f aca="false">IF(V243="","",IF((V243/1000)&lt;=1,(50/1)*(V243/1000),IF((V243/1000)&lt;=2,50+((100-50)/(2-1))*(V243/1000-1),IF((V243/1000)&lt;=10,100+((200-100)/(10-2))*(V243/1000-2),IF((V243/1000)&lt;=17,200+((300-200)/(17-10))*(V243/1000-10),IF((V243/1000)&lt;=34,300+((400-300)/(34-17))*(V243/1000-17),IF((V243/1000)&lt;=57,400+((500-400)/(57-34))*(V243/1000-34),500)))))))</f>
        <v>16</v>
      </c>
      <c r="AI243" s="4" t="n">
        <f aca="false">IF(W243="","",IF(W243&lt;=40,(50/40)*W243,IF(W243&lt;=80,50+((100-50)/(80-40))*(W243-40),IF(W243&lt;=180,100+((200-100)/(180-80))*(W243-80),IF(W243&lt;=280,200+((300-200)/(280-180))*(W243-180),IF(W243&lt;=400,300+((400-300)/(400-280))*(W243-280),IF(W243&lt;=800,400+((500-400)/(800-400))*(W243-400),500)))))))</f>
        <v>34.625</v>
      </c>
      <c r="AJ243" s="4" t="n">
        <f aca="false">IF(X243="","",IF(X243&lt;=40,(50/40)*X243,IF(X243&lt;=80,50+((100-50)/(80-40))*(X243-40),IF(X243&lt;=380,100+((200-100)/(380-80))*(X243-80),IF(X243&lt;=800,200+((300-200)/(800-380))*(X243-380),IF(X243&lt;=1600,300+((400-300)/(1600-800))*(X243-800),IF(X243&lt;=2100,400+((500-400)/(2100-1600))*(X243-1600),500)))))))</f>
        <v>14.125</v>
      </c>
      <c r="AK243" s="4" t="n">
        <f aca="false">IF(Y243="","",IF(Y243&lt;=50,(50/50)*Y243,IF(Y243&lt;=100,50+((100-50)/(100-50))*(Y243-50),IF(Y243&lt;=168,100+((200-100)/(168-100))*(Y243-100),IF(Y243&lt;=208,200+((300-200)/(208-168))*(Y243-168),IF(Y243&lt;=748,300+((400-300)/(748-208))*(Y243-208),IF(Y243&lt;=1000,400+((500-400)/(1000-748))*(Y243-748),500)))))))</f>
        <v>37</v>
      </c>
      <c r="AL243" s="4" t="n">
        <f aca="false">ROUND(MAX(AF243,AG243,AH243,AI243,AJ243,AK243),0)</f>
        <v>207</v>
      </c>
      <c r="AM243" s="4" t="str">
        <f aca="false">IF(AL243="","",IF(AL243&lt;=50,"Good",IF(AL243&lt;=100,"Satisfactory",IF(AL243&lt;=200,"Moderate",IF(AL243&lt;=300,"Poor",IF(AL243&lt;=400,"Very Poor","Severe"))))))</f>
        <v>Poor</v>
      </c>
    </row>
    <row r="244" customFormat="false" ht="15.75" hidden="false" customHeight="false" outlineLevel="0" collapsed="false">
      <c r="A244" s="1" t="s">
        <v>39</v>
      </c>
      <c r="B244" s="1" t="s">
        <v>40</v>
      </c>
      <c r="C244" s="1" t="n">
        <v>28.4595</v>
      </c>
      <c r="D244" s="1" t="n">
        <v>77.0266</v>
      </c>
      <c r="E244" s="5" t="n">
        <v>45911</v>
      </c>
      <c r="F244" s="6" t="s">
        <v>51</v>
      </c>
      <c r="G244" s="1" t="n">
        <v>9</v>
      </c>
      <c r="H244" s="7" t="s">
        <v>80</v>
      </c>
      <c r="I244" s="6" t="s">
        <v>43</v>
      </c>
      <c r="J244" s="7" t="s">
        <v>44</v>
      </c>
      <c r="K244" s="7" t="s">
        <v>45</v>
      </c>
      <c r="L244" s="1" t="n">
        <v>80</v>
      </c>
      <c r="M244" s="1" t="n">
        <v>21.4</v>
      </c>
      <c r="N244" s="1" t="n">
        <v>16.2</v>
      </c>
      <c r="O244" s="1" t="n">
        <v>0</v>
      </c>
      <c r="P244" s="6" t="s">
        <v>43</v>
      </c>
      <c r="Q244" s="6" t="s">
        <v>43</v>
      </c>
      <c r="R244" s="1" t="n">
        <v>1004.8</v>
      </c>
      <c r="S244" s="1" t="n">
        <v>4</v>
      </c>
      <c r="T244" s="1" t="n">
        <v>51.6</v>
      </c>
      <c r="U244" s="1" t="n">
        <v>237.5</v>
      </c>
      <c r="V244" s="1" t="n">
        <v>257</v>
      </c>
      <c r="W244" s="1" t="n">
        <v>24.9</v>
      </c>
      <c r="X244" s="1" t="n">
        <v>10.6</v>
      </c>
      <c r="Y244" s="1" t="n">
        <v>37</v>
      </c>
      <c r="Z244" s="1" t="n">
        <v>357</v>
      </c>
      <c r="AA244" s="1" t="n">
        <v>193</v>
      </c>
      <c r="AB244" s="7" t="s">
        <v>81</v>
      </c>
      <c r="AC244" s="7" t="s">
        <v>48</v>
      </c>
      <c r="AD244" s="6" t="s">
        <v>43</v>
      </c>
      <c r="AE244" s="6" t="s">
        <v>43</v>
      </c>
      <c r="AF244" s="4" t="n">
        <f aca="false">IF(T244="","",IF(T244&lt;=30,(50/30)*T244,IF(T244&lt;=60,50+((100-50)/(60-30))*(T244-30),IF(T244&lt;=90,100+((200-100)/(90-60))*(T244-60),IF(T244&lt;=120,200+((300-200)/(120-90))*(T244-90),IF(T244&lt;=250,300+((400-300)/(250-120))*(T244-120),IF(T244&lt;=380,400+((500-400)/(380-250))*(T244-250),500)))))))</f>
        <v>86</v>
      </c>
      <c r="AG244" s="4" t="n">
        <f aca="false">IF(U244="","",IF(U244&lt;=50,(50/50)*U244,IF(U244&lt;=100,50+((100-50)/(100-50))*(U244-50),IF(U244&lt;=250,100+((200-100)/(250-100))*(U244-100),IF(U244&lt;=350,200+((300-200)/(350-250))*(U244-250),IF(U244&lt;=430,300+((400-300)/(430-350))*(U244-350),IF(U244&lt;=600,400+((500-400)/(600-430))*(U244-430),500)))))))</f>
        <v>191.666666666667</v>
      </c>
      <c r="AH244" s="4" t="n">
        <f aca="false">IF(V244="","",IF((V244/1000)&lt;=1,(50/1)*(V244/1000),IF((V244/1000)&lt;=2,50+((100-50)/(2-1))*(V244/1000-1),IF((V244/1000)&lt;=10,100+((200-100)/(10-2))*(V244/1000-2),IF((V244/1000)&lt;=17,200+((300-200)/(17-10))*(V244/1000-10),IF((V244/1000)&lt;=34,300+((400-300)/(34-17))*(V244/1000-17),IF((V244/1000)&lt;=57,400+((500-400)/(57-34))*(V244/1000-34),500)))))))</f>
        <v>12.85</v>
      </c>
      <c r="AI244" s="4" t="n">
        <f aca="false">IF(W244="","",IF(W244&lt;=40,(50/40)*W244,IF(W244&lt;=80,50+((100-50)/(80-40))*(W244-40),IF(W244&lt;=180,100+((200-100)/(180-80))*(W244-80),IF(W244&lt;=280,200+((300-200)/(280-180))*(W244-180),IF(W244&lt;=400,300+((400-300)/(400-280))*(W244-280),IF(W244&lt;=800,400+((500-400)/(800-400))*(W244-400),500)))))))</f>
        <v>31.125</v>
      </c>
      <c r="AJ244" s="4" t="n">
        <f aca="false">IF(X244="","",IF(X244&lt;=40,(50/40)*X244,IF(X244&lt;=80,50+((100-50)/(80-40))*(X244-40),IF(X244&lt;=380,100+((200-100)/(380-80))*(X244-80),IF(X244&lt;=800,200+((300-200)/(800-380))*(X244-380),IF(X244&lt;=1600,300+((400-300)/(1600-800))*(X244-800),IF(X244&lt;=2100,400+((500-400)/(2100-1600))*(X244-1600),500)))))))</f>
        <v>13.25</v>
      </c>
      <c r="AK244" s="4" t="n">
        <f aca="false">IF(Y244="","",IF(Y244&lt;=50,(50/50)*Y244,IF(Y244&lt;=100,50+((100-50)/(100-50))*(Y244-50),IF(Y244&lt;=168,100+((200-100)/(168-100))*(Y244-100),IF(Y244&lt;=208,200+((300-200)/(208-168))*(Y244-168),IF(Y244&lt;=748,300+((400-300)/(748-208))*(Y244-208),IF(Y244&lt;=1000,400+((500-400)/(1000-748))*(Y244-748),500)))))))</f>
        <v>37</v>
      </c>
      <c r="AL244" s="4" t="n">
        <f aca="false">ROUND(MAX(AF244,AG244,AH244,AI244,AJ244,AK244),0)</f>
        <v>192</v>
      </c>
      <c r="AM244" s="4" t="str">
        <f aca="false">IF(AL244="","",IF(AL244&lt;=50,"Good",IF(AL244&lt;=100,"Satisfactory",IF(AL244&lt;=200,"Moderate",IF(AL244&lt;=300,"Poor",IF(AL244&lt;=400,"Very Poor","Severe"))))))</f>
        <v>Moderate</v>
      </c>
    </row>
    <row r="245" customFormat="false" ht="15.75" hidden="false" customHeight="false" outlineLevel="0" collapsed="false">
      <c r="A245" s="1" t="s">
        <v>39</v>
      </c>
      <c r="B245" s="1" t="s">
        <v>40</v>
      </c>
      <c r="C245" s="1" t="n">
        <v>28.4595</v>
      </c>
      <c r="D245" s="1" t="n">
        <v>77.0266</v>
      </c>
      <c r="E245" s="5" t="n">
        <v>45911</v>
      </c>
      <c r="F245" s="6" t="s">
        <v>52</v>
      </c>
      <c r="G245" s="1" t="n">
        <v>9</v>
      </c>
      <c r="H245" s="7" t="s">
        <v>80</v>
      </c>
      <c r="I245" s="6" t="s">
        <v>43</v>
      </c>
      <c r="J245" s="7" t="s">
        <v>44</v>
      </c>
      <c r="K245" s="7" t="s">
        <v>45</v>
      </c>
      <c r="L245" s="1" t="n">
        <v>81</v>
      </c>
      <c r="M245" s="1" t="n">
        <v>21.3</v>
      </c>
      <c r="N245" s="1" t="n">
        <v>16.6</v>
      </c>
      <c r="O245" s="1" t="n">
        <v>0</v>
      </c>
      <c r="P245" s="6" t="s">
        <v>43</v>
      </c>
      <c r="Q245" s="6" t="s">
        <v>43</v>
      </c>
      <c r="R245" s="1" t="n">
        <v>1004.8</v>
      </c>
      <c r="S245" s="1" t="n">
        <v>3</v>
      </c>
      <c r="T245" s="1" t="n">
        <v>48.4</v>
      </c>
      <c r="U245" s="1" t="n">
        <v>214.7</v>
      </c>
      <c r="V245" s="1" t="n">
        <v>239</v>
      </c>
      <c r="W245" s="1" t="n">
        <v>23.5</v>
      </c>
      <c r="X245" s="1" t="n">
        <v>10.4</v>
      </c>
      <c r="Y245" s="1" t="n">
        <v>35</v>
      </c>
      <c r="Z245" s="1" t="n">
        <v>339</v>
      </c>
      <c r="AA245" s="1" t="n">
        <v>193</v>
      </c>
      <c r="AB245" s="7" t="s">
        <v>81</v>
      </c>
      <c r="AC245" s="7" t="s">
        <v>48</v>
      </c>
      <c r="AD245" s="6" t="s">
        <v>43</v>
      </c>
      <c r="AE245" s="6" t="s">
        <v>43</v>
      </c>
      <c r="AF245" s="4" t="n">
        <f aca="false">IF(T245="","",IF(T245&lt;=30,(50/30)*T245,IF(T245&lt;=60,50+((100-50)/(60-30))*(T245-30),IF(T245&lt;=90,100+((200-100)/(90-60))*(T245-60),IF(T245&lt;=120,200+((300-200)/(120-90))*(T245-90),IF(T245&lt;=250,300+((400-300)/(250-120))*(T245-120),IF(T245&lt;=380,400+((500-400)/(380-250))*(T245-250),500)))))))</f>
        <v>80.6666666666667</v>
      </c>
      <c r="AG245" s="4" t="n">
        <f aca="false">IF(U245="","",IF(U245&lt;=50,(50/50)*U245,IF(U245&lt;=100,50+((100-50)/(100-50))*(U245-50),IF(U245&lt;=250,100+((200-100)/(250-100))*(U245-100),IF(U245&lt;=350,200+((300-200)/(350-250))*(U245-250),IF(U245&lt;=430,300+((400-300)/(430-350))*(U245-350),IF(U245&lt;=600,400+((500-400)/(600-430))*(U245-430),500)))))))</f>
        <v>176.466666666667</v>
      </c>
      <c r="AH245" s="4" t="n">
        <f aca="false">IF(V245="","",IF((V245/1000)&lt;=1,(50/1)*(V245/1000),IF((V245/1000)&lt;=2,50+((100-50)/(2-1))*(V245/1000-1),IF((V245/1000)&lt;=10,100+((200-100)/(10-2))*(V245/1000-2),IF((V245/1000)&lt;=17,200+((300-200)/(17-10))*(V245/1000-10),IF((V245/1000)&lt;=34,300+((400-300)/(34-17))*(V245/1000-17),IF((V245/1000)&lt;=57,400+((500-400)/(57-34))*(V245/1000-34),500)))))))</f>
        <v>11.95</v>
      </c>
      <c r="AI245" s="4" t="n">
        <f aca="false">IF(W245="","",IF(W245&lt;=40,(50/40)*W245,IF(W245&lt;=80,50+((100-50)/(80-40))*(W245-40),IF(W245&lt;=180,100+((200-100)/(180-80))*(W245-80),IF(W245&lt;=280,200+((300-200)/(280-180))*(W245-180),IF(W245&lt;=400,300+((400-300)/(400-280))*(W245-280),IF(W245&lt;=800,400+((500-400)/(800-400))*(W245-400),500)))))))</f>
        <v>29.375</v>
      </c>
      <c r="AJ245" s="4" t="n">
        <f aca="false">IF(X245="","",IF(X245&lt;=40,(50/40)*X245,IF(X245&lt;=80,50+((100-50)/(80-40))*(X245-40),IF(X245&lt;=380,100+((200-100)/(380-80))*(X245-80),IF(X245&lt;=800,200+((300-200)/(800-380))*(X245-380),IF(X245&lt;=1600,300+((400-300)/(1600-800))*(X245-800),IF(X245&lt;=2100,400+((500-400)/(2100-1600))*(X245-1600),500)))))))</f>
        <v>13</v>
      </c>
      <c r="AK245" s="4" t="n">
        <f aca="false">IF(Y245="","",IF(Y245&lt;=50,(50/50)*Y245,IF(Y245&lt;=100,50+((100-50)/(100-50))*(Y245-50),IF(Y245&lt;=168,100+((200-100)/(168-100))*(Y245-100),IF(Y245&lt;=208,200+((300-200)/(208-168))*(Y245-168),IF(Y245&lt;=748,300+((400-300)/(748-208))*(Y245-208),IF(Y245&lt;=1000,400+((500-400)/(1000-748))*(Y245-748),500)))))))</f>
        <v>35</v>
      </c>
      <c r="AL245" s="4" t="n">
        <f aca="false">ROUND(MAX(AF245,AG245,AH245,AI245,AJ245,AK245),0)</f>
        <v>176</v>
      </c>
      <c r="AM245" s="4" t="str">
        <f aca="false">IF(AL245="","",IF(AL245&lt;=50,"Good",IF(AL245&lt;=100,"Satisfactory",IF(AL245&lt;=200,"Moderate",IF(AL245&lt;=300,"Poor",IF(AL245&lt;=400,"Very Poor","Severe"))))))</f>
        <v>Moderate</v>
      </c>
    </row>
    <row r="246" customFormat="false" ht="15.75" hidden="false" customHeight="false" outlineLevel="0" collapsed="false">
      <c r="A246" s="1" t="s">
        <v>39</v>
      </c>
      <c r="B246" s="1" t="s">
        <v>40</v>
      </c>
      <c r="C246" s="1" t="n">
        <v>28.4595</v>
      </c>
      <c r="D246" s="1" t="n">
        <v>77.0266</v>
      </c>
      <c r="E246" s="5" t="n">
        <v>45911</v>
      </c>
      <c r="F246" s="6" t="s">
        <v>53</v>
      </c>
      <c r="G246" s="1" t="n">
        <v>9</v>
      </c>
      <c r="H246" s="7" t="s">
        <v>80</v>
      </c>
      <c r="I246" s="6" t="s">
        <v>43</v>
      </c>
      <c r="J246" s="7" t="s">
        <v>44</v>
      </c>
      <c r="K246" s="7" t="s">
        <v>45</v>
      </c>
      <c r="L246" s="1" t="n">
        <v>81</v>
      </c>
      <c r="M246" s="1" t="n">
        <v>20.9</v>
      </c>
      <c r="N246" s="1" t="n">
        <v>19.1</v>
      </c>
      <c r="O246" s="1" t="n">
        <v>0</v>
      </c>
      <c r="P246" s="6" t="s">
        <v>43</v>
      </c>
      <c r="Q246" s="6" t="s">
        <v>43</v>
      </c>
      <c r="R246" s="1" t="n">
        <v>1005.3</v>
      </c>
      <c r="S246" s="1" t="n">
        <v>68</v>
      </c>
      <c r="T246" s="1" t="n">
        <v>46.6</v>
      </c>
      <c r="U246" s="1" t="n">
        <v>206.8</v>
      </c>
      <c r="V246" s="1" t="n">
        <v>244</v>
      </c>
      <c r="W246" s="1" t="n">
        <v>22.6</v>
      </c>
      <c r="X246" s="1" t="n">
        <v>10.5</v>
      </c>
      <c r="Y246" s="1" t="n">
        <v>34</v>
      </c>
      <c r="Z246" s="1" t="n">
        <v>332</v>
      </c>
      <c r="AA246" s="1" t="n">
        <v>192</v>
      </c>
      <c r="AB246" s="7" t="s">
        <v>81</v>
      </c>
      <c r="AC246" s="7" t="s">
        <v>48</v>
      </c>
      <c r="AD246" s="6" t="s">
        <v>43</v>
      </c>
      <c r="AE246" s="6" t="s">
        <v>43</v>
      </c>
      <c r="AF246" s="4" t="n">
        <f aca="false">IF(T246="","",IF(T246&lt;=30,(50/30)*T246,IF(T246&lt;=60,50+((100-50)/(60-30))*(T246-30),IF(T246&lt;=90,100+((200-100)/(90-60))*(T246-60),IF(T246&lt;=120,200+((300-200)/(120-90))*(T246-90),IF(T246&lt;=250,300+((400-300)/(250-120))*(T246-120),IF(T246&lt;=380,400+((500-400)/(380-250))*(T246-250),500)))))))</f>
        <v>77.6666666666667</v>
      </c>
      <c r="AG246" s="4" t="n">
        <f aca="false">IF(U246="","",IF(U246&lt;=50,(50/50)*U246,IF(U246&lt;=100,50+((100-50)/(100-50))*(U246-50),IF(U246&lt;=250,100+((200-100)/(250-100))*(U246-100),IF(U246&lt;=350,200+((300-200)/(350-250))*(U246-250),IF(U246&lt;=430,300+((400-300)/(430-350))*(U246-350),IF(U246&lt;=600,400+((500-400)/(600-430))*(U246-430),500)))))))</f>
        <v>171.2</v>
      </c>
      <c r="AH246" s="4" t="n">
        <f aca="false">IF(V246="","",IF((V246/1000)&lt;=1,(50/1)*(V246/1000),IF((V246/1000)&lt;=2,50+((100-50)/(2-1))*(V246/1000-1),IF((V246/1000)&lt;=10,100+((200-100)/(10-2))*(V246/1000-2),IF((V246/1000)&lt;=17,200+((300-200)/(17-10))*(V246/1000-10),IF((V246/1000)&lt;=34,300+((400-300)/(34-17))*(V246/1000-17),IF((V246/1000)&lt;=57,400+((500-400)/(57-34))*(V246/1000-34),500)))))))</f>
        <v>12.2</v>
      </c>
      <c r="AI246" s="4" t="n">
        <f aca="false">IF(W246="","",IF(W246&lt;=40,(50/40)*W246,IF(W246&lt;=80,50+((100-50)/(80-40))*(W246-40),IF(W246&lt;=180,100+((200-100)/(180-80))*(W246-80),IF(W246&lt;=280,200+((300-200)/(280-180))*(W246-180),IF(W246&lt;=400,300+((400-300)/(400-280))*(W246-280),IF(W246&lt;=800,400+((500-400)/(800-400))*(W246-400),500)))))))</f>
        <v>28.25</v>
      </c>
      <c r="AJ246" s="4" t="n">
        <f aca="false">IF(X246="","",IF(X246&lt;=40,(50/40)*X246,IF(X246&lt;=80,50+((100-50)/(80-40))*(X246-40),IF(X246&lt;=380,100+((200-100)/(380-80))*(X246-80),IF(X246&lt;=800,200+((300-200)/(800-380))*(X246-380),IF(X246&lt;=1600,300+((400-300)/(1600-800))*(X246-800),IF(X246&lt;=2100,400+((500-400)/(2100-1600))*(X246-1600),500)))))))</f>
        <v>13.125</v>
      </c>
      <c r="AK246" s="4" t="n">
        <f aca="false">IF(Y246="","",IF(Y246&lt;=50,(50/50)*Y246,IF(Y246&lt;=100,50+((100-50)/(100-50))*(Y246-50),IF(Y246&lt;=168,100+((200-100)/(168-100))*(Y246-100),IF(Y246&lt;=208,200+((300-200)/(208-168))*(Y246-168),IF(Y246&lt;=748,300+((400-300)/(748-208))*(Y246-208),IF(Y246&lt;=1000,400+((500-400)/(1000-748))*(Y246-748),500)))))))</f>
        <v>34</v>
      </c>
      <c r="AL246" s="4" t="n">
        <f aca="false">ROUND(MAX(AF246,AG246,AH246,AI246,AJ246,AK246),0)</f>
        <v>171</v>
      </c>
      <c r="AM246" s="4" t="str">
        <f aca="false">IF(AL246="","",IF(AL246&lt;=50,"Good",IF(AL246&lt;=100,"Satisfactory",IF(AL246&lt;=200,"Moderate",IF(AL246&lt;=300,"Poor",IF(AL246&lt;=400,"Very Poor","Severe"))))))</f>
        <v>Moderate</v>
      </c>
    </row>
    <row r="247" customFormat="false" ht="15.75" hidden="false" customHeight="false" outlineLevel="0" collapsed="false">
      <c r="A247" s="1" t="s">
        <v>39</v>
      </c>
      <c r="B247" s="1" t="s">
        <v>40</v>
      </c>
      <c r="C247" s="1" t="n">
        <v>28.4595</v>
      </c>
      <c r="D247" s="1" t="n">
        <v>77.0266</v>
      </c>
      <c r="E247" s="5" t="n">
        <v>45911</v>
      </c>
      <c r="F247" s="6" t="s">
        <v>54</v>
      </c>
      <c r="G247" s="1" t="n">
        <v>9</v>
      </c>
      <c r="H247" s="7" t="s">
        <v>80</v>
      </c>
      <c r="I247" s="6" t="s">
        <v>43</v>
      </c>
      <c r="J247" s="7" t="s">
        <v>44</v>
      </c>
      <c r="K247" s="7" t="s">
        <v>45</v>
      </c>
      <c r="L247" s="1" t="n">
        <v>80</v>
      </c>
      <c r="M247" s="1" t="n">
        <v>20.5</v>
      </c>
      <c r="N247" s="1" t="n">
        <v>19.4</v>
      </c>
      <c r="O247" s="1" t="n">
        <v>0</v>
      </c>
      <c r="P247" s="6" t="s">
        <v>43</v>
      </c>
      <c r="Q247" s="6" t="s">
        <v>43</v>
      </c>
      <c r="R247" s="1" t="n">
        <v>1005.6</v>
      </c>
      <c r="S247" s="1" t="n">
        <v>10</v>
      </c>
      <c r="T247" s="1" t="n">
        <v>69.8</v>
      </c>
      <c r="U247" s="1" t="n">
        <v>420</v>
      </c>
      <c r="V247" s="1" t="n">
        <v>256</v>
      </c>
      <c r="W247" s="1" t="n">
        <v>11.7</v>
      </c>
      <c r="X247" s="1" t="n">
        <v>8.3</v>
      </c>
      <c r="Y247" s="1" t="n">
        <v>58</v>
      </c>
      <c r="Z247" s="1" t="n">
        <v>714</v>
      </c>
      <c r="AA247" s="1" t="n">
        <v>190</v>
      </c>
      <c r="AB247" s="7" t="s">
        <v>81</v>
      </c>
      <c r="AC247" s="7" t="s">
        <v>88</v>
      </c>
      <c r="AD247" s="6" t="s">
        <v>43</v>
      </c>
      <c r="AE247" s="6" t="s">
        <v>43</v>
      </c>
      <c r="AF247" s="4" t="n">
        <f aca="false">IF(T247="","",IF(T247&lt;=30,(50/30)*T247,IF(T247&lt;=60,50+((100-50)/(60-30))*(T247-30),IF(T247&lt;=90,100+((200-100)/(90-60))*(T247-60),IF(T247&lt;=120,200+((300-200)/(120-90))*(T247-90),IF(T247&lt;=250,300+((400-300)/(250-120))*(T247-120),IF(T247&lt;=380,400+((500-400)/(380-250))*(T247-250),500)))))))</f>
        <v>132.666666666667</v>
      </c>
      <c r="AG247" s="4" t="n">
        <f aca="false">IF(U247="","",IF(U247&lt;=50,(50/50)*U247,IF(U247&lt;=100,50+((100-50)/(100-50))*(U247-50),IF(U247&lt;=250,100+((200-100)/(250-100))*(U247-100),IF(U247&lt;=350,200+((300-200)/(350-250))*(U247-250),IF(U247&lt;=430,300+((400-300)/(430-350))*(U247-350),IF(U247&lt;=600,400+((500-400)/(600-430))*(U247-430),500)))))))</f>
        <v>387.5</v>
      </c>
      <c r="AH247" s="4" t="n">
        <f aca="false">IF(V247="","",IF((V247/1000)&lt;=1,(50/1)*(V247/1000),IF((V247/1000)&lt;=2,50+((100-50)/(2-1))*(V247/1000-1),IF((V247/1000)&lt;=10,100+((200-100)/(10-2))*(V247/1000-2),IF((V247/1000)&lt;=17,200+((300-200)/(17-10))*(V247/1000-10),IF((V247/1000)&lt;=34,300+((400-300)/(34-17))*(V247/1000-17),IF((V247/1000)&lt;=57,400+((500-400)/(57-34))*(V247/1000-34),500)))))))</f>
        <v>12.8</v>
      </c>
      <c r="AI247" s="4" t="n">
        <f aca="false">IF(W247="","",IF(W247&lt;=40,(50/40)*W247,IF(W247&lt;=80,50+((100-50)/(80-40))*(W247-40),IF(W247&lt;=180,100+((200-100)/(180-80))*(W247-80),IF(W247&lt;=280,200+((300-200)/(280-180))*(W247-180),IF(W247&lt;=400,300+((400-300)/(400-280))*(W247-280),IF(W247&lt;=800,400+((500-400)/(800-400))*(W247-400),500)))))))</f>
        <v>14.625</v>
      </c>
      <c r="AJ247" s="4" t="n">
        <f aca="false">IF(X247="","",IF(X247&lt;=40,(50/40)*X247,IF(X247&lt;=80,50+((100-50)/(80-40))*(X247-40),IF(X247&lt;=380,100+((200-100)/(380-80))*(X247-80),IF(X247&lt;=800,200+((300-200)/(800-380))*(X247-380),IF(X247&lt;=1600,300+((400-300)/(1600-800))*(X247-800),IF(X247&lt;=2100,400+((500-400)/(2100-1600))*(X247-1600),500)))))))</f>
        <v>10.375</v>
      </c>
      <c r="AK247" s="4" t="n">
        <f aca="false">IF(Y247="","",IF(Y247&lt;=50,(50/50)*Y247,IF(Y247&lt;=100,50+((100-50)/(100-50))*(Y247-50),IF(Y247&lt;=168,100+((200-100)/(168-100))*(Y247-100),IF(Y247&lt;=208,200+((300-200)/(208-168))*(Y247-168),IF(Y247&lt;=748,300+((400-300)/(748-208))*(Y247-208),IF(Y247&lt;=1000,400+((500-400)/(1000-748))*(Y247-748),500)))))))</f>
        <v>58</v>
      </c>
      <c r="AL247" s="4" t="n">
        <f aca="false">ROUND(MAX(AF247,AG247,AH247,AI247,AJ247,AK247),0)</f>
        <v>388</v>
      </c>
      <c r="AM247" s="4" t="str">
        <f aca="false">IF(AL247="","",IF(AL247&lt;=50,"Good",IF(AL247&lt;=100,"Satisfactory",IF(AL247&lt;=200,"Moderate",IF(AL247&lt;=300,"Poor",IF(AL247&lt;=400,"Very Poor","Severe"))))))</f>
        <v>Very Poor</v>
      </c>
    </row>
    <row r="248" customFormat="false" ht="15.75" hidden="false" customHeight="false" outlineLevel="0" collapsed="false">
      <c r="A248" s="1" t="s">
        <v>39</v>
      </c>
      <c r="B248" s="1" t="s">
        <v>40</v>
      </c>
      <c r="C248" s="1" t="n">
        <v>28.4595</v>
      </c>
      <c r="D248" s="1" t="n">
        <v>77.0266</v>
      </c>
      <c r="E248" s="5" t="n">
        <v>45911</v>
      </c>
      <c r="F248" s="6" t="s">
        <v>55</v>
      </c>
      <c r="G248" s="1" t="n">
        <v>9</v>
      </c>
      <c r="H248" s="7" t="s">
        <v>80</v>
      </c>
      <c r="I248" s="6" t="s">
        <v>43</v>
      </c>
      <c r="J248" s="7" t="s">
        <v>44</v>
      </c>
      <c r="K248" s="7" t="s">
        <v>56</v>
      </c>
      <c r="L248" s="1" t="n">
        <v>79</v>
      </c>
      <c r="M248" s="1" t="n">
        <v>22.1</v>
      </c>
      <c r="N248" s="1" t="n">
        <v>27</v>
      </c>
      <c r="O248" s="1" t="n">
        <v>0</v>
      </c>
      <c r="P248" s="6" t="s">
        <v>43</v>
      </c>
      <c r="Q248" s="6" t="s">
        <v>43</v>
      </c>
      <c r="R248" s="1" t="n">
        <v>1005.7</v>
      </c>
      <c r="S248" s="1" t="n">
        <v>50</v>
      </c>
      <c r="T248" s="1" t="n">
        <v>68.5</v>
      </c>
      <c r="U248" s="1" t="n">
        <v>420</v>
      </c>
      <c r="V248" s="1" t="n">
        <v>279</v>
      </c>
      <c r="W248" s="1" t="n">
        <v>13.4</v>
      </c>
      <c r="X248" s="1" t="n">
        <v>9.3</v>
      </c>
      <c r="Y248" s="1" t="n">
        <v>57</v>
      </c>
      <c r="Z248" s="1" t="n">
        <v>714</v>
      </c>
      <c r="AA248" s="1" t="n">
        <v>190</v>
      </c>
      <c r="AB248" s="7" t="s">
        <v>81</v>
      </c>
      <c r="AC248" s="7" t="s">
        <v>88</v>
      </c>
      <c r="AD248" s="6" t="s">
        <v>43</v>
      </c>
      <c r="AE248" s="6" t="s">
        <v>43</v>
      </c>
      <c r="AF248" s="4" t="n">
        <f aca="false">IF(T248="","",IF(T248&lt;=30,(50/30)*T248,IF(T248&lt;=60,50+((100-50)/(60-30))*(T248-30),IF(T248&lt;=90,100+((200-100)/(90-60))*(T248-60),IF(T248&lt;=120,200+((300-200)/(120-90))*(T248-90),IF(T248&lt;=250,300+((400-300)/(250-120))*(T248-120),IF(T248&lt;=380,400+((500-400)/(380-250))*(T248-250),500)))))))</f>
        <v>128.333333333333</v>
      </c>
      <c r="AG248" s="4" t="n">
        <f aca="false">IF(U248="","",IF(U248&lt;=50,(50/50)*U248,IF(U248&lt;=100,50+((100-50)/(100-50))*(U248-50),IF(U248&lt;=250,100+((200-100)/(250-100))*(U248-100),IF(U248&lt;=350,200+((300-200)/(350-250))*(U248-250),IF(U248&lt;=430,300+((400-300)/(430-350))*(U248-350),IF(U248&lt;=600,400+((500-400)/(600-430))*(U248-430),500)))))))</f>
        <v>387.5</v>
      </c>
      <c r="AH248" s="4" t="n">
        <f aca="false">IF(V248="","",IF((V248/1000)&lt;=1,(50/1)*(V248/1000),IF((V248/1000)&lt;=2,50+((100-50)/(2-1))*(V248/1000-1),IF((V248/1000)&lt;=10,100+((200-100)/(10-2))*(V248/1000-2),IF((V248/1000)&lt;=17,200+((300-200)/(17-10))*(V248/1000-10),IF((V248/1000)&lt;=34,300+((400-300)/(34-17))*(V248/1000-17),IF((V248/1000)&lt;=57,400+((500-400)/(57-34))*(V248/1000-34),500)))))))</f>
        <v>13.95</v>
      </c>
      <c r="AI248" s="4" t="n">
        <f aca="false">IF(W248="","",IF(W248&lt;=40,(50/40)*W248,IF(W248&lt;=80,50+((100-50)/(80-40))*(W248-40),IF(W248&lt;=180,100+((200-100)/(180-80))*(W248-80),IF(W248&lt;=280,200+((300-200)/(280-180))*(W248-180),IF(W248&lt;=400,300+((400-300)/(400-280))*(W248-280),IF(W248&lt;=800,400+((500-400)/(800-400))*(W248-400),500)))))))</f>
        <v>16.75</v>
      </c>
      <c r="AJ248" s="4" t="n">
        <f aca="false">IF(X248="","",IF(X248&lt;=40,(50/40)*X248,IF(X248&lt;=80,50+((100-50)/(80-40))*(X248-40),IF(X248&lt;=380,100+((200-100)/(380-80))*(X248-80),IF(X248&lt;=800,200+((300-200)/(800-380))*(X248-380),IF(X248&lt;=1600,300+((400-300)/(1600-800))*(X248-800),IF(X248&lt;=2100,400+((500-400)/(2100-1600))*(X248-1600),500)))))))</f>
        <v>11.625</v>
      </c>
      <c r="AK248" s="4" t="n">
        <f aca="false">IF(Y248="","",IF(Y248&lt;=50,(50/50)*Y248,IF(Y248&lt;=100,50+((100-50)/(100-50))*(Y248-50),IF(Y248&lt;=168,100+((200-100)/(168-100))*(Y248-100),IF(Y248&lt;=208,200+((300-200)/(208-168))*(Y248-168),IF(Y248&lt;=748,300+((400-300)/(748-208))*(Y248-208),IF(Y248&lt;=1000,400+((500-400)/(1000-748))*(Y248-748),500)))))))</f>
        <v>57</v>
      </c>
      <c r="AL248" s="4" t="n">
        <f aca="false">ROUND(MAX(AF248,AG248,AH248,AI248,AJ248,AK248),0)</f>
        <v>388</v>
      </c>
      <c r="AM248" s="4" t="str">
        <f aca="false">IF(AL248="","",IF(AL248&lt;=50,"Good",IF(AL248&lt;=100,"Satisfactory",IF(AL248&lt;=200,"Moderate",IF(AL248&lt;=300,"Poor",IF(AL248&lt;=400,"Very Poor","Severe"))))))</f>
        <v>Very Poor</v>
      </c>
    </row>
    <row r="249" customFormat="false" ht="15.75" hidden="false" customHeight="false" outlineLevel="0" collapsed="false">
      <c r="A249" s="1" t="s">
        <v>39</v>
      </c>
      <c r="B249" s="1" t="s">
        <v>40</v>
      </c>
      <c r="C249" s="1" t="n">
        <v>28.4595</v>
      </c>
      <c r="D249" s="1" t="n">
        <v>77.0266</v>
      </c>
      <c r="E249" s="5" t="n">
        <v>45911</v>
      </c>
      <c r="F249" s="6" t="s">
        <v>57</v>
      </c>
      <c r="G249" s="1" t="n">
        <v>9</v>
      </c>
      <c r="H249" s="7" t="s">
        <v>80</v>
      </c>
      <c r="I249" s="6" t="s">
        <v>43</v>
      </c>
      <c r="J249" s="7" t="s">
        <v>44</v>
      </c>
      <c r="K249" s="7" t="s">
        <v>56</v>
      </c>
      <c r="L249" s="1" t="n">
        <v>78</v>
      </c>
      <c r="M249" s="1" t="n">
        <v>22.6</v>
      </c>
      <c r="N249" s="1" t="n">
        <v>27.4</v>
      </c>
      <c r="O249" s="1" t="n">
        <v>0</v>
      </c>
      <c r="P249" s="6" t="s">
        <v>43</v>
      </c>
      <c r="Q249" s="6" t="s">
        <v>43</v>
      </c>
      <c r="R249" s="1" t="n">
        <v>1006.2</v>
      </c>
      <c r="S249" s="1" t="n">
        <v>55</v>
      </c>
      <c r="T249" s="1" t="n">
        <v>72.2</v>
      </c>
      <c r="U249" s="1" t="n">
        <v>420</v>
      </c>
      <c r="V249" s="1" t="n">
        <v>310</v>
      </c>
      <c r="W249" s="1" t="n">
        <v>15.5</v>
      </c>
      <c r="X249" s="1" t="n">
        <v>10.6</v>
      </c>
      <c r="Y249" s="1" t="n">
        <v>57</v>
      </c>
      <c r="Z249" s="1" t="n">
        <v>714</v>
      </c>
      <c r="AA249" s="1" t="n">
        <v>191</v>
      </c>
      <c r="AB249" s="7" t="s">
        <v>81</v>
      </c>
      <c r="AC249" s="7" t="s">
        <v>88</v>
      </c>
      <c r="AD249" s="6" t="s">
        <v>43</v>
      </c>
      <c r="AE249" s="6" t="s">
        <v>43</v>
      </c>
      <c r="AF249" s="4" t="n">
        <f aca="false">IF(T249="","",IF(T249&lt;=30,(50/30)*T249,IF(T249&lt;=60,50+((100-50)/(60-30))*(T249-30),IF(T249&lt;=90,100+((200-100)/(90-60))*(T249-60),IF(T249&lt;=120,200+((300-200)/(120-90))*(T249-90),IF(T249&lt;=250,300+((400-300)/(250-120))*(T249-120),IF(T249&lt;=380,400+((500-400)/(380-250))*(T249-250),500)))))))</f>
        <v>140.666666666667</v>
      </c>
      <c r="AG249" s="4" t="n">
        <f aca="false">IF(U249="","",IF(U249&lt;=50,(50/50)*U249,IF(U249&lt;=100,50+((100-50)/(100-50))*(U249-50),IF(U249&lt;=250,100+((200-100)/(250-100))*(U249-100),IF(U249&lt;=350,200+((300-200)/(350-250))*(U249-250),IF(U249&lt;=430,300+((400-300)/(430-350))*(U249-350),IF(U249&lt;=600,400+((500-400)/(600-430))*(U249-430),500)))))))</f>
        <v>387.5</v>
      </c>
      <c r="AH249" s="4" t="n">
        <f aca="false">IF(V249="","",IF((V249/1000)&lt;=1,(50/1)*(V249/1000),IF((V249/1000)&lt;=2,50+((100-50)/(2-1))*(V249/1000-1),IF((V249/1000)&lt;=10,100+((200-100)/(10-2))*(V249/1000-2),IF((V249/1000)&lt;=17,200+((300-200)/(17-10))*(V249/1000-10),IF((V249/1000)&lt;=34,300+((400-300)/(34-17))*(V249/1000-17),IF((V249/1000)&lt;=57,400+((500-400)/(57-34))*(V249/1000-34),500)))))))</f>
        <v>15.5</v>
      </c>
      <c r="AI249" s="4" t="n">
        <f aca="false">IF(W249="","",IF(W249&lt;=40,(50/40)*W249,IF(W249&lt;=80,50+((100-50)/(80-40))*(W249-40),IF(W249&lt;=180,100+((200-100)/(180-80))*(W249-80),IF(W249&lt;=280,200+((300-200)/(280-180))*(W249-180),IF(W249&lt;=400,300+((400-300)/(400-280))*(W249-280),IF(W249&lt;=800,400+((500-400)/(800-400))*(W249-400),500)))))))</f>
        <v>19.375</v>
      </c>
      <c r="AJ249" s="4" t="n">
        <f aca="false">IF(X249="","",IF(X249&lt;=40,(50/40)*X249,IF(X249&lt;=80,50+((100-50)/(80-40))*(X249-40),IF(X249&lt;=380,100+((200-100)/(380-80))*(X249-80),IF(X249&lt;=800,200+((300-200)/(800-380))*(X249-380),IF(X249&lt;=1600,300+((400-300)/(1600-800))*(X249-800),IF(X249&lt;=2100,400+((500-400)/(2100-1600))*(X249-1600),500)))))))</f>
        <v>13.25</v>
      </c>
      <c r="AK249" s="4" t="n">
        <f aca="false">IF(Y249="","",IF(Y249&lt;=50,(50/50)*Y249,IF(Y249&lt;=100,50+((100-50)/(100-50))*(Y249-50),IF(Y249&lt;=168,100+((200-100)/(168-100))*(Y249-100),IF(Y249&lt;=208,200+((300-200)/(208-168))*(Y249-168),IF(Y249&lt;=748,300+((400-300)/(748-208))*(Y249-208),IF(Y249&lt;=1000,400+((500-400)/(1000-748))*(Y249-748),500)))))))</f>
        <v>57</v>
      </c>
      <c r="AL249" s="4" t="n">
        <f aca="false">ROUND(MAX(AF249,AG249,AH249,AI249,AJ249,AK249),0)</f>
        <v>388</v>
      </c>
      <c r="AM249" s="4" t="str">
        <f aca="false">IF(AL249="","",IF(AL249&lt;=50,"Good",IF(AL249&lt;=100,"Satisfactory",IF(AL249&lt;=200,"Moderate",IF(AL249&lt;=300,"Poor",IF(AL249&lt;=400,"Very Poor","Severe"))))))</f>
        <v>Very Poor</v>
      </c>
    </row>
    <row r="250" customFormat="false" ht="15.75" hidden="false" customHeight="false" outlineLevel="0" collapsed="false">
      <c r="A250" s="1" t="s">
        <v>39</v>
      </c>
      <c r="B250" s="1" t="s">
        <v>40</v>
      </c>
      <c r="C250" s="1" t="n">
        <v>28.4595</v>
      </c>
      <c r="D250" s="1" t="n">
        <v>77.0266</v>
      </c>
      <c r="E250" s="5" t="n">
        <v>45911</v>
      </c>
      <c r="F250" s="6" t="s">
        <v>58</v>
      </c>
      <c r="G250" s="1" t="n">
        <v>9</v>
      </c>
      <c r="H250" s="7" t="s">
        <v>80</v>
      </c>
      <c r="I250" s="6" t="s">
        <v>43</v>
      </c>
      <c r="J250" s="7" t="s">
        <v>44</v>
      </c>
      <c r="K250" s="7" t="s">
        <v>56</v>
      </c>
      <c r="L250" s="1" t="n">
        <v>76</v>
      </c>
      <c r="M250" s="1" t="n">
        <v>23.3</v>
      </c>
      <c r="N250" s="1" t="n">
        <v>26.6</v>
      </c>
      <c r="O250" s="1" t="n">
        <v>0</v>
      </c>
      <c r="P250" s="6" t="s">
        <v>43</v>
      </c>
      <c r="Q250" s="6" t="s">
        <v>43</v>
      </c>
      <c r="R250" s="1" t="n">
        <v>1006.5</v>
      </c>
      <c r="S250" s="1" t="n">
        <v>40</v>
      </c>
      <c r="T250" s="1" t="n">
        <v>67.8</v>
      </c>
      <c r="U250" s="1" t="n">
        <v>420</v>
      </c>
      <c r="V250" s="1" t="n">
        <v>318</v>
      </c>
      <c r="W250" s="1" t="n">
        <v>15.9</v>
      </c>
      <c r="X250" s="1" t="n">
        <v>11.4</v>
      </c>
      <c r="Y250" s="1" t="n">
        <v>62</v>
      </c>
      <c r="Z250" s="1" t="n">
        <v>714</v>
      </c>
      <c r="AA250" s="1" t="n">
        <v>192</v>
      </c>
      <c r="AB250" s="7" t="s">
        <v>81</v>
      </c>
      <c r="AC250" s="7" t="s">
        <v>88</v>
      </c>
      <c r="AD250" s="6" t="s">
        <v>43</v>
      </c>
      <c r="AE250" s="6" t="s">
        <v>43</v>
      </c>
      <c r="AF250" s="4" t="n">
        <f aca="false">IF(T250="","",IF(T250&lt;=30,(50/30)*T250,IF(T250&lt;=60,50+((100-50)/(60-30))*(T250-30),IF(T250&lt;=90,100+((200-100)/(90-60))*(T250-60),IF(T250&lt;=120,200+((300-200)/(120-90))*(T250-90),IF(T250&lt;=250,300+((400-300)/(250-120))*(T250-120),IF(T250&lt;=380,400+((500-400)/(380-250))*(T250-250),500)))))))</f>
        <v>126</v>
      </c>
      <c r="AG250" s="4" t="n">
        <f aca="false">IF(U250="","",IF(U250&lt;=50,(50/50)*U250,IF(U250&lt;=100,50+((100-50)/(100-50))*(U250-50),IF(U250&lt;=250,100+((200-100)/(250-100))*(U250-100),IF(U250&lt;=350,200+((300-200)/(350-250))*(U250-250),IF(U250&lt;=430,300+((400-300)/(430-350))*(U250-350),IF(U250&lt;=600,400+((500-400)/(600-430))*(U250-430),500)))))))</f>
        <v>387.5</v>
      </c>
      <c r="AH250" s="4" t="n">
        <f aca="false">IF(V250="","",IF((V250/1000)&lt;=1,(50/1)*(V250/1000),IF((V250/1000)&lt;=2,50+((100-50)/(2-1))*(V250/1000-1),IF((V250/1000)&lt;=10,100+((200-100)/(10-2))*(V250/1000-2),IF((V250/1000)&lt;=17,200+((300-200)/(17-10))*(V250/1000-10),IF((V250/1000)&lt;=34,300+((400-300)/(34-17))*(V250/1000-17),IF((V250/1000)&lt;=57,400+((500-400)/(57-34))*(V250/1000-34),500)))))))</f>
        <v>15.9</v>
      </c>
      <c r="AI250" s="4" t="n">
        <f aca="false">IF(W250="","",IF(W250&lt;=40,(50/40)*W250,IF(W250&lt;=80,50+((100-50)/(80-40))*(W250-40),IF(W250&lt;=180,100+((200-100)/(180-80))*(W250-80),IF(W250&lt;=280,200+((300-200)/(280-180))*(W250-180),IF(W250&lt;=400,300+((400-300)/(400-280))*(W250-280),IF(W250&lt;=800,400+((500-400)/(800-400))*(W250-400),500)))))))</f>
        <v>19.875</v>
      </c>
      <c r="AJ250" s="4" t="n">
        <f aca="false">IF(X250="","",IF(X250&lt;=40,(50/40)*X250,IF(X250&lt;=80,50+((100-50)/(80-40))*(X250-40),IF(X250&lt;=380,100+((200-100)/(380-80))*(X250-80),IF(X250&lt;=800,200+((300-200)/(800-380))*(X250-380),IF(X250&lt;=1600,300+((400-300)/(1600-800))*(X250-800),IF(X250&lt;=2100,400+((500-400)/(2100-1600))*(X250-1600),500)))))))</f>
        <v>14.25</v>
      </c>
      <c r="AK250" s="4" t="n">
        <f aca="false">IF(Y250="","",IF(Y250&lt;=50,(50/50)*Y250,IF(Y250&lt;=100,50+((100-50)/(100-50))*(Y250-50),IF(Y250&lt;=168,100+((200-100)/(168-100))*(Y250-100),IF(Y250&lt;=208,200+((300-200)/(208-168))*(Y250-168),IF(Y250&lt;=748,300+((400-300)/(748-208))*(Y250-208),IF(Y250&lt;=1000,400+((500-400)/(1000-748))*(Y250-748),500)))))))</f>
        <v>62</v>
      </c>
      <c r="AL250" s="4" t="n">
        <f aca="false">ROUND(MAX(AF250,AG250,AH250,AI250,AJ250,AK250),0)</f>
        <v>388</v>
      </c>
      <c r="AM250" s="4" t="str">
        <f aca="false">IF(AL250="","",IF(AL250&lt;=50,"Good",IF(AL250&lt;=100,"Satisfactory",IF(AL250&lt;=200,"Moderate",IF(AL250&lt;=300,"Poor",IF(AL250&lt;=400,"Very Poor","Severe"))))))</f>
        <v>Very Poor</v>
      </c>
    </row>
    <row r="251" customFormat="false" ht="15.75" hidden="false" customHeight="false" outlineLevel="0" collapsed="false">
      <c r="A251" s="1" t="s">
        <v>39</v>
      </c>
      <c r="B251" s="1" t="s">
        <v>40</v>
      </c>
      <c r="C251" s="1" t="n">
        <v>28.4595</v>
      </c>
      <c r="D251" s="1" t="n">
        <v>77.0266</v>
      </c>
      <c r="E251" s="5" t="n">
        <v>45911</v>
      </c>
      <c r="F251" s="6" t="s">
        <v>59</v>
      </c>
      <c r="G251" s="1" t="n">
        <v>9</v>
      </c>
      <c r="H251" s="7" t="s">
        <v>80</v>
      </c>
      <c r="I251" s="6" t="s">
        <v>43</v>
      </c>
      <c r="J251" s="7" t="s">
        <v>44</v>
      </c>
      <c r="K251" s="7" t="s">
        <v>60</v>
      </c>
      <c r="L251" s="1" t="n">
        <v>72</v>
      </c>
      <c r="M251" s="1" t="n">
        <v>23.4</v>
      </c>
      <c r="N251" s="1" t="n">
        <v>34.6</v>
      </c>
      <c r="O251" s="1" t="n">
        <v>0</v>
      </c>
      <c r="P251" s="6" t="s">
        <v>43</v>
      </c>
      <c r="Q251" s="6" t="s">
        <v>43</v>
      </c>
      <c r="R251" s="1" t="n">
        <v>1006.8</v>
      </c>
      <c r="S251" s="1" t="n">
        <v>9</v>
      </c>
      <c r="T251" s="1" t="n">
        <v>67.5</v>
      </c>
      <c r="U251" s="1" t="n">
        <v>420</v>
      </c>
      <c r="V251" s="1" t="n">
        <v>282</v>
      </c>
      <c r="W251" s="1" t="n">
        <v>12.8</v>
      </c>
      <c r="X251" s="1" t="n">
        <v>11.4</v>
      </c>
      <c r="Y251" s="1" t="n">
        <v>76</v>
      </c>
      <c r="Z251" s="1" t="n">
        <v>714</v>
      </c>
      <c r="AA251" s="1" t="n">
        <v>193</v>
      </c>
      <c r="AB251" s="7" t="s">
        <v>81</v>
      </c>
      <c r="AC251" s="7" t="s">
        <v>88</v>
      </c>
      <c r="AD251" s="6" t="s">
        <v>43</v>
      </c>
      <c r="AE251" s="6" t="s">
        <v>43</v>
      </c>
      <c r="AF251" s="4" t="n">
        <f aca="false">IF(T251="","",IF(T251&lt;=30,(50/30)*T251,IF(T251&lt;=60,50+((100-50)/(60-30))*(T251-30),IF(T251&lt;=90,100+((200-100)/(90-60))*(T251-60),IF(T251&lt;=120,200+((300-200)/(120-90))*(T251-90),IF(T251&lt;=250,300+((400-300)/(250-120))*(T251-120),IF(T251&lt;=380,400+((500-400)/(380-250))*(T251-250),500)))))))</f>
        <v>125</v>
      </c>
      <c r="AG251" s="4" t="n">
        <f aca="false">IF(U251="","",IF(U251&lt;=50,(50/50)*U251,IF(U251&lt;=100,50+((100-50)/(100-50))*(U251-50),IF(U251&lt;=250,100+((200-100)/(250-100))*(U251-100),IF(U251&lt;=350,200+((300-200)/(350-250))*(U251-250),IF(U251&lt;=430,300+((400-300)/(430-350))*(U251-350),IF(U251&lt;=600,400+((500-400)/(600-430))*(U251-430),500)))))))</f>
        <v>387.5</v>
      </c>
      <c r="AH251" s="4" t="n">
        <f aca="false">IF(V251="","",IF((V251/1000)&lt;=1,(50/1)*(V251/1000),IF((V251/1000)&lt;=2,50+((100-50)/(2-1))*(V251/1000-1),IF((V251/1000)&lt;=10,100+((200-100)/(10-2))*(V251/1000-2),IF((V251/1000)&lt;=17,200+((300-200)/(17-10))*(V251/1000-10),IF((V251/1000)&lt;=34,300+((400-300)/(34-17))*(V251/1000-17),IF((V251/1000)&lt;=57,400+((500-400)/(57-34))*(V251/1000-34),500)))))))</f>
        <v>14.1</v>
      </c>
      <c r="AI251" s="4" t="n">
        <f aca="false">IF(W251="","",IF(W251&lt;=40,(50/40)*W251,IF(W251&lt;=80,50+((100-50)/(80-40))*(W251-40),IF(W251&lt;=180,100+((200-100)/(180-80))*(W251-80),IF(W251&lt;=280,200+((300-200)/(280-180))*(W251-180),IF(W251&lt;=400,300+((400-300)/(400-280))*(W251-280),IF(W251&lt;=800,400+((500-400)/(800-400))*(W251-400),500)))))))</f>
        <v>16</v>
      </c>
      <c r="AJ251" s="4" t="n">
        <f aca="false">IF(X251="","",IF(X251&lt;=40,(50/40)*X251,IF(X251&lt;=80,50+((100-50)/(80-40))*(X251-40),IF(X251&lt;=380,100+((200-100)/(380-80))*(X251-80),IF(X251&lt;=800,200+((300-200)/(800-380))*(X251-380),IF(X251&lt;=1600,300+((400-300)/(1600-800))*(X251-800),IF(X251&lt;=2100,400+((500-400)/(2100-1600))*(X251-1600),500)))))))</f>
        <v>14.25</v>
      </c>
      <c r="AK251" s="4" t="n">
        <f aca="false">IF(Y251="","",IF(Y251&lt;=50,(50/50)*Y251,IF(Y251&lt;=100,50+((100-50)/(100-50))*(Y251-50),IF(Y251&lt;=168,100+((200-100)/(168-100))*(Y251-100),IF(Y251&lt;=208,200+((300-200)/(208-168))*(Y251-168),IF(Y251&lt;=748,300+((400-300)/(748-208))*(Y251-208),IF(Y251&lt;=1000,400+((500-400)/(1000-748))*(Y251-748),500)))))))</f>
        <v>76</v>
      </c>
      <c r="AL251" s="4" t="n">
        <f aca="false">ROUND(MAX(AF251,AG251,AH251,AI251,AJ251,AK251),0)</f>
        <v>388</v>
      </c>
      <c r="AM251" s="4" t="str">
        <f aca="false">IF(AL251="","",IF(AL251&lt;=50,"Good",IF(AL251&lt;=100,"Satisfactory",IF(AL251&lt;=200,"Moderate",IF(AL251&lt;=300,"Poor",IF(AL251&lt;=400,"Very Poor","Severe"))))))</f>
        <v>Very Poor</v>
      </c>
    </row>
    <row r="252" customFormat="false" ht="15.75" hidden="false" customHeight="false" outlineLevel="0" collapsed="false">
      <c r="A252" s="1" t="s">
        <v>39</v>
      </c>
      <c r="B252" s="1" t="s">
        <v>40</v>
      </c>
      <c r="C252" s="1" t="n">
        <v>28.4595</v>
      </c>
      <c r="D252" s="1" t="n">
        <v>77.0266</v>
      </c>
      <c r="E252" s="5" t="n">
        <v>45911</v>
      </c>
      <c r="F252" s="6" t="s">
        <v>61</v>
      </c>
      <c r="G252" s="1" t="n">
        <v>9</v>
      </c>
      <c r="H252" s="7" t="s">
        <v>80</v>
      </c>
      <c r="I252" s="6" t="s">
        <v>43</v>
      </c>
      <c r="J252" s="7" t="s">
        <v>44</v>
      </c>
      <c r="K252" s="7" t="s">
        <v>60</v>
      </c>
      <c r="L252" s="1" t="n">
        <v>67</v>
      </c>
      <c r="M252" s="1" t="n">
        <v>23.5</v>
      </c>
      <c r="N252" s="1" t="n">
        <v>38.2</v>
      </c>
      <c r="O252" s="1" t="n">
        <v>0</v>
      </c>
      <c r="P252" s="6" t="s">
        <v>43</v>
      </c>
      <c r="Q252" s="6" t="s">
        <v>43</v>
      </c>
      <c r="R252" s="1" t="n">
        <v>1006.9</v>
      </c>
      <c r="S252" s="1" t="n">
        <v>14</v>
      </c>
      <c r="T252" s="1" t="n">
        <v>65.4</v>
      </c>
      <c r="U252" s="1" t="n">
        <v>420</v>
      </c>
      <c r="V252" s="1" t="n">
        <v>223</v>
      </c>
      <c r="W252" s="1" t="n">
        <v>7.9</v>
      </c>
      <c r="X252" s="1" t="n">
        <v>10.8</v>
      </c>
      <c r="Y252" s="1" t="n">
        <v>95</v>
      </c>
      <c r="Z252" s="1" t="n">
        <v>714</v>
      </c>
      <c r="AA252" s="1" t="n">
        <v>193</v>
      </c>
      <c r="AB252" s="7" t="s">
        <v>81</v>
      </c>
      <c r="AC252" s="7" t="s">
        <v>88</v>
      </c>
      <c r="AD252" s="6" t="s">
        <v>43</v>
      </c>
      <c r="AE252" s="6" t="s">
        <v>43</v>
      </c>
      <c r="AF252" s="4" t="n">
        <f aca="false">IF(T252="","",IF(T252&lt;=30,(50/30)*T252,IF(T252&lt;=60,50+((100-50)/(60-30))*(T252-30),IF(T252&lt;=90,100+((200-100)/(90-60))*(T252-60),IF(T252&lt;=120,200+((300-200)/(120-90))*(T252-90),IF(T252&lt;=250,300+((400-300)/(250-120))*(T252-120),IF(T252&lt;=380,400+((500-400)/(380-250))*(T252-250),500)))))))</f>
        <v>118</v>
      </c>
      <c r="AG252" s="4" t="n">
        <f aca="false">IF(U252="","",IF(U252&lt;=50,(50/50)*U252,IF(U252&lt;=100,50+((100-50)/(100-50))*(U252-50),IF(U252&lt;=250,100+((200-100)/(250-100))*(U252-100),IF(U252&lt;=350,200+((300-200)/(350-250))*(U252-250),IF(U252&lt;=430,300+((400-300)/(430-350))*(U252-350),IF(U252&lt;=600,400+((500-400)/(600-430))*(U252-430),500)))))))</f>
        <v>387.5</v>
      </c>
      <c r="AH252" s="4" t="n">
        <f aca="false">IF(V252="","",IF((V252/1000)&lt;=1,(50/1)*(V252/1000),IF((V252/1000)&lt;=2,50+((100-50)/(2-1))*(V252/1000-1),IF((V252/1000)&lt;=10,100+((200-100)/(10-2))*(V252/1000-2),IF((V252/1000)&lt;=17,200+((300-200)/(17-10))*(V252/1000-10),IF((V252/1000)&lt;=34,300+((400-300)/(34-17))*(V252/1000-17),IF((V252/1000)&lt;=57,400+((500-400)/(57-34))*(V252/1000-34),500)))))))</f>
        <v>11.15</v>
      </c>
      <c r="AI252" s="4" t="n">
        <f aca="false">IF(W252="","",IF(W252&lt;=40,(50/40)*W252,IF(W252&lt;=80,50+((100-50)/(80-40))*(W252-40),IF(W252&lt;=180,100+((200-100)/(180-80))*(W252-80),IF(W252&lt;=280,200+((300-200)/(280-180))*(W252-180),IF(W252&lt;=400,300+((400-300)/(400-280))*(W252-280),IF(W252&lt;=800,400+((500-400)/(800-400))*(W252-400),500)))))))</f>
        <v>9.875</v>
      </c>
      <c r="AJ252" s="4" t="n">
        <f aca="false">IF(X252="","",IF(X252&lt;=40,(50/40)*X252,IF(X252&lt;=80,50+((100-50)/(80-40))*(X252-40),IF(X252&lt;=380,100+((200-100)/(380-80))*(X252-80),IF(X252&lt;=800,200+((300-200)/(800-380))*(X252-380),IF(X252&lt;=1600,300+((400-300)/(1600-800))*(X252-800),IF(X252&lt;=2100,400+((500-400)/(2100-1600))*(X252-1600),500)))))))</f>
        <v>13.5</v>
      </c>
      <c r="AK252" s="4" t="n">
        <f aca="false">IF(Y252="","",IF(Y252&lt;=50,(50/50)*Y252,IF(Y252&lt;=100,50+((100-50)/(100-50))*(Y252-50),IF(Y252&lt;=168,100+((200-100)/(168-100))*(Y252-100),IF(Y252&lt;=208,200+((300-200)/(208-168))*(Y252-168),IF(Y252&lt;=748,300+((400-300)/(748-208))*(Y252-208),IF(Y252&lt;=1000,400+((500-400)/(1000-748))*(Y252-748),500)))))))</f>
        <v>95</v>
      </c>
      <c r="AL252" s="4" t="n">
        <f aca="false">ROUND(MAX(AF252,AG252,AH252,AI252,AJ252,AK252),0)</f>
        <v>388</v>
      </c>
      <c r="AM252" s="4" t="str">
        <f aca="false">IF(AL252="","",IF(AL252&lt;=50,"Good",IF(AL252&lt;=100,"Satisfactory",IF(AL252&lt;=200,"Moderate",IF(AL252&lt;=300,"Poor",IF(AL252&lt;=400,"Very Poor","Severe"))))))</f>
        <v>Very Poor</v>
      </c>
    </row>
    <row r="253" customFormat="false" ht="15.75" hidden="false" customHeight="false" outlineLevel="0" collapsed="false">
      <c r="A253" s="1" t="s">
        <v>39</v>
      </c>
      <c r="B253" s="1" t="s">
        <v>40</v>
      </c>
      <c r="C253" s="1" t="n">
        <v>28.4595</v>
      </c>
      <c r="D253" s="1" t="n">
        <v>77.0266</v>
      </c>
      <c r="E253" s="5" t="n">
        <v>45911</v>
      </c>
      <c r="F253" s="6" t="s">
        <v>62</v>
      </c>
      <c r="G253" s="1" t="n">
        <v>9</v>
      </c>
      <c r="H253" s="7" t="s">
        <v>80</v>
      </c>
      <c r="I253" s="6" t="s">
        <v>43</v>
      </c>
      <c r="J253" s="7" t="s">
        <v>44</v>
      </c>
      <c r="K253" s="7" t="s">
        <v>60</v>
      </c>
      <c r="L253" s="1" t="n">
        <v>62</v>
      </c>
      <c r="M253" s="1" t="n">
        <v>23</v>
      </c>
      <c r="N253" s="1" t="n">
        <v>40</v>
      </c>
      <c r="O253" s="1" t="n">
        <v>0</v>
      </c>
      <c r="P253" s="6" t="s">
        <v>43</v>
      </c>
      <c r="Q253" s="6" t="s">
        <v>43</v>
      </c>
      <c r="R253" s="1" t="n">
        <v>1006.6</v>
      </c>
      <c r="S253" s="1" t="n">
        <v>44</v>
      </c>
      <c r="T253" s="1" t="n">
        <v>59.8</v>
      </c>
      <c r="U253" s="1" t="n">
        <v>420</v>
      </c>
      <c r="V253" s="1" t="n">
        <v>178</v>
      </c>
      <c r="W253" s="1" t="n">
        <v>4.3</v>
      </c>
      <c r="X253" s="1" t="n">
        <v>10.1</v>
      </c>
      <c r="Y253" s="1" t="n">
        <v>108</v>
      </c>
      <c r="Z253" s="1" t="n">
        <v>714</v>
      </c>
      <c r="AA253" s="1" t="n">
        <v>200</v>
      </c>
      <c r="AB253" s="7" t="s">
        <v>81</v>
      </c>
      <c r="AC253" s="7" t="s">
        <v>48</v>
      </c>
      <c r="AD253" s="6" t="s">
        <v>43</v>
      </c>
      <c r="AE253" s="6" t="s">
        <v>43</v>
      </c>
      <c r="AF253" s="4" t="n">
        <f aca="false">IF(T253="","",IF(T253&lt;=30,(50/30)*T253,IF(T253&lt;=60,50+((100-50)/(60-30))*(T253-30),IF(T253&lt;=90,100+((200-100)/(90-60))*(T253-60),IF(T253&lt;=120,200+((300-200)/(120-90))*(T253-90),IF(T253&lt;=250,300+((400-300)/(250-120))*(T253-120),IF(T253&lt;=380,400+((500-400)/(380-250))*(T253-250),500)))))))</f>
        <v>99.6666666666667</v>
      </c>
      <c r="AG253" s="4" t="n">
        <f aca="false">IF(U253="","",IF(U253&lt;=50,(50/50)*U253,IF(U253&lt;=100,50+((100-50)/(100-50))*(U253-50),IF(U253&lt;=250,100+((200-100)/(250-100))*(U253-100),IF(U253&lt;=350,200+((300-200)/(350-250))*(U253-250),IF(U253&lt;=430,300+((400-300)/(430-350))*(U253-350),IF(U253&lt;=600,400+((500-400)/(600-430))*(U253-430),500)))))))</f>
        <v>387.5</v>
      </c>
      <c r="AH253" s="4" t="n">
        <f aca="false">IF(V253="","",IF((V253/1000)&lt;=1,(50/1)*(V253/1000),IF((V253/1000)&lt;=2,50+((100-50)/(2-1))*(V253/1000-1),IF((V253/1000)&lt;=10,100+((200-100)/(10-2))*(V253/1000-2),IF((V253/1000)&lt;=17,200+((300-200)/(17-10))*(V253/1000-10),IF((V253/1000)&lt;=34,300+((400-300)/(34-17))*(V253/1000-17),IF((V253/1000)&lt;=57,400+((500-400)/(57-34))*(V253/1000-34),500)))))))</f>
        <v>8.9</v>
      </c>
      <c r="AI253" s="4" t="n">
        <f aca="false">IF(W253="","",IF(W253&lt;=40,(50/40)*W253,IF(W253&lt;=80,50+((100-50)/(80-40))*(W253-40),IF(W253&lt;=180,100+((200-100)/(180-80))*(W253-80),IF(W253&lt;=280,200+((300-200)/(280-180))*(W253-180),IF(W253&lt;=400,300+((400-300)/(400-280))*(W253-280),IF(W253&lt;=800,400+((500-400)/(800-400))*(W253-400),500)))))))</f>
        <v>5.375</v>
      </c>
      <c r="AJ253" s="4" t="n">
        <f aca="false">IF(X253="","",IF(X253&lt;=40,(50/40)*X253,IF(X253&lt;=80,50+((100-50)/(80-40))*(X253-40),IF(X253&lt;=380,100+((200-100)/(380-80))*(X253-80),IF(X253&lt;=800,200+((300-200)/(800-380))*(X253-380),IF(X253&lt;=1600,300+((400-300)/(1600-800))*(X253-800),IF(X253&lt;=2100,400+((500-400)/(2100-1600))*(X253-1600),500)))))))</f>
        <v>12.625</v>
      </c>
      <c r="AK253" s="4" t="n">
        <f aca="false">IF(Y253="","",IF(Y253&lt;=50,(50/50)*Y253,IF(Y253&lt;=100,50+((100-50)/(100-50))*(Y253-50),IF(Y253&lt;=168,100+((200-100)/(168-100))*(Y253-100),IF(Y253&lt;=208,200+((300-200)/(208-168))*(Y253-168),IF(Y253&lt;=748,300+((400-300)/(748-208))*(Y253-208),IF(Y253&lt;=1000,400+((500-400)/(1000-748))*(Y253-748),500)))))))</f>
        <v>111.764705882353</v>
      </c>
      <c r="AL253" s="4" t="n">
        <f aca="false">ROUND(MAX(AF253,AG253,AH253,AI253,AJ253,AK253),0)</f>
        <v>388</v>
      </c>
      <c r="AM253" s="4" t="str">
        <f aca="false">IF(AL253="","",IF(AL253&lt;=50,"Good",IF(AL253&lt;=100,"Satisfactory",IF(AL253&lt;=200,"Moderate",IF(AL253&lt;=300,"Poor",IF(AL253&lt;=400,"Very Poor","Severe"))))))</f>
        <v>Very Poor</v>
      </c>
    </row>
    <row r="254" customFormat="false" ht="15.75" hidden="false" customHeight="false" outlineLevel="0" collapsed="false">
      <c r="A254" s="1" t="s">
        <v>39</v>
      </c>
      <c r="B254" s="1" t="s">
        <v>40</v>
      </c>
      <c r="C254" s="1" t="n">
        <v>28.4595</v>
      </c>
      <c r="D254" s="1" t="n">
        <v>77.0266</v>
      </c>
      <c r="E254" s="5" t="n">
        <v>45911</v>
      </c>
      <c r="F254" s="6" t="s">
        <v>63</v>
      </c>
      <c r="G254" s="1" t="n">
        <v>9</v>
      </c>
      <c r="H254" s="7" t="s">
        <v>80</v>
      </c>
      <c r="I254" s="6" t="s">
        <v>43</v>
      </c>
      <c r="J254" s="7" t="s">
        <v>44</v>
      </c>
      <c r="K254" s="7" t="s">
        <v>60</v>
      </c>
      <c r="L254" s="1" t="n">
        <v>59</v>
      </c>
      <c r="M254" s="1" t="n">
        <v>22.7</v>
      </c>
      <c r="N254" s="1" t="n">
        <v>39.2</v>
      </c>
      <c r="O254" s="1" t="n">
        <v>0</v>
      </c>
      <c r="P254" s="6" t="s">
        <v>43</v>
      </c>
      <c r="Q254" s="6" t="s">
        <v>43</v>
      </c>
      <c r="R254" s="1" t="n">
        <v>1005.8</v>
      </c>
      <c r="S254" s="1" t="n">
        <v>46</v>
      </c>
      <c r="T254" s="1" t="n">
        <v>59.4</v>
      </c>
      <c r="U254" s="1" t="n">
        <v>420</v>
      </c>
      <c r="V254" s="1" t="n">
        <v>156</v>
      </c>
      <c r="W254" s="1" t="n">
        <v>2.7</v>
      </c>
      <c r="X254" s="1" t="n">
        <v>8.9</v>
      </c>
      <c r="Y254" s="1" t="n">
        <v>112</v>
      </c>
      <c r="Z254" s="1" t="n">
        <v>714</v>
      </c>
      <c r="AA254" s="1" t="n">
        <v>223</v>
      </c>
      <c r="AB254" s="7" t="s">
        <v>89</v>
      </c>
      <c r="AC254" s="7" t="s">
        <v>81</v>
      </c>
      <c r="AD254" s="7" t="s">
        <v>48</v>
      </c>
      <c r="AE254" s="6" t="s">
        <v>43</v>
      </c>
      <c r="AF254" s="4" t="n">
        <f aca="false">IF(T254="","",IF(T254&lt;=30,(50/30)*T254,IF(T254&lt;=60,50+((100-50)/(60-30))*(T254-30),IF(T254&lt;=90,100+((200-100)/(90-60))*(T254-60),IF(T254&lt;=120,200+((300-200)/(120-90))*(T254-90),IF(T254&lt;=250,300+((400-300)/(250-120))*(T254-120),IF(T254&lt;=380,400+((500-400)/(380-250))*(T254-250),500)))))))</f>
        <v>99</v>
      </c>
      <c r="AG254" s="4" t="n">
        <f aca="false">IF(U254="","",IF(U254&lt;=50,(50/50)*U254,IF(U254&lt;=100,50+((100-50)/(100-50))*(U254-50),IF(U254&lt;=250,100+((200-100)/(250-100))*(U254-100),IF(U254&lt;=350,200+((300-200)/(350-250))*(U254-250),IF(U254&lt;=430,300+((400-300)/(430-350))*(U254-350),IF(U254&lt;=600,400+((500-400)/(600-430))*(U254-430),500)))))))</f>
        <v>387.5</v>
      </c>
      <c r="AH254" s="4" t="n">
        <f aca="false">IF(V254="","",IF((V254/1000)&lt;=1,(50/1)*(V254/1000),IF((V254/1000)&lt;=2,50+((100-50)/(2-1))*(V254/1000-1),IF((V254/1000)&lt;=10,100+((200-100)/(10-2))*(V254/1000-2),IF((V254/1000)&lt;=17,200+((300-200)/(17-10))*(V254/1000-10),IF((V254/1000)&lt;=34,300+((400-300)/(34-17))*(V254/1000-17),IF((V254/1000)&lt;=57,400+((500-400)/(57-34))*(V254/1000-34),500)))))))</f>
        <v>7.8</v>
      </c>
      <c r="AI254" s="4" t="n">
        <f aca="false">IF(W254="","",IF(W254&lt;=40,(50/40)*W254,IF(W254&lt;=80,50+((100-50)/(80-40))*(W254-40),IF(W254&lt;=180,100+((200-100)/(180-80))*(W254-80),IF(W254&lt;=280,200+((300-200)/(280-180))*(W254-180),IF(W254&lt;=400,300+((400-300)/(400-280))*(W254-280),IF(W254&lt;=800,400+((500-400)/(800-400))*(W254-400),500)))))))</f>
        <v>3.375</v>
      </c>
      <c r="AJ254" s="4" t="n">
        <f aca="false">IF(X254="","",IF(X254&lt;=40,(50/40)*X254,IF(X254&lt;=80,50+((100-50)/(80-40))*(X254-40),IF(X254&lt;=380,100+((200-100)/(380-80))*(X254-80),IF(X254&lt;=800,200+((300-200)/(800-380))*(X254-380),IF(X254&lt;=1600,300+((400-300)/(1600-800))*(X254-800),IF(X254&lt;=2100,400+((500-400)/(2100-1600))*(X254-1600),500)))))))</f>
        <v>11.125</v>
      </c>
      <c r="AK254" s="4" t="n">
        <f aca="false">IF(Y254="","",IF(Y254&lt;=50,(50/50)*Y254,IF(Y254&lt;=100,50+((100-50)/(100-50))*(Y254-50),IF(Y254&lt;=168,100+((200-100)/(168-100))*(Y254-100),IF(Y254&lt;=208,200+((300-200)/(208-168))*(Y254-168),IF(Y254&lt;=748,300+((400-300)/(748-208))*(Y254-208),IF(Y254&lt;=1000,400+((500-400)/(1000-748))*(Y254-748),500)))))))</f>
        <v>117.647058823529</v>
      </c>
      <c r="AL254" s="4" t="n">
        <f aca="false">ROUND(MAX(AF254,AG254,AH254,AI254,AJ254,AK254),0)</f>
        <v>388</v>
      </c>
      <c r="AM254" s="4" t="str">
        <f aca="false">IF(AL254="","",IF(AL254&lt;=50,"Good",IF(AL254&lt;=100,"Satisfactory",IF(AL254&lt;=200,"Moderate",IF(AL254&lt;=300,"Poor",IF(AL254&lt;=400,"Very Poor","Severe"))))))</f>
        <v>Very Poor</v>
      </c>
    </row>
    <row r="255" customFormat="false" ht="15.75" hidden="false" customHeight="false" outlineLevel="0" collapsed="false">
      <c r="A255" s="1" t="s">
        <v>39</v>
      </c>
      <c r="B255" s="1" t="s">
        <v>40</v>
      </c>
      <c r="C255" s="1" t="n">
        <v>28.4595</v>
      </c>
      <c r="D255" s="1" t="n">
        <v>77.0266</v>
      </c>
      <c r="E255" s="5" t="n">
        <v>45911</v>
      </c>
      <c r="F255" s="6" t="s">
        <v>64</v>
      </c>
      <c r="G255" s="1" t="n">
        <v>9</v>
      </c>
      <c r="H255" s="7" t="s">
        <v>80</v>
      </c>
      <c r="I255" s="6" t="s">
        <v>43</v>
      </c>
      <c r="J255" s="7" t="s">
        <v>44</v>
      </c>
      <c r="K255" s="7" t="s">
        <v>65</v>
      </c>
      <c r="L255" s="1" t="n">
        <v>57</v>
      </c>
      <c r="M255" s="1" t="n">
        <v>22.5</v>
      </c>
      <c r="N255" s="1" t="n">
        <v>35.6</v>
      </c>
      <c r="O255" s="1" t="n">
        <v>0</v>
      </c>
      <c r="P255" s="6" t="s">
        <v>43</v>
      </c>
      <c r="Q255" s="6" t="s">
        <v>43</v>
      </c>
      <c r="R255" s="1" t="n">
        <v>1005.2</v>
      </c>
      <c r="S255" s="1" t="n">
        <v>28</v>
      </c>
      <c r="T255" s="1" t="n">
        <v>54.8</v>
      </c>
      <c r="U255" s="1" t="n">
        <v>420</v>
      </c>
      <c r="V255" s="1" t="n">
        <v>147</v>
      </c>
      <c r="W255" s="1" t="n">
        <v>2.4</v>
      </c>
      <c r="X255" s="1" t="n">
        <v>7.6</v>
      </c>
      <c r="Y255" s="1" t="n">
        <v>111</v>
      </c>
      <c r="Z255" s="1" t="n">
        <v>714</v>
      </c>
      <c r="AA255" s="1" t="n">
        <v>244</v>
      </c>
      <c r="AB255" s="7" t="s">
        <v>89</v>
      </c>
      <c r="AC255" s="7" t="s">
        <v>81</v>
      </c>
      <c r="AD255" s="7" t="s">
        <v>48</v>
      </c>
      <c r="AE255" s="6" t="s">
        <v>43</v>
      </c>
      <c r="AF255" s="4" t="n">
        <f aca="false">IF(T255="","",IF(T255&lt;=30,(50/30)*T255,IF(T255&lt;=60,50+((100-50)/(60-30))*(T255-30),IF(T255&lt;=90,100+((200-100)/(90-60))*(T255-60),IF(T255&lt;=120,200+((300-200)/(120-90))*(T255-90),IF(T255&lt;=250,300+((400-300)/(250-120))*(T255-120),IF(T255&lt;=380,400+((500-400)/(380-250))*(T255-250),500)))))))</f>
        <v>91.3333333333333</v>
      </c>
      <c r="AG255" s="4" t="n">
        <f aca="false">IF(U255="","",IF(U255&lt;=50,(50/50)*U255,IF(U255&lt;=100,50+((100-50)/(100-50))*(U255-50),IF(U255&lt;=250,100+((200-100)/(250-100))*(U255-100),IF(U255&lt;=350,200+((300-200)/(350-250))*(U255-250),IF(U255&lt;=430,300+((400-300)/(430-350))*(U255-350),IF(U255&lt;=600,400+((500-400)/(600-430))*(U255-430),500)))))))</f>
        <v>387.5</v>
      </c>
      <c r="AH255" s="4" t="n">
        <f aca="false">IF(V255="","",IF((V255/1000)&lt;=1,(50/1)*(V255/1000),IF((V255/1000)&lt;=2,50+((100-50)/(2-1))*(V255/1000-1),IF((V255/1000)&lt;=10,100+((200-100)/(10-2))*(V255/1000-2),IF((V255/1000)&lt;=17,200+((300-200)/(17-10))*(V255/1000-10),IF((V255/1000)&lt;=34,300+((400-300)/(34-17))*(V255/1000-17),IF((V255/1000)&lt;=57,400+((500-400)/(57-34))*(V255/1000-34),500)))))))</f>
        <v>7.35</v>
      </c>
      <c r="AI255" s="4" t="n">
        <f aca="false">IF(W255="","",IF(W255&lt;=40,(50/40)*W255,IF(W255&lt;=80,50+((100-50)/(80-40))*(W255-40),IF(W255&lt;=180,100+((200-100)/(180-80))*(W255-80),IF(W255&lt;=280,200+((300-200)/(280-180))*(W255-180),IF(W255&lt;=400,300+((400-300)/(400-280))*(W255-280),IF(W255&lt;=800,400+((500-400)/(800-400))*(W255-400),500)))))))</f>
        <v>3</v>
      </c>
      <c r="AJ255" s="4" t="n">
        <f aca="false">IF(X255="","",IF(X255&lt;=40,(50/40)*X255,IF(X255&lt;=80,50+((100-50)/(80-40))*(X255-40),IF(X255&lt;=380,100+((200-100)/(380-80))*(X255-80),IF(X255&lt;=800,200+((300-200)/(800-380))*(X255-380),IF(X255&lt;=1600,300+((400-300)/(1600-800))*(X255-800),IF(X255&lt;=2100,400+((500-400)/(2100-1600))*(X255-1600),500)))))))</f>
        <v>9.5</v>
      </c>
      <c r="AK255" s="4" t="n">
        <f aca="false">IF(Y255="","",IF(Y255&lt;=50,(50/50)*Y255,IF(Y255&lt;=100,50+((100-50)/(100-50))*(Y255-50),IF(Y255&lt;=168,100+((200-100)/(168-100))*(Y255-100),IF(Y255&lt;=208,200+((300-200)/(208-168))*(Y255-168),IF(Y255&lt;=748,300+((400-300)/(748-208))*(Y255-208),IF(Y255&lt;=1000,400+((500-400)/(1000-748))*(Y255-748),500)))))))</f>
        <v>116.176470588235</v>
      </c>
      <c r="AL255" s="4" t="n">
        <f aca="false">ROUND(MAX(AF255,AG255,AH255,AI255,AJ255,AK255),0)</f>
        <v>388</v>
      </c>
      <c r="AM255" s="4" t="str">
        <f aca="false">IF(AL255="","",IF(AL255&lt;=50,"Good",IF(AL255&lt;=100,"Satisfactory",IF(AL255&lt;=200,"Moderate",IF(AL255&lt;=300,"Poor",IF(AL255&lt;=400,"Very Poor","Severe"))))))</f>
        <v>Very Poor</v>
      </c>
    </row>
    <row r="256" customFormat="false" ht="15.75" hidden="false" customHeight="false" outlineLevel="0" collapsed="false">
      <c r="A256" s="1" t="s">
        <v>39</v>
      </c>
      <c r="B256" s="1" t="s">
        <v>40</v>
      </c>
      <c r="C256" s="1" t="n">
        <v>28.4595</v>
      </c>
      <c r="D256" s="1" t="n">
        <v>77.0266</v>
      </c>
      <c r="E256" s="5" t="n">
        <v>45911</v>
      </c>
      <c r="F256" s="6" t="s">
        <v>66</v>
      </c>
      <c r="G256" s="1" t="n">
        <v>9</v>
      </c>
      <c r="H256" s="7" t="s">
        <v>80</v>
      </c>
      <c r="I256" s="6" t="s">
        <v>43</v>
      </c>
      <c r="J256" s="7" t="s">
        <v>44</v>
      </c>
      <c r="K256" s="7" t="s">
        <v>65</v>
      </c>
      <c r="L256" s="1" t="n">
        <v>55</v>
      </c>
      <c r="M256" s="1" t="n">
        <v>21.9</v>
      </c>
      <c r="N256" s="1" t="n">
        <v>37.4</v>
      </c>
      <c r="O256" s="1" t="n">
        <v>0</v>
      </c>
      <c r="P256" s="6" t="s">
        <v>43</v>
      </c>
      <c r="Q256" s="6" t="s">
        <v>43</v>
      </c>
      <c r="R256" s="1" t="n">
        <v>1004.2</v>
      </c>
      <c r="S256" s="1" t="n">
        <v>36</v>
      </c>
      <c r="T256" s="1" t="n">
        <v>50.9</v>
      </c>
      <c r="U256" s="1" t="n">
        <v>392.1</v>
      </c>
      <c r="V256" s="1" t="n">
        <v>165</v>
      </c>
      <c r="W256" s="1" t="n">
        <v>4</v>
      </c>
      <c r="X256" s="1" t="n">
        <v>6.8</v>
      </c>
      <c r="Y256" s="1" t="n">
        <v>108</v>
      </c>
      <c r="Z256" s="1" t="n">
        <v>671</v>
      </c>
      <c r="AA256" s="1" t="n">
        <v>263</v>
      </c>
      <c r="AB256" s="7" t="s">
        <v>89</v>
      </c>
      <c r="AC256" s="7" t="s">
        <v>81</v>
      </c>
      <c r="AD256" s="7" t="s">
        <v>48</v>
      </c>
      <c r="AE256" s="6" t="s">
        <v>43</v>
      </c>
      <c r="AF256" s="4" t="n">
        <f aca="false">IF(T256="","",IF(T256&lt;=30,(50/30)*T256,IF(T256&lt;=60,50+((100-50)/(60-30))*(T256-30),IF(T256&lt;=90,100+((200-100)/(90-60))*(T256-60),IF(T256&lt;=120,200+((300-200)/(120-90))*(T256-90),IF(T256&lt;=250,300+((400-300)/(250-120))*(T256-120),IF(T256&lt;=380,400+((500-400)/(380-250))*(T256-250),500)))))))</f>
        <v>84.8333333333333</v>
      </c>
      <c r="AG256" s="4" t="n">
        <f aca="false">IF(U256="","",IF(U256&lt;=50,(50/50)*U256,IF(U256&lt;=100,50+((100-50)/(100-50))*(U256-50),IF(U256&lt;=250,100+((200-100)/(250-100))*(U256-100),IF(U256&lt;=350,200+((300-200)/(350-250))*(U256-250),IF(U256&lt;=430,300+((400-300)/(430-350))*(U256-350),IF(U256&lt;=600,400+((500-400)/(600-430))*(U256-430),500)))))))</f>
        <v>352.625</v>
      </c>
      <c r="AH256" s="4" t="n">
        <f aca="false">IF(V256="","",IF((V256/1000)&lt;=1,(50/1)*(V256/1000),IF((V256/1000)&lt;=2,50+((100-50)/(2-1))*(V256/1000-1),IF((V256/1000)&lt;=10,100+((200-100)/(10-2))*(V256/1000-2),IF((V256/1000)&lt;=17,200+((300-200)/(17-10))*(V256/1000-10),IF((V256/1000)&lt;=34,300+((400-300)/(34-17))*(V256/1000-17),IF((V256/1000)&lt;=57,400+((500-400)/(57-34))*(V256/1000-34),500)))))))</f>
        <v>8.25</v>
      </c>
      <c r="AI256" s="4" t="n">
        <f aca="false">IF(W256="","",IF(W256&lt;=40,(50/40)*W256,IF(W256&lt;=80,50+((100-50)/(80-40))*(W256-40),IF(W256&lt;=180,100+((200-100)/(180-80))*(W256-80),IF(W256&lt;=280,200+((300-200)/(280-180))*(W256-180),IF(W256&lt;=400,300+((400-300)/(400-280))*(W256-280),IF(W256&lt;=800,400+((500-400)/(800-400))*(W256-400),500)))))))</f>
        <v>5</v>
      </c>
      <c r="AJ256" s="4" t="n">
        <f aca="false">IF(X256="","",IF(X256&lt;=40,(50/40)*X256,IF(X256&lt;=80,50+((100-50)/(80-40))*(X256-40),IF(X256&lt;=380,100+((200-100)/(380-80))*(X256-80),IF(X256&lt;=800,200+((300-200)/(800-380))*(X256-380),IF(X256&lt;=1600,300+((400-300)/(1600-800))*(X256-800),IF(X256&lt;=2100,400+((500-400)/(2100-1600))*(X256-1600),500)))))))</f>
        <v>8.5</v>
      </c>
      <c r="AK256" s="4" t="n">
        <f aca="false">IF(Y256="","",IF(Y256&lt;=50,(50/50)*Y256,IF(Y256&lt;=100,50+((100-50)/(100-50))*(Y256-50),IF(Y256&lt;=168,100+((200-100)/(168-100))*(Y256-100),IF(Y256&lt;=208,200+((300-200)/(208-168))*(Y256-168),IF(Y256&lt;=748,300+((400-300)/(748-208))*(Y256-208),IF(Y256&lt;=1000,400+((500-400)/(1000-748))*(Y256-748),500)))))))</f>
        <v>111.764705882353</v>
      </c>
      <c r="AL256" s="4" t="n">
        <f aca="false">ROUND(MAX(AF256,AG256,AH256,AI256,AJ256,AK256),0)</f>
        <v>353</v>
      </c>
      <c r="AM256" s="4" t="str">
        <f aca="false">IF(AL256="","",IF(AL256&lt;=50,"Good",IF(AL256&lt;=100,"Satisfactory",IF(AL256&lt;=200,"Moderate",IF(AL256&lt;=300,"Poor",IF(AL256&lt;=400,"Very Poor","Severe"))))))</f>
        <v>Very Poor</v>
      </c>
    </row>
    <row r="257" customFormat="false" ht="15.75" hidden="false" customHeight="false" outlineLevel="0" collapsed="false">
      <c r="A257" s="1" t="s">
        <v>39</v>
      </c>
      <c r="B257" s="1" t="s">
        <v>40</v>
      </c>
      <c r="C257" s="1" t="n">
        <v>28.4595</v>
      </c>
      <c r="D257" s="1" t="n">
        <v>77.0266</v>
      </c>
      <c r="E257" s="5" t="n">
        <v>45911</v>
      </c>
      <c r="F257" s="6" t="s">
        <v>67</v>
      </c>
      <c r="G257" s="1" t="n">
        <v>9</v>
      </c>
      <c r="H257" s="7" t="s">
        <v>80</v>
      </c>
      <c r="I257" s="6" t="s">
        <v>43</v>
      </c>
      <c r="J257" s="7" t="s">
        <v>44</v>
      </c>
      <c r="K257" s="7" t="s">
        <v>65</v>
      </c>
      <c r="L257" s="1" t="n">
        <v>56</v>
      </c>
      <c r="M257" s="1" t="n">
        <v>22</v>
      </c>
      <c r="N257" s="1" t="n">
        <v>36.7</v>
      </c>
      <c r="O257" s="1" t="n">
        <v>0</v>
      </c>
      <c r="P257" s="6" t="s">
        <v>43</v>
      </c>
      <c r="Q257" s="6" t="s">
        <v>43</v>
      </c>
      <c r="R257" s="1" t="n">
        <v>1003.6</v>
      </c>
      <c r="S257" s="1" t="n">
        <v>52</v>
      </c>
      <c r="T257" s="1" t="n">
        <v>49.2</v>
      </c>
      <c r="U257" s="1" t="n">
        <v>382.8</v>
      </c>
      <c r="V257" s="1" t="n">
        <v>224</v>
      </c>
      <c r="W257" s="1" t="n">
        <v>7.6</v>
      </c>
      <c r="X257" s="1" t="n">
        <v>6.9</v>
      </c>
      <c r="Y257" s="1" t="n">
        <v>103</v>
      </c>
      <c r="Z257" s="1" t="n">
        <v>601</v>
      </c>
      <c r="AA257" s="1" t="n">
        <v>282</v>
      </c>
      <c r="AB257" s="7" t="s">
        <v>89</v>
      </c>
      <c r="AC257" s="7" t="s">
        <v>81</v>
      </c>
      <c r="AD257" s="7" t="s">
        <v>48</v>
      </c>
      <c r="AE257" s="6" t="s">
        <v>43</v>
      </c>
      <c r="AF257" s="4" t="n">
        <f aca="false">IF(T257="","",IF(T257&lt;=30,(50/30)*T257,IF(T257&lt;=60,50+((100-50)/(60-30))*(T257-30),IF(T257&lt;=90,100+((200-100)/(90-60))*(T257-60),IF(T257&lt;=120,200+((300-200)/(120-90))*(T257-90),IF(T257&lt;=250,300+((400-300)/(250-120))*(T257-120),IF(T257&lt;=380,400+((500-400)/(380-250))*(T257-250),500)))))))</f>
        <v>82</v>
      </c>
      <c r="AG257" s="4" t="n">
        <f aca="false">IF(U257="","",IF(U257&lt;=50,(50/50)*U257,IF(U257&lt;=100,50+((100-50)/(100-50))*(U257-50),IF(U257&lt;=250,100+((200-100)/(250-100))*(U257-100),IF(U257&lt;=350,200+((300-200)/(350-250))*(U257-250),IF(U257&lt;=430,300+((400-300)/(430-350))*(U257-350),IF(U257&lt;=600,400+((500-400)/(600-430))*(U257-430),500)))))))</f>
        <v>341</v>
      </c>
      <c r="AH257" s="4" t="n">
        <f aca="false">IF(V257="","",IF((V257/1000)&lt;=1,(50/1)*(V257/1000),IF((V257/1000)&lt;=2,50+((100-50)/(2-1))*(V257/1000-1),IF((V257/1000)&lt;=10,100+((200-100)/(10-2))*(V257/1000-2),IF((V257/1000)&lt;=17,200+((300-200)/(17-10))*(V257/1000-10),IF((V257/1000)&lt;=34,300+((400-300)/(34-17))*(V257/1000-17),IF((V257/1000)&lt;=57,400+((500-400)/(57-34))*(V257/1000-34),500)))))))</f>
        <v>11.2</v>
      </c>
      <c r="AI257" s="4" t="n">
        <f aca="false">IF(W257="","",IF(W257&lt;=40,(50/40)*W257,IF(W257&lt;=80,50+((100-50)/(80-40))*(W257-40),IF(W257&lt;=180,100+((200-100)/(180-80))*(W257-80),IF(W257&lt;=280,200+((300-200)/(280-180))*(W257-180),IF(W257&lt;=400,300+((400-300)/(400-280))*(W257-280),IF(W257&lt;=800,400+((500-400)/(800-400))*(W257-400),500)))))))</f>
        <v>9.5</v>
      </c>
      <c r="AJ257" s="4" t="n">
        <f aca="false">IF(X257="","",IF(X257&lt;=40,(50/40)*X257,IF(X257&lt;=80,50+((100-50)/(80-40))*(X257-40),IF(X257&lt;=380,100+((200-100)/(380-80))*(X257-80),IF(X257&lt;=800,200+((300-200)/(800-380))*(X257-380),IF(X257&lt;=1600,300+((400-300)/(1600-800))*(X257-800),IF(X257&lt;=2100,400+((500-400)/(2100-1600))*(X257-1600),500)))))))</f>
        <v>8.625</v>
      </c>
      <c r="AK257" s="4" t="n">
        <f aca="false">IF(Y257="","",IF(Y257&lt;=50,(50/50)*Y257,IF(Y257&lt;=100,50+((100-50)/(100-50))*(Y257-50),IF(Y257&lt;=168,100+((200-100)/(168-100))*(Y257-100),IF(Y257&lt;=208,200+((300-200)/(208-168))*(Y257-168),IF(Y257&lt;=748,300+((400-300)/(748-208))*(Y257-208),IF(Y257&lt;=1000,400+((500-400)/(1000-748))*(Y257-748),500)))))))</f>
        <v>104.411764705882</v>
      </c>
      <c r="AL257" s="4" t="n">
        <f aca="false">ROUND(MAX(AF257,AG257,AH257,AI257,AJ257,AK257),0)</f>
        <v>341</v>
      </c>
      <c r="AM257" s="4" t="str">
        <f aca="false">IF(AL257="","",IF(AL257&lt;=50,"Good",IF(AL257&lt;=100,"Satisfactory",IF(AL257&lt;=200,"Moderate",IF(AL257&lt;=300,"Poor",IF(AL257&lt;=400,"Very Poor","Severe"))))))</f>
        <v>Very Poor</v>
      </c>
    </row>
    <row r="258" customFormat="false" ht="15.75" hidden="false" customHeight="false" outlineLevel="0" collapsed="false">
      <c r="A258" s="1" t="s">
        <v>39</v>
      </c>
      <c r="B258" s="1" t="s">
        <v>40</v>
      </c>
      <c r="C258" s="1" t="n">
        <v>28.4595</v>
      </c>
      <c r="D258" s="1" t="n">
        <v>77.0266</v>
      </c>
      <c r="E258" s="5" t="n">
        <v>45911</v>
      </c>
      <c r="F258" s="6" t="s">
        <v>68</v>
      </c>
      <c r="G258" s="1" t="n">
        <v>9</v>
      </c>
      <c r="H258" s="7" t="s">
        <v>80</v>
      </c>
      <c r="I258" s="6" t="s">
        <v>43</v>
      </c>
      <c r="J258" s="7" t="s">
        <v>44</v>
      </c>
      <c r="K258" s="7" t="s">
        <v>65</v>
      </c>
      <c r="L258" s="1" t="n">
        <v>58</v>
      </c>
      <c r="M258" s="1" t="n">
        <v>22.3</v>
      </c>
      <c r="N258" s="1" t="n">
        <v>33.5</v>
      </c>
      <c r="O258" s="1" t="n">
        <v>0</v>
      </c>
      <c r="P258" s="6" t="s">
        <v>43</v>
      </c>
      <c r="Q258" s="6" t="s">
        <v>43</v>
      </c>
      <c r="R258" s="1" t="n">
        <v>1003.1</v>
      </c>
      <c r="S258" s="1" t="n">
        <v>97</v>
      </c>
      <c r="T258" s="1" t="n">
        <v>48.2</v>
      </c>
      <c r="U258" s="1" t="n">
        <v>350.2</v>
      </c>
      <c r="V258" s="1" t="n">
        <v>310</v>
      </c>
      <c r="W258" s="1" t="n">
        <v>13.2</v>
      </c>
      <c r="X258" s="1" t="n">
        <v>7.6</v>
      </c>
      <c r="Y258" s="1" t="n">
        <v>96</v>
      </c>
      <c r="Z258" s="1" t="n">
        <v>519</v>
      </c>
      <c r="AA258" s="1" t="n">
        <v>284</v>
      </c>
      <c r="AB258" s="7" t="s">
        <v>89</v>
      </c>
      <c r="AC258" s="7" t="s">
        <v>81</v>
      </c>
      <c r="AD258" s="7" t="s">
        <v>48</v>
      </c>
      <c r="AE258" s="6" t="s">
        <v>43</v>
      </c>
      <c r="AF258" s="4" t="n">
        <f aca="false">IF(T258="","",IF(T258&lt;=30,(50/30)*T258,IF(T258&lt;=60,50+((100-50)/(60-30))*(T258-30),IF(T258&lt;=90,100+((200-100)/(90-60))*(T258-60),IF(T258&lt;=120,200+((300-200)/(120-90))*(T258-90),IF(T258&lt;=250,300+((400-300)/(250-120))*(T258-120),IF(T258&lt;=380,400+((500-400)/(380-250))*(T258-250),500)))))))</f>
        <v>80.3333333333333</v>
      </c>
      <c r="AG258" s="4" t="n">
        <f aca="false">IF(U258="","",IF(U258&lt;=50,(50/50)*U258,IF(U258&lt;=100,50+((100-50)/(100-50))*(U258-50),IF(U258&lt;=250,100+((200-100)/(250-100))*(U258-100),IF(U258&lt;=350,200+((300-200)/(350-250))*(U258-250),IF(U258&lt;=430,300+((400-300)/(430-350))*(U258-350),IF(U258&lt;=600,400+((500-400)/(600-430))*(U258-430),500)))))))</f>
        <v>300.25</v>
      </c>
      <c r="AH258" s="4" t="n">
        <f aca="false">IF(V258="","",IF((V258/1000)&lt;=1,(50/1)*(V258/1000),IF((V258/1000)&lt;=2,50+((100-50)/(2-1))*(V258/1000-1),IF((V258/1000)&lt;=10,100+((200-100)/(10-2))*(V258/1000-2),IF((V258/1000)&lt;=17,200+((300-200)/(17-10))*(V258/1000-10),IF((V258/1000)&lt;=34,300+((400-300)/(34-17))*(V258/1000-17),IF((V258/1000)&lt;=57,400+((500-400)/(57-34))*(V258/1000-34),500)))))))</f>
        <v>15.5</v>
      </c>
      <c r="AI258" s="4" t="n">
        <f aca="false">IF(W258="","",IF(W258&lt;=40,(50/40)*W258,IF(W258&lt;=80,50+((100-50)/(80-40))*(W258-40),IF(W258&lt;=180,100+((200-100)/(180-80))*(W258-80),IF(W258&lt;=280,200+((300-200)/(280-180))*(W258-180),IF(W258&lt;=400,300+((400-300)/(400-280))*(W258-280),IF(W258&lt;=800,400+((500-400)/(800-400))*(W258-400),500)))))))</f>
        <v>16.5</v>
      </c>
      <c r="AJ258" s="4" t="n">
        <f aca="false">IF(X258="","",IF(X258&lt;=40,(50/40)*X258,IF(X258&lt;=80,50+((100-50)/(80-40))*(X258-40),IF(X258&lt;=380,100+((200-100)/(380-80))*(X258-80),IF(X258&lt;=800,200+((300-200)/(800-380))*(X258-380),IF(X258&lt;=1600,300+((400-300)/(1600-800))*(X258-800),IF(X258&lt;=2100,400+((500-400)/(2100-1600))*(X258-1600),500)))))))</f>
        <v>9.5</v>
      </c>
      <c r="AK258" s="4" t="n">
        <f aca="false">IF(Y258="","",IF(Y258&lt;=50,(50/50)*Y258,IF(Y258&lt;=100,50+((100-50)/(100-50))*(Y258-50),IF(Y258&lt;=168,100+((200-100)/(168-100))*(Y258-100),IF(Y258&lt;=208,200+((300-200)/(208-168))*(Y258-168),IF(Y258&lt;=748,300+((400-300)/(748-208))*(Y258-208),IF(Y258&lt;=1000,400+((500-400)/(1000-748))*(Y258-748),500)))))))</f>
        <v>96</v>
      </c>
      <c r="AL258" s="4" t="n">
        <f aca="false">ROUND(MAX(AF258,AG258,AH258,AI258,AJ258,AK258),0)</f>
        <v>300</v>
      </c>
      <c r="AM258" s="4" t="str">
        <f aca="false">IF(AL258="","",IF(AL258&lt;=50,"Good",IF(AL258&lt;=100,"Satisfactory",IF(AL258&lt;=200,"Moderate",IF(AL258&lt;=300,"Poor",IF(AL258&lt;=400,"Very Poor","Severe"))))))</f>
        <v>Poor</v>
      </c>
    </row>
    <row r="259" customFormat="false" ht="15.75" hidden="false" customHeight="false" outlineLevel="0" collapsed="false">
      <c r="A259" s="1" t="s">
        <v>39</v>
      </c>
      <c r="B259" s="1" t="s">
        <v>40</v>
      </c>
      <c r="C259" s="1" t="n">
        <v>28.4595</v>
      </c>
      <c r="D259" s="1" t="n">
        <v>77.0266</v>
      </c>
      <c r="E259" s="5" t="n">
        <v>45911</v>
      </c>
      <c r="F259" s="6" t="s">
        <v>69</v>
      </c>
      <c r="G259" s="1" t="n">
        <v>9</v>
      </c>
      <c r="H259" s="7" t="s">
        <v>80</v>
      </c>
      <c r="I259" s="6" t="s">
        <v>43</v>
      </c>
      <c r="J259" s="7" t="s">
        <v>44</v>
      </c>
      <c r="K259" s="7" t="s">
        <v>65</v>
      </c>
      <c r="L259" s="1" t="n">
        <v>65</v>
      </c>
      <c r="M259" s="1" t="n">
        <v>23.3</v>
      </c>
      <c r="N259" s="1" t="n">
        <v>26.6</v>
      </c>
      <c r="O259" s="1" t="n">
        <v>0</v>
      </c>
      <c r="P259" s="6" t="s">
        <v>43</v>
      </c>
      <c r="Q259" s="6" t="s">
        <v>43</v>
      </c>
      <c r="R259" s="1" t="n">
        <v>1003.3</v>
      </c>
      <c r="S259" s="1" t="n">
        <v>15</v>
      </c>
      <c r="T259" s="1" t="n">
        <v>45.6</v>
      </c>
      <c r="U259" s="1" t="n">
        <v>274.7</v>
      </c>
      <c r="V259" s="1" t="n">
        <v>386</v>
      </c>
      <c r="W259" s="1" t="n">
        <v>21.3</v>
      </c>
      <c r="X259" s="1" t="n">
        <v>9.7</v>
      </c>
      <c r="Y259" s="1" t="n">
        <v>82</v>
      </c>
      <c r="Z259" s="1" t="n">
        <v>448</v>
      </c>
      <c r="AA259" s="1" t="n">
        <v>271</v>
      </c>
      <c r="AB259" s="7" t="s">
        <v>89</v>
      </c>
      <c r="AC259" s="7" t="s">
        <v>81</v>
      </c>
      <c r="AD259" s="7" t="s">
        <v>48</v>
      </c>
      <c r="AE259" s="6" t="s">
        <v>43</v>
      </c>
      <c r="AF259" s="4" t="n">
        <f aca="false">IF(T259="","",IF(T259&lt;=30,(50/30)*T259,IF(T259&lt;=60,50+((100-50)/(60-30))*(T259-30),IF(T259&lt;=90,100+((200-100)/(90-60))*(T259-60),IF(T259&lt;=120,200+((300-200)/(120-90))*(T259-90),IF(T259&lt;=250,300+((400-300)/(250-120))*(T259-120),IF(T259&lt;=380,400+((500-400)/(380-250))*(T259-250),500)))))))</f>
        <v>76</v>
      </c>
      <c r="AG259" s="4" t="n">
        <f aca="false">IF(U259="","",IF(U259&lt;=50,(50/50)*U259,IF(U259&lt;=100,50+((100-50)/(100-50))*(U259-50),IF(U259&lt;=250,100+((200-100)/(250-100))*(U259-100),IF(U259&lt;=350,200+((300-200)/(350-250))*(U259-250),IF(U259&lt;=430,300+((400-300)/(430-350))*(U259-350),IF(U259&lt;=600,400+((500-400)/(600-430))*(U259-430),500)))))))</f>
        <v>224.7</v>
      </c>
      <c r="AH259" s="4" t="n">
        <f aca="false">IF(V259="","",IF((V259/1000)&lt;=1,(50/1)*(V259/1000),IF((V259/1000)&lt;=2,50+((100-50)/(2-1))*(V259/1000-1),IF((V259/1000)&lt;=10,100+((200-100)/(10-2))*(V259/1000-2),IF((V259/1000)&lt;=17,200+((300-200)/(17-10))*(V259/1000-10),IF((V259/1000)&lt;=34,300+((400-300)/(34-17))*(V259/1000-17),IF((V259/1000)&lt;=57,400+((500-400)/(57-34))*(V259/1000-34),500)))))))</f>
        <v>19.3</v>
      </c>
      <c r="AI259" s="4" t="n">
        <f aca="false">IF(W259="","",IF(W259&lt;=40,(50/40)*W259,IF(W259&lt;=80,50+((100-50)/(80-40))*(W259-40),IF(W259&lt;=180,100+((200-100)/(180-80))*(W259-80),IF(W259&lt;=280,200+((300-200)/(280-180))*(W259-180),IF(W259&lt;=400,300+((400-300)/(400-280))*(W259-280),IF(W259&lt;=800,400+((500-400)/(800-400))*(W259-400),500)))))))</f>
        <v>26.625</v>
      </c>
      <c r="AJ259" s="4" t="n">
        <f aca="false">IF(X259="","",IF(X259&lt;=40,(50/40)*X259,IF(X259&lt;=80,50+((100-50)/(80-40))*(X259-40),IF(X259&lt;=380,100+((200-100)/(380-80))*(X259-80),IF(X259&lt;=800,200+((300-200)/(800-380))*(X259-380),IF(X259&lt;=1600,300+((400-300)/(1600-800))*(X259-800),IF(X259&lt;=2100,400+((500-400)/(2100-1600))*(X259-1600),500)))))))</f>
        <v>12.125</v>
      </c>
      <c r="AK259" s="4" t="n">
        <f aca="false">IF(Y259="","",IF(Y259&lt;=50,(50/50)*Y259,IF(Y259&lt;=100,50+((100-50)/(100-50))*(Y259-50),IF(Y259&lt;=168,100+((200-100)/(168-100))*(Y259-100),IF(Y259&lt;=208,200+((300-200)/(208-168))*(Y259-168),IF(Y259&lt;=748,300+((400-300)/(748-208))*(Y259-208),IF(Y259&lt;=1000,400+((500-400)/(1000-748))*(Y259-748),500)))))))</f>
        <v>82</v>
      </c>
      <c r="AL259" s="4" t="n">
        <f aca="false">ROUND(MAX(AF259,AG259,AH259,AI259,AJ259,AK259),0)</f>
        <v>225</v>
      </c>
      <c r="AM259" s="4" t="str">
        <f aca="false">IF(AL259="","",IF(AL259&lt;=50,"Good",IF(AL259&lt;=100,"Satisfactory",IF(AL259&lt;=200,"Moderate",IF(AL259&lt;=300,"Poor",IF(AL259&lt;=400,"Very Poor","Severe"))))))</f>
        <v>Poor</v>
      </c>
    </row>
    <row r="260" customFormat="false" ht="15.75" hidden="false" customHeight="false" outlineLevel="0" collapsed="false">
      <c r="A260" s="1" t="s">
        <v>39</v>
      </c>
      <c r="B260" s="1" t="s">
        <v>40</v>
      </c>
      <c r="C260" s="1" t="n">
        <v>28.4595</v>
      </c>
      <c r="D260" s="1" t="n">
        <v>77.0266</v>
      </c>
      <c r="E260" s="5" t="n">
        <v>45911</v>
      </c>
      <c r="F260" s="6" t="s">
        <v>70</v>
      </c>
      <c r="G260" s="1" t="n">
        <v>9</v>
      </c>
      <c r="H260" s="7" t="s">
        <v>80</v>
      </c>
      <c r="I260" s="6" t="s">
        <v>43</v>
      </c>
      <c r="J260" s="7" t="s">
        <v>44</v>
      </c>
      <c r="K260" s="7" t="s">
        <v>71</v>
      </c>
      <c r="L260" s="1" t="n">
        <v>74</v>
      </c>
      <c r="M260" s="1" t="n">
        <v>24</v>
      </c>
      <c r="N260" s="1" t="n">
        <v>20.2</v>
      </c>
      <c r="O260" s="1" t="n">
        <v>0</v>
      </c>
      <c r="P260" s="6" t="s">
        <v>43</v>
      </c>
      <c r="Q260" s="6" t="s">
        <v>43</v>
      </c>
      <c r="R260" s="1" t="n">
        <v>1004.2</v>
      </c>
      <c r="S260" s="1" t="n">
        <v>92</v>
      </c>
      <c r="T260" s="1" t="n">
        <v>47</v>
      </c>
      <c r="U260" s="1" t="n">
        <v>202.6</v>
      </c>
      <c r="V260" s="1" t="n">
        <v>443</v>
      </c>
      <c r="W260" s="1" t="n">
        <v>35.2</v>
      </c>
      <c r="X260" s="1" t="n">
        <v>12.8</v>
      </c>
      <c r="Y260" s="1" t="n">
        <v>63</v>
      </c>
      <c r="Z260" s="1" t="n">
        <v>368</v>
      </c>
      <c r="AA260" s="1" t="n">
        <v>251</v>
      </c>
      <c r="AB260" s="7" t="s">
        <v>89</v>
      </c>
      <c r="AC260" s="7" t="s">
        <v>81</v>
      </c>
      <c r="AD260" s="7" t="s">
        <v>48</v>
      </c>
      <c r="AE260" s="6" t="s">
        <v>43</v>
      </c>
      <c r="AF260" s="4" t="n">
        <f aca="false">IF(T260="","",IF(T260&lt;=30,(50/30)*T260,IF(T260&lt;=60,50+((100-50)/(60-30))*(T260-30),IF(T260&lt;=90,100+((200-100)/(90-60))*(T260-60),IF(T260&lt;=120,200+((300-200)/(120-90))*(T260-90),IF(T260&lt;=250,300+((400-300)/(250-120))*(T260-120),IF(T260&lt;=380,400+((500-400)/(380-250))*(T260-250),500)))))))</f>
        <v>78.3333333333333</v>
      </c>
      <c r="AG260" s="4" t="n">
        <f aca="false">IF(U260="","",IF(U260&lt;=50,(50/50)*U260,IF(U260&lt;=100,50+((100-50)/(100-50))*(U260-50),IF(U260&lt;=250,100+((200-100)/(250-100))*(U260-100),IF(U260&lt;=350,200+((300-200)/(350-250))*(U260-250),IF(U260&lt;=430,300+((400-300)/(430-350))*(U260-350),IF(U260&lt;=600,400+((500-400)/(600-430))*(U260-430),500)))))))</f>
        <v>168.4</v>
      </c>
      <c r="AH260" s="4" t="n">
        <f aca="false">IF(V260="","",IF((V260/1000)&lt;=1,(50/1)*(V260/1000),IF((V260/1000)&lt;=2,50+((100-50)/(2-1))*(V260/1000-1),IF((V260/1000)&lt;=10,100+((200-100)/(10-2))*(V260/1000-2),IF((V260/1000)&lt;=17,200+((300-200)/(17-10))*(V260/1000-10),IF((V260/1000)&lt;=34,300+((400-300)/(34-17))*(V260/1000-17),IF((V260/1000)&lt;=57,400+((500-400)/(57-34))*(V260/1000-34),500)))))))</f>
        <v>22.15</v>
      </c>
      <c r="AI260" s="4" t="n">
        <f aca="false">IF(W260="","",IF(W260&lt;=40,(50/40)*W260,IF(W260&lt;=80,50+((100-50)/(80-40))*(W260-40),IF(W260&lt;=180,100+((200-100)/(180-80))*(W260-80),IF(W260&lt;=280,200+((300-200)/(280-180))*(W260-180),IF(W260&lt;=400,300+((400-300)/(400-280))*(W260-280),IF(W260&lt;=800,400+((500-400)/(800-400))*(W260-400),500)))))))</f>
        <v>44</v>
      </c>
      <c r="AJ260" s="4" t="n">
        <f aca="false">IF(X260="","",IF(X260&lt;=40,(50/40)*X260,IF(X260&lt;=80,50+((100-50)/(80-40))*(X260-40),IF(X260&lt;=380,100+((200-100)/(380-80))*(X260-80),IF(X260&lt;=800,200+((300-200)/(800-380))*(X260-380),IF(X260&lt;=1600,300+((400-300)/(1600-800))*(X260-800),IF(X260&lt;=2100,400+((500-400)/(2100-1600))*(X260-1600),500)))))))</f>
        <v>16</v>
      </c>
      <c r="AK260" s="4" t="n">
        <f aca="false">IF(Y260="","",IF(Y260&lt;=50,(50/50)*Y260,IF(Y260&lt;=100,50+((100-50)/(100-50))*(Y260-50),IF(Y260&lt;=168,100+((200-100)/(168-100))*(Y260-100),IF(Y260&lt;=208,200+((300-200)/(208-168))*(Y260-168),IF(Y260&lt;=748,300+((400-300)/(748-208))*(Y260-208),IF(Y260&lt;=1000,400+((500-400)/(1000-748))*(Y260-748),500)))))))</f>
        <v>63</v>
      </c>
      <c r="AL260" s="4" t="n">
        <f aca="false">ROUND(MAX(AF260,AG260,AH260,AI260,AJ260,AK260),0)</f>
        <v>168</v>
      </c>
      <c r="AM260" s="4" t="str">
        <f aca="false">IF(AL260="","",IF(AL260&lt;=50,"Good",IF(AL260&lt;=100,"Satisfactory",IF(AL260&lt;=200,"Moderate",IF(AL260&lt;=300,"Poor",IF(AL260&lt;=400,"Very Poor","Severe"))))))</f>
        <v>Moderate</v>
      </c>
    </row>
    <row r="261" customFormat="false" ht="15.75" hidden="false" customHeight="false" outlineLevel="0" collapsed="false">
      <c r="A261" s="1" t="s">
        <v>39</v>
      </c>
      <c r="B261" s="1" t="s">
        <v>40</v>
      </c>
      <c r="C261" s="1" t="n">
        <v>28.4595</v>
      </c>
      <c r="D261" s="1" t="n">
        <v>77.0266</v>
      </c>
      <c r="E261" s="5" t="n">
        <v>45911</v>
      </c>
      <c r="F261" s="6" t="s">
        <v>72</v>
      </c>
      <c r="G261" s="1" t="n">
        <v>9</v>
      </c>
      <c r="H261" s="7" t="s">
        <v>80</v>
      </c>
      <c r="I261" s="6" t="s">
        <v>43</v>
      </c>
      <c r="J261" s="7" t="s">
        <v>44</v>
      </c>
      <c r="K261" s="7" t="s">
        <v>71</v>
      </c>
      <c r="L261" s="1" t="n">
        <v>78</v>
      </c>
      <c r="M261" s="1" t="n">
        <v>24.1</v>
      </c>
      <c r="N261" s="1" t="n">
        <v>11.5</v>
      </c>
      <c r="O261" s="1" t="n">
        <v>0</v>
      </c>
      <c r="P261" s="6" t="s">
        <v>43</v>
      </c>
      <c r="Q261" s="6" t="s">
        <v>43</v>
      </c>
      <c r="R261" s="1" t="n">
        <v>1004.7</v>
      </c>
      <c r="S261" s="1" t="n">
        <v>99</v>
      </c>
      <c r="T261" s="1" t="n">
        <v>52.6</v>
      </c>
      <c r="U261" s="1" t="n">
        <v>167.6</v>
      </c>
      <c r="V261" s="1" t="n">
        <v>491</v>
      </c>
      <c r="W261" s="1" t="n">
        <v>54.3</v>
      </c>
      <c r="X261" s="1" t="n">
        <v>17</v>
      </c>
      <c r="Y261" s="1" t="n">
        <v>36</v>
      </c>
      <c r="Z261" s="1" t="n">
        <v>257</v>
      </c>
      <c r="AA261" s="1" t="n">
        <v>228</v>
      </c>
      <c r="AB261" s="7" t="s">
        <v>89</v>
      </c>
      <c r="AC261" s="7" t="s">
        <v>81</v>
      </c>
      <c r="AD261" s="7" t="s">
        <v>48</v>
      </c>
      <c r="AE261" s="6" t="s">
        <v>43</v>
      </c>
      <c r="AF261" s="4" t="n">
        <f aca="false">IF(T261="","",IF(T261&lt;=30,(50/30)*T261,IF(T261&lt;=60,50+((100-50)/(60-30))*(T261-30),IF(T261&lt;=90,100+((200-100)/(90-60))*(T261-60),IF(T261&lt;=120,200+((300-200)/(120-90))*(T261-90),IF(T261&lt;=250,300+((400-300)/(250-120))*(T261-120),IF(T261&lt;=380,400+((500-400)/(380-250))*(T261-250),500)))))))</f>
        <v>87.6666666666667</v>
      </c>
      <c r="AG261" s="4" t="n">
        <f aca="false">IF(U261="","",IF(U261&lt;=50,(50/50)*U261,IF(U261&lt;=100,50+((100-50)/(100-50))*(U261-50),IF(U261&lt;=250,100+((200-100)/(250-100))*(U261-100),IF(U261&lt;=350,200+((300-200)/(350-250))*(U261-250),IF(U261&lt;=430,300+((400-300)/(430-350))*(U261-350),IF(U261&lt;=600,400+((500-400)/(600-430))*(U261-430),500)))))))</f>
        <v>145.066666666667</v>
      </c>
      <c r="AH261" s="4" t="n">
        <f aca="false">IF(V261="","",IF((V261/1000)&lt;=1,(50/1)*(V261/1000),IF((V261/1000)&lt;=2,50+((100-50)/(2-1))*(V261/1000-1),IF((V261/1000)&lt;=10,100+((200-100)/(10-2))*(V261/1000-2),IF((V261/1000)&lt;=17,200+((300-200)/(17-10))*(V261/1000-10),IF((V261/1000)&lt;=34,300+((400-300)/(34-17))*(V261/1000-17),IF((V261/1000)&lt;=57,400+((500-400)/(57-34))*(V261/1000-34),500)))))))</f>
        <v>24.55</v>
      </c>
      <c r="AI261" s="4" t="n">
        <f aca="false">IF(W261="","",IF(W261&lt;=40,(50/40)*W261,IF(W261&lt;=80,50+((100-50)/(80-40))*(W261-40),IF(W261&lt;=180,100+((200-100)/(180-80))*(W261-80),IF(W261&lt;=280,200+((300-200)/(280-180))*(W261-180),IF(W261&lt;=400,300+((400-300)/(400-280))*(W261-280),IF(W261&lt;=800,400+((500-400)/(800-400))*(W261-400),500)))))))</f>
        <v>67.875</v>
      </c>
      <c r="AJ261" s="4" t="n">
        <f aca="false">IF(X261="","",IF(X261&lt;=40,(50/40)*X261,IF(X261&lt;=80,50+((100-50)/(80-40))*(X261-40),IF(X261&lt;=380,100+((200-100)/(380-80))*(X261-80),IF(X261&lt;=800,200+((300-200)/(800-380))*(X261-380),IF(X261&lt;=1600,300+((400-300)/(1600-800))*(X261-800),IF(X261&lt;=2100,400+((500-400)/(2100-1600))*(X261-1600),500)))))))</f>
        <v>21.25</v>
      </c>
      <c r="AK261" s="4" t="n">
        <f aca="false">IF(Y261="","",IF(Y261&lt;=50,(50/50)*Y261,IF(Y261&lt;=100,50+((100-50)/(100-50))*(Y261-50),IF(Y261&lt;=168,100+((200-100)/(168-100))*(Y261-100),IF(Y261&lt;=208,200+((300-200)/(208-168))*(Y261-168),IF(Y261&lt;=748,300+((400-300)/(748-208))*(Y261-208),IF(Y261&lt;=1000,400+((500-400)/(1000-748))*(Y261-748),500)))))))</f>
        <v>36</v>
      </c>
      <c r="AL261" s="4" t="n">
        <f aca="false">ROUND(MAX(AF261,AG261,AH261,AI261,AJ261,AK261),0)</f>
        <v>145</v>
      </c>
      <c r="AM261" s="4" t="str">
        <f aca="false">IF(AL261="","",IF(AL261&lt;=50,"Good",IF(AL261&lt;=100,"Satisfactory",IF(AL261&lt;=200,"Moderate",IF(AL261&lt;=300,"Poor",IF(AL261&lt;=400,"Very Poor","Severe"))))))</f>
        <v>Moderate</v>
      </c>
    </row>
    <row r="262" customFormat="false" ht="15.75" hidden="false" customHeight="false" outlineLevel="0" collapsed="false">
      <c r="A262" s="1" t="s">
        <v>39</v>
      </c>
      <c r="B262" s="1" t="s">
        <v>40</v>
      </c>
      <c r="C262" s="1" t="n">
        <v>28.4595</v>
      </c>
      <c r="D262" s="1" t="n">
        <v>77.0266</v>
      </c>
      <c r="E262" s="5" t="n">
        <v>45911</v>
      </c>
      <c r="F262" s="6" t="s">
        <v>73</v>
      </c>
      <c r="G262" s="1" t="n">
        <v>9</v>
      </c>
      <c r="H262" s="7" t="s">
        <v>80</v>
      </c>
      <c r="I262" s="6" t="s">
        <v>43</v>
      </c>
      <c r="J262" s="7" t="s">
        <v>44</v>
      </c>
      <c r="K262" s="7" t="s">
        <v>71</v>
      </c>
      <c r="L262" s="1" t="n">
        <v>81</v>
      </c>
      <c r="M262" s="1" t="n">
        <v>24</v>
      </c>
      <c r="N262" s="1" t="n">
        <v>10.8</v>
      </c>
      <c r="O262" s="1" t="n">
        <v>0</v>
      </c>
      <c r="P262" s="6" t="s">
        <v>43</v>
      </c>
      <c r="Q262" s="6" t="s">
        <v>43</v>
      </c>
      <c r="R262" s="1" t="n">
        <v>1005.5</v>
      </c>
      <c r="S262" s="1" t="n">
        <v>92</v>
      </c>
      <c r="T262" s="1" t="n">
        <v>55.4</v>
      </c>
      <c r="U262" s="1" t="n">
        <v>143.9</v>
      </c>
      <c r="V262" s="1" t="n">
        <v>524</v>
      </c>
      <c r="W262" s="1" t="n">
        <v>67.7</v>
      </c>
      <c r="X262" s="1" t="n">
        <v>20</v>
      </c>
      <c r="Y262" s="1" t="n">
        <v>16</v>
      </c>
      <c r="Z262" s="1" t="n">
        <v>169</v>
      </c>
      <c r="AA262" s="1" t="n">
        <v>206</v>
      </c>
      <c r="AB262" s="7" t="s">
        <v>89</v>
      </c>
      <c r="AC262" s="7" t="s">
        <v>81</v>
      </c>
      <c r="AD262" s="7" t="s">
        <v>48</v>
      </c>
      <c r="AE262" s="6" t="s">
        <v>43</v>
      </c>
      <c r="AF262" s="4" t="n">
        <f aca="false">IF(T262="","",IF(T262&lt;=30,(50/30)*T262,IF(T262&lt;=60,50+((100-50)/(60-30))*(T262-30),IF(T262&lt;=90,100+((200-100)/(90-60))*(T262-60),IF(T262&lt;=120,200+((300-200)/(120-90))*(T262-90),IF(T262&lt;=250,300+((400-300)/(250-120))*(T262-120),IF(T262&lt;=380,400+((500-400)/(380-250))*(T262-250),500)))))))</f>
        <v>92.3333333333333</v>
      </c>
      <c r="AG262" s="4" t="n">
        <f aca="false">IF(U262="","",IF(U262&lt;=50,(50/50)*U262,IF(U262&lt;=100,50+((100-50)/(100-50))*(U262-50),IF(U262&lt;=250,100+((200-100)/(250-100))*(U262-100),IF(U262&lt;=350,200+((300-200)/(350-250))*(U262-250),IF(U262&lt;=430,300+((400-300)/(430-350))*(U262-350),IF(U262&lt;=600,400+((500-400)/(600-430))*(U262-430),500)))))))</f>
        <v>129.266666666667</v>
      </c>
      <c r="AH262" s="4" t="n">
        <f aca="false">IF(V262="","",IF((V262/1000)&lt;=1,(50/1)*(V262/1000),IF((V262/1000)&lt;=2,50+((100-50)/(2-1))*(V262/1000-1),IF((V262/1000)&lt;=10,100+((200-100)/(10-2))*(V262/1000-2),IF((V262/1000)&lt;=17,200+((300-200)/(17-10))*(V262/1000-10),IF((V262/1000)&lt;=34,300+((400-300)/(34-17))*(V262/1000-17),IF((V262/1000)&lt;=57,400+((500-400)/(57-34))*(V262/1000-34),500)))))))</f>
        <v>26.2</v>
      </c>
      <c r="AI262" s="4" t="n">
        <f aca="false">IF(W262="","",IF(W262&lt;=40,(50/40)*W262,IF(W262&lt;=80,50+((100-50)/(80-40))*(W262-40),IF(W262&lt;=180,100+((200-100)/(180-80))*(W262-80),IF(W262&lt;=280,200+((300-200)/(280-180))*(W262-180),IF(W262&lt;=400,300+((400-300)/(400-280))*(W262-280),IF(W262&lt;=800,400+((500-400)/(800-400))*(W262-400),500)))))))</f>
        <v>84.625</v>
      </c>
      <c r="AJ262" s="4" t="n">
        <f aca="false">IF(X262="","",IF(X262&lt;=40,(50/40)*X262,IF(X262&lt;=80,50+((100-50)/(80-40))*(X262-40),IF(X262&lt;=380,100+((200-100)/(380-80))*(X262-80),IF(X262&lt;=800,200+((300-200)/(800-380))*(X262-380),IF(X262&lt;=1600,300+((400-300)/(1600-800))*(X262-800),IF(X262&lt;=2100,400+((500-400)/(2100-1600))*(X262-1600),500)))))))</f>
        <v>25</v>
      </c>
      <c r="AK262" s="4" t="n">
        <f aca="false">IF(Y262="","",IF(Y262&lt;=50,(50/50)*Y262,IF(Y262&lt;=100,50+((100-50)/(100-50))*(Y262-50),IF(Y262&lt;=168,100+((200-100)/(168-100))*(Y262-100),IF(Y262&lt;=208,200+((300-200)/(208-168))*(Y262-168),IF(Y262&lt;=748,300+((400-300)/(748-208))*(Y262-208),IF(Y262&lt;=1000,400+((500-400)/(1000-748))*(Y262-748),500)))))))</f>
        <v>16</v>
      </c>
      <c r="AL262" s="4" t="n">
        <f aca="false">ROUND(MAX(AF262,AG262,AH262,AI262,AJ262,AK262),0)</f>
        <v>129</v>
      </c>
      <c r="AM262" s="4" t="str">
        <f aca="false">IF(AL262="","",IF(AL262&lt;=50,"Good",IF(AL262&lt;=100,"Satisfactory",IF(AL262&lt;=200,"Moderate",IF(AL262&lt;=300,"Poor",IF(AL262&lt;=400,"Very Poor","Severe"))))))</f>
        <v>Moderate</v>
      </c>
    </row>
    <row r="263" customFormat="false" ht="15.75" hidden="false" customHeight="false" outlineLevel="0" collapsed="false">
      <c r="A263" s="1" t="s">
        <v>39</v>
      </c>
      <c r="B263" s="1" t="s">
        <v>40</v>
      </c>
      <c r="C263" s="1" t="n">
        <v>28.4595</v>
      </c>
      <c r="D263" s="1" t="n">
        <v>77.0266</v>
      </c>
      <c r="E263" s="5" t="n">
        <v>45911</v>
      </c>
      <c r="F263" s="6" t="s">
        <v>74</v>
      </c>
      <c r="G263" s="1" t="n">
        <v>9</v>
      </c>
      <c r="H263" s="7" t="s">
        <v>80</v>
      </c>
      <c r="I263" s="6" t="s">
        <v>43</v>
      </c>
      <c r="J263" s="7" t="s">
        <v>44</v>
      </c>
      <c r="K263" s="7" t="s">
        <v>75</v>
      </c>
      <c r="L263" s="1" t="n">
        <v>82</v>
      </c>
      <c r="M263" s="1" t="n">
        <v>23.6</v>
      </c>
      <c r="N263" s="1" t="n">
        <v>10.1</v>
      </c>
      <c r="O263" s="1" t="n">
        <v>0</v>
      </c>
      <c r="P263" s="6" t="s">
        <v>43</v>
      </c>
      <c r="Q263" s="6" t="s">
        <v>43</v>
      </c>
      <c r="R263" s="1" t="n">
        <v>1006.4</v>
      </c>
      <c r="S263" s="1" t="n">
        <v>93</v>
      </c>
      <c r="T263" s="1" t="n">
        <v>56</v>
      </c>
      <c r="U263" s="1" t="n">
        <v>125.3</v>
      </c>
      <c r="V263" s="1" t="n">
        <v>544</v>
      </c>
      <c r="W263" s="1" t="n">
        <v>70.2</v>
      </c>
      <c r="X263" s="1" t="n">
        <v>20.6</v>
      </c>
      <c r="Y263" s="1" t="n">
        <v>8</v>
      </c>
      <c r="Z263" s="1" t="n">
        <v>127</v>
      </c>
      <c r="AA263" s="1" t="n">
        <v>195</v>
      </c>
      <c r="AB263" s="7" t="s">
        <v>81</v>
      </c>
      <c r="AC263" s="7" t="s">
        <v>48</v>
      </c>
      <c r="AD263" s="6" t="s">
        <v>43</v>
      </c>
      <c r="AE263" s="6" t="s">
        <v>43</v>
      </c>
      <c r="AF263" s="4" t="n">
        <f aca="false">IF(T263="","",IF(T263&lt;=30,(50/30)*T263,IF(T263&lt;=60,50+((100-50)/(60-30))*(T263-30),IF(T263&lt;=90,100+((200-100)/(90-60))*(T263-60),IF(T263&lt;=120,200+((300-200)/(120-90))*(T263-90),IF(T263&lt;=250,300+((400-300)/(250-120))*(T263-120),IF(T263&lt;=380,400+((500-400)/(380-250))*(T263-250),500)))))))</f>
        <v>93.3333333333333</v>
      </c>
      <c r="AG263" s="4" t="n">
        <f aca="false">IF(U263="","",IF(U263&lt;=50,(50/50)*U263,IF(U263&lt;=100,50+((100-50)/(100-50))*(U263-50),IF(U263&lt;=250,100+((200-100)/(250-100))*(U263-100),IF(U263&lt;=350,200+((300-200)/(350-250))*(U263-250),IF(U263&lt;=430,300+((400-300)/(430-350))*(U263-350),IF(U263&lt;=600,400+((500-400)/(600-430))*(U263-430),500)))))))</f>
        <v>116.866666666667</v>
      </c>
      <c r="AH263" s="4" t="n">
        <f aca="false">IF(V263="","",IF((V263/1000)&lt;=1,(50/1)*(V263/1000),IF((V263/1000)&lt;=2,50+((100-50)/(2-1))*(V263/1000-1),IF((V263/1000)&lt;=10,100+((200-100)/(10-2))*(V263/1000-2),IF((V263/1000)&lt;=17,200+((300-200)/(17-10))*(V263/1000-10),IF((V263/1000)&lt;=34,300+((400-300)/(34-17))*(V263/1000-17),IF((V263/1000)&lt;=57,400+((500-400)/(57-34))*(V263/1000-34),500)))))))</f>
        <v>27.2</v>
      </c>
      <c r="AI263" s="4" t="n">
        <f aca="false">IF(W263="","",IF(W263&lt;=40,(50/40)*W263,IF(W263&lt;=80,50+((100-50)/(80-40))*(W263-40),IF(W263&lt;=180,100+((200-100)/(180-80))*(W263-80),IF(W263&lt;=280,200+((300-200)/(280-180))*(W263-180),IF(W263&lt;=400,300+((400-300)/(400-280))*(W263-280),IF(W263&lt;=800,400+((500-400)/(800-400))*(W263-400),500)))))))</f>
        <v>87.75</v>
      </c>
      <c r="AJ263" s="4" t="n">
        <f aca="false">IF(X263="","",IF(X263&lt;=40,(50/40)*X263,IF(X263&lt;=80,50+((100-50)/(80-40))*(X263-40),IF(X263&lt;=380,100+((200-100)/(380-80))*(X263-80),IF(X263&lt;=800,200+((300-200)/(800-380))*(X263-380),IF(X263&lt;=1600,300+((400-300)/(1600-800))*(X263-800),IF(X263&lt;=2100,400+((500-400)/(2100-1600))*(X263-1600),500)))))))</f>
        <v>25.75</v>
      </c>
      <c r="AK263" s="4" t="n">
        <f aca="false">IF(Y263="","",IF(Y263&lt;=50,(50/50)*Y263,IF(Y263&lt;=100,50+((100-50)/(100-50))*(Y263-50),IF(Y263&lt;=168,100+((200-100)/(168-100))*(Y263-100),IF(Y263&lt;=208,200+((300-200)/(208-168))*(Y263-168),IF(Y263&lt;=748,300+((400-300)/(748-208))*(Y263-208),IF(Y263&lt;=1000,400+((500-400)/(1000-748))*(Y263-748),500)))))))</f>
        <v>8</v>
      </c>
      <c r="AL263" s="4" t="n">
        <f aca="false">ROUND(MAX(AF263,AG263,AH263,AI263,AJ263,AK263),0)</f>
        <v>117</v>
      </c>
      <c r="AM263" s="4" t="str">
        <f aca="false">IF(AL263="","",IF(AL263&lt;=50,"Good",IF(AL263&lt;=100,"Satisfactory",IF(AL263&lt;=200,"Moderate",IF(AL263&lt;=300,"Poor",IF(AL263&lt;=400,"Very Poor","Severe"))))))</f>
        <v>Moderate</v>
      </c>
    </row>
    <row r="264" customFormat="false" ht="15.75" hidden="false" customHeight="false" outlineLevel="0" collapsed="false">
      <c r="A264" s="1" t="s">
        <v>39</v>
      </c>
      <c r="B264" s="1" t="s">
        <v>40</v>
      </c>
      <c r="C264" s="1" t="n">
        <v>28.4595</v>
      </c>
      <c r="D264" s="1" t="n">
        <v>77.0266</v>
      </c>
      <c r="E264" s="5" t="n">
        <v>45911</v>
      </c>
      <c r="F264" s="6" t="s">
        <v>76</v>
      </c>
      <c r="G264" s="1" t="n">
        <v>9</v>
      </c>
      <c r="H264" s="7" t="s">
        <v>80</v>
      </c>
      <c r="I264" s="6" t="s">
        <v>43</v>
      </c>
      <c r="J264" s="7" t="s">
        <v>44</v>
      </c>
      <c r="K264" s="7" t="s">
        <v>75</v>
      </c>
      <c r="L264" s="1" t="n">
        <v>79</v>
      </c>
      <c r="M264" s="1" t="n">
        <v>22.6</v>
      </c>
      <c r="N264" s="1" t="n">
        <v>9.7</v>
      </c>
      <c r="O264" s="1" t="n">
        <v>0</v>
      </c>
      <c r="P264" s="6" t="s">
        <v>43</v>
      </c>
      <c r="Q264" s="6" t="s">
        <v>43</v>
      </c>
      <c r="R264" s="1" t="n">
        <v>1006.5</v>
      </c>
      <c r="S264" s="1" t="n">
        <v>99</v>
      </c>
      <c r="T264" s="1" t="n">
        <v>55.9</v>
      </c>
      <c r="U264" s="1" t="n">
        <v>113.4</v>
      </c>
      <c r="V264" s="1" t="n">
        <v>550</v>
      </c>
      <c r="W264" s="1" t="n">
        <v>67.1</v>
      </c>
      <c r="X264" s="1" t="n">
        <v>20</v>
      </c>
      <c r="Y264" s="1" t="n">
        <v>7</v>
      </c>
      <c r="Z264" s="1" t="n">
        <v>108</v>
      </c>
      <c r="AA264" s="1" t="n">
        <v>190</v>
      </c>
      <c r="AB264" s="7" t="s">
        <v>81</v>
      </c>
      <c r="AC264" s="7" t="s">
        <v>48</v>
      </c>
      <c r="AD264" s="6" t="s">
        <v>43</v>
      </c>
      <c r="AE264" s="6" t="s">
        <v>43</v>
      </c>
      <c r="AF264" s="4" t="n">
        <f aca="false">IF(T264="","",IF(T264&lt;=30,(50/30)*T264,IF(T264&lt;=60,50+((100-50)/(60-30))*(T264-30),IF(T264&lt;=90,100+((200-100)/(90-60))*(T264-60),IF(T264&lt;=120,200+((300-200)/(120-90))*(T264-90),IF(T264&lt;=250,300+((400-300)/(250-120))*(T264-120),IF(T264&lt;=380,400+((500-400)/(380-250))*(T264-250),500)))))))</f>
        <v>93.1666666666667</v>
      </c>
      <c r="AG264" s="4" t="n">
        <f aca="false">IF(U264="","",IF(U264&lt;=50,(50/50)*U264,IF(U264&lt;=100,50+((100-50)/(100-50))*(U264-50),IF(U264&lt;=250,100+((200-100)/(250-100))*(U264-100),IF(U264&lt;=350,200+((300-200)/(350-250))*(U264-250),IF(U264&lt;=430,300+((400-300)/(430-350))*(U264-350),IF(U264&lt;=600,400+((500-400)/(600-430))*(U264-430),500)))))))</f>
        <v>108.933333333333</v>
      </c>
      <c r="AH264" s="4" t="n">
        <f aca="false">IF(V264="","",IF((V264/1000)&lt;=1,(50/1)*(V264/1000),IF((V264/1000)&lt;=2,50+((100-50)/(2-1))*(V264/1000-1),IF((V264/1000)&lt;=10,100+((200-100)/(10-2))*(V264/1000-2),IF((V264/1000)&lt;=17,200+((300-200)/(17-10))*(V264/1000-10),IF((V264/1000)&lt;=34,300+((400-300)/(34-17))*(V264/1000-17),IF((V264/1000)&lt;=57,400+((500-400)/(57-34))*(V264/1000-34),500)))))))</f>
        <v>27.5</v>
      </c>
      <c r="AI264" s="4" t="n">
        <f aca="false">IF(W264="","",IF(W264&lt;=40,(50/40)*W264,IF(W264&lt;=80,50+((100-50)/(80-40))*(W264-40),IF(W264&lt;=180,100+((200-100)/(180-80))*(W264-80),IF(W264&lt;=280,200+((300-200)/(280-180))*(W264-180),IF(W264&lt;=400,300+((400-300)/(400-280))*(W264-280),IF(W264&lt;=800,400+((500-400)/(800-400))*(W264-400),500)))))))</f>
        <v>83.875</v>
      </c>
      <c r="AJ264" s="4" t="n">
        <f aca="false">IF(X264="","",IF(X264&lt;=40,(50/40)*X264,IF(X264&lt;=80,50+((100-50)/(80-40))*(X264-40),IF(X264&lt;=380,100+((200-100)/(380-80))*(X264-80),IF(X264&lt;=800,200+((300-200)/(800-380))*(X264-380),IF(X264&lt;=1600,300+((400-300)/(1600-800))*(X264-800),IF(X264&lt;=2100,400+((500-400)/(2100-1600))*(X264-1600),500)))))))</f>
        <v>25</v>
      </c>
      <c r="AK264" s="4" t="n">
        <f aca="false">IF(Y264="","",IF(Y264&lt;=50,(50/50)*Y264,IF(Y264&lt;=100,50+((100-50)/(100-50))*(Y264-50),IF(Y264&lt;=168,100+((200-100)/(168-100))*(Y264-100),IF(Y264&lt;=208,200+((300-200)/(208-168))*(Y264-168),IF(Y264&lt;=748,300+((400-300)/(748-208))*(Y264-208),IF(Y264&lt;=1000,400+((500-400)/(1000-748))*(Y264-748),500)))))))</f>
        <v>7</v>
      </c>
      <c r="AL264" s="4" t="n">
        <f aca="false">ROUND(MAX(AF264,AG264,AH264,AI264,AJ264,AK264),0)</f>
        <v>109</v>
      </c>
      <c r="AM264" s="4" t="str">
        <f aca="false">IF(AL264="","",IF(AL264&lt;=50,"Good",IF(AL264&lt;=100,"Satisfactory",IF(AL264&lt;=200,"Moderate",IF(AL264&lt;=300,"Poor",IF(AL264&lt;=400,"Very Poor","Severe"))))))</f>
        <v>Moderate</v>
      </c>
    </row>
    <row r="265" customFormat="false" ht="15.75" hidden="false" customHeight="false" outlineLevel="0" collapsed="false">
      <c r="A265" s="1" t="s">
        <v>39</v>
      </c>
      <c r="B265" s="1" t="s">
        <v>40</v>
      </c>
      <c r="C265" s="1" t="n">
        <v>28.4595</v>
      </c>
      <c r="D265" s="1" t="n">
        <v>77.0266</v>
      </c>
      <c r="E265" s="5" t="n">
        <v>45911</v>
      </c>
      <c r="F265" s="6" t="s">
        <v>77</v>
      </c>
      <c r="G265" s="1" t="n">
        <v>9</v>
      </c>
      <c r="H265" s="7" t="s">
        <v>80</v>
      </c>
      <c r="I265" s="6" t="s">
        <v>43</v>
      </c>
      <c r="J265" s="7" t="s">
        <v>44</v>
      </c>
      <c r="K265" s="7" t="s">
        <v>75</v>
      </c>
      <c r="L265" s="1" t="n">
        <v>76</v>
      </c>
      <c r="M265" s="1" t="n">
        <v>21.3</v>
      </c>
      <c r="N265" s="1" t="n">
        <v>9.7</v>
      </c>
      <c r="O265" s="1" t="n">
        <v>0</v>
      </c>
      <c r="P265" s="6" t="s">
        <v>43</v>
      </c>
      <c r="Q265" s="6" t="s">
        <v>43</v>
      </c>
      <c r="R265" s="1" t="n">
        <v>1006.5</v>
      </c>
      <c r="S265" s="1" t="n">
        <v>100</v>
      </c>
      <c r="T265" s="1" t="n">
        <v>54.9</v>
      </c>
      <c r="U265" s="1" t="n">
        <v>104.1</v>
      </c>
      <c r="V265" s="1" t="n">
        <v>528</v>
      </c>
      <c r="W265" s="1" t="n">
        <v>63.1</v>
      </c>
      <c r="X265" s="1" t="n">
        <v>19</v>
      </c>
      <c r="Y265" s="1" t="n">
        <v>7</v>
      </c>
      <c r="Z265" s="1" t="n">
        <v>92</v>
      </c>
      <c r="AA265" s="1" t="n">
        <v>186</v>
      </c>
      <c r="AB265" s="7" t="s">
        <v>81</v>
      </c>
      <c r="AC265" s="7" t="s">
        <v>48</v>
      </c>
      <c r="AD265" s="6" t="s">
        <v>43</v>
      </c>
      <c r="AE265" s="6" t="s">
        <v>43</v>
      </c>
      <c r="AF265" s="4" t="n">
        <f aca="false">IF(T265="","",IF(T265&lt;=30,(50/30)*T265,IF(T265&lt;=60,50+((100-50)/(60-30))*(T265-30),IF(T265&lt;=90,100+((200-100)/(90-60))*(T265-60),IF(T265&lt;=120,200+((300-200)/(120-90))*(T265-90),IF(T265&lt;=250,300+((400-300)/(250-120))*(T265-120),IF(T265&lt;=380,400+((500-400)/(380-250))*(T265-250),500)))))))</f>
        <v>91.5</v>
      </c>
      <c r="AG265" s="4" t="n">
        <f aca="false">IF(U265="","",IF(U265&lt;=50,(50/50)*U265,IF(U265&lt;=100,50+((100-50)/(100-50))*(U265-50),IF(U265&lt;=250,100+((200-100)/(250-100))*(U265-100),IF(U265&lt;=350,200+((300-200)/(350-250))*(U265-250),IF(U265&lt;=430,300+((400-300)/(430-350))*(U265-350),IF(U265&lt;=600,400+((500-400)/(600-430))*(U265-430),500)))))))</f>
        <v>102.733333333333</v>
      </c>
      <c r="AH265" s="4" t="n">
        <f aca="false">IF(V265="","",IF((V265/1000)&lt;=1,(50/1)*(V265/1000),IF((V265/1000)&lt;=2,50+((100-50)/(2-1))*(V265/1000-1),IF((V265/1000)&lt;=10,100+((200-100)/(10-2))*(V265/1000-2),IF((V265/1000)&lt;=17,200+((300-200)/(17-10))*(V265/1000-10),IF((V265/1000)&lt;=34,300+((400-300)/(34-17))*(V265/1000-17),IF((V265/1000)&lt;=57,400+((500-400)/(57-34))*(V265/1000-34),500)))))))</f>
        <v>26.4</v>
      </c>
      <c r="AI265" s="4" t="n">
        <f aca="false">IF(W265="","",IF(W265&lt;=40,(50/40)*W265,IF(W265&lt;=80,50+((100-50)/(80-40))*(W265-40),IF(W265&lt;=180,100+((200-100)/(180-80))*(W265-80),IF(W265&lt;=280,200+((300-200)/(280-180))*(W265-180),IF(W265&lt;=400,300+((400-300)/(400-280))*(W265-280),IF(W265&lt;=800,400+((500-400)/(800-400))*(W265-400),500)))))))</f>
        <v>78.875</v>
      </c>
      <c r="AJ265" s="4" t="n">
        <f aca="false">IF(X265="","",IF(X265&lt;=40,(50/40)*X265,IF(X265&lt;=80,50+((100-50)/(80-40))*(X265-40),IF(X265&lt;=380,100+((200-100)/(380-80))*(X265-80),IF(X265&lt;=800,200+((300-200)/(800-380))*(X265-380),IF(X265&lt;=1600,300+((400-300)/(1600-800))*(X265-800),IF(X265&lt;=2100,400+((500-400)/(2100-1600))*(X265-1600),500)))))))</f>
        <v>23.75</v>
      </c>
      <c r="AK265" s="4" t="n">
        <f aca="false">IF(Y265="","",IF(Y265&lt;=50,(50/50)*Y265,IF(Y265&lt;=100,50+((100-50)/(100-50))*(Y265-50),IF(Y265&lt;=168,100+((200-100)/(168-100))*(Y265-100),IF(Y265&lt;=208,200+((300-200)/(208-168))*(Y265-168),IF(Y265&lt;=748,300+((400-300)/(748-208))*(Y265-208),IF(Y265&lt;=1000,400+((500-400)/(1000-748))*(Y265-748),500)))))))</f>
        <v>7</v>
      </c>
      <c r="AL265" s="4" t="n">
        <f aca="false">ROUND(MAX(AF265,AG265,AH265,AI265,AJ265,AK265),0)</f>
        <v>103</v>
      </c>
      <c r="AM265" s="4" t="str">
        <f aca="false">IF(AL265="","",IF(AL265&lt;=50,"Good",IF(AL265&lt;=100,"Satisfactory",IF(AL265&lt;=200,"Moderate",IF(AL265&lt;=300,"Poor",IF(AL265&lt;=400,"Very Poor","Severe"))))))</f>
        <v>Moderate</v>
      </c>
    </row>
    <row r="266" customFormat="false" ht="15.75" hidden="false" customHeight="false" outlineLevel="0" collapsed="false">
      <c r="A266" s="1" t="s">
        <v>39</v>
      </c>
      <c r="B266" s="1" t="s">
        <v>40</v>
      </c>
      <c r="C266" s="1" t="n">
        <v>28.4595</v>
      </c>
      <c r="D266" s="1" t="n">
        <v>77.0266</v>
      </c>
      <c r="E266" s="5" t="n">
        <v>45912</v>
      </c>
      <c r="F266" s="6" t="s">
        <v>41</v>
      </c>
      <c r="G266" s="1" t="n">
        <v>9</v>
      </c>
      <c r="H266" s="7" t="s">
        <v>85</v>
      </c>
      <c r="I266" s="6" t="s">
        <v>43</v>
      </c>
      <c r="J266" s="7" t="s">
        <v>44</v>
      </c>
      <c r="K266" s="7" t="s">
        <v>45</v>
      </c>
      <c r="L266" s="1" t="n">
        <v>75</v>
      </c>
      <c r="M266" s="1" t="n">
        <v>20.8</v>
      </c>
      <c r="N266" s="1" t="n">
        <v>10.1</v>
      </c>
      <c r="O266" s="1" t="n">
        <v>0</v>
      </c>
      <c r="P266" s="6" t="s">
        <v>43</v>
      </c>
      <c r="Q266" s="6" t="s">
        <v>43</v>
      </c>
      <c r="R266" s="1" t="n">
        <v>1006.5</v>
      </c>
      <c r="S266" s="1" t="n">
        <v>100</v>
      </c>
      <c r="T266" s="1" t="n">
        <v>52.6</v>
      </c>
      <c r="U266" s="1" t="n">
        <v>93.4</v>
      </c>
      <c r="V266" s="1" t="n">
        <v>455</v>
      </c>
      <c r="W266" s="1" t="n">
        <v>59.8</v>
      </c>
      <c r="X266" s="1" t="n">
        <v>17.9</v>
      </c>
      <c r="Y266" s="1" t="n">
        <v>6</v>
      </c>
      <c r="Z266" s="1" t="n">
        <v>70</v>
      </c>
      <c r="AA266" s="1" t="n">
        <v>182</v>
      </c>
      <c r="AB266" s="7" t="s">
        <v>81</v>
      </c>
      <c r="AC266" s="7" t="s">
        <v>48</v>
      </c>
      <c r="AD266" s="6" t="s">
        <v>43</v>
      </c>
      <c r="AE266" s="6" t="s">
        <v>43</v>
      </c>
      <c r="AF266" s="4" t="n">
        <f aca="false">IF(T266="","",IF(T266&lt;=30,(50/30)*T266,IF(T266&lt;=60,50+((100-50)/(60-30))*(T266-30),IF(T266&lt;=90,100+((200-100)/(90-60))*(T266-60),IF(T266&lt;=120,200+((300-200)/(120-90))*(T266-90),IF(T266&lt;=250,300+((400-300)/(250-120))*(T266-120),IF(T266&lt;=380,400+((500-400)/(380-250))*(T266-250),500)))))))</f>
        <v>87.6666666666667</v>
      </c>
      <c r="AG266" s="4" t="n">
        <f aca="false">IF(U266="","",IF(U266&lt;=50,(50/50)*U266,IF(U266&lt;=100,50+((100-50)/(100-50))*(U266-50),IF(U266&lt;=250,100+((200-100)/(250-100))*(U266-100),IF(U266&lt;=350,200+((300-200)/(350-250))*(U266-250),IF(U266&lt;=430,300+((400-300)/(430-350))*(U266-350),IF(U266&lt;=600,400+((500-400)/(600-430))*(U266-430),500)))))))</f>
        <v>93.4</v>
      </c>
      <c r="AH266" s="4" t="n">
        <f aca="false">IF(V266="","",IF((V266/1000)&lt;=1,(50/1)*(V266/1000),IF((V266/1000)&lt;=2,50+((100-50)/(2-1))*(V266/1000-1),IF((V266/1000)&lt;=10,100+((200-100)/(10-2))*(V266/1000-2),IF((V266/1000)&lt;=17,200+((300-200)/(17-10))*(V266/1000-10),IF((V266/1000)&lt;=34,300+((400-300)/(34-17))*(V266/1000-17),IF((V266/1000)&lt;=57,400+((500-400)/(57-34))*(V266/1000-34),500)))))))</f>
        <v>22.75</v>
      </c>
      <c r="AI266" s="4" t="n">
        <f aca="false">IF(W266="","",IF(W266&lt;=40,(50/40)*W266,IF(W266&lt;=80,50+((100-50)/(80-40))*(W266-40),IF(W266&lt;=180,100+((200-100)/(180-80))*(W266-80),IF(W266&lt;=280,200+((300-200)/(280-180))*(W266-180),IF(W266&lt;=400,300+((400-300)/(400-280))*(W266-280),IF(W266&lt;=800,400+((500-400)/(800-400))*(W266-400),500)))))))</f>
        <v>74.75</v>
      </c>
      <c r="AJ266" s="4" t="n">
        <f aca="false">IF(X266="","",IF(X266&lt;=40,(50/40)*X266,IF(X266&lt;=80,50+((100-50)/(80-40))*(X266-40),IF(X266&lt;=380,100+((200-100)/(380-80))*(X266-80),IF(X266&lt;=800,200+((300-200)/(800-380))*(X266-380),IF(X266&lt;=1600,300+((400-300)/(1600-800))*(X266-800),IF(X266&lt;=2100,400+((500-400)/(2100-1600))*(X266-1600),500)))))))</f>
        <v>22.375</v>
      </c>
      <c r="AK266" s="4" t="n">
        <f aca="false">IF(Y266="","",IF(Y266&lt;=50,(50/50)*Y266,IF(Y266&lt;=100,50+((100-50)/(100-50))*(Y266-50),IF(Y266&lt;=168,100+((200-100)/(168-100))*(Y266-100),IF(Y266&lt;=208,200+((300-200)/(208-168))*(Y266-168),IF(Y266&lt;=748,300+((400-300)/(748-208))*(Y266-208),IF(Y266&lt;=1000,400+((500-400)/(1000-748))*(Y266-748),500)))))))</f>
        <v>6</v>
      </c>
      <c r="AL266" s="4" t="n">
        <f aca="false">ROUND(MAX(AF266,AG266,AH266,AI266,AJ266,AK266),0)</f>
        <v>93</v>
      </c>
      <c r="AM266" s="4" t="str">
        <f aca="false">IF(AL266="","",IF(AL266&lt;=50,"Good",IF(AL266&lt;=100,"Satisfactory",IF(AL266&lt;=200,"Moderate",IF(AL266&lt;=300,"Poor",IF(AL266&lt;=400,"Very Poor","Severe"))))))</f>
        <v>Satisfactory</v>
      </c>
    </row>
    <row r="267" customFormat="false" ht="15.75" hidden="false" customHeight="false" outlineLevel="0" collapsed="false">
      <c r="A267" s="1" t="s">
        <v>39</v>
      </c>
      <c r="B267" s="1" t="s">
        <v>40</v>
      </c>
      <c r="C267" s="1" t="n">
        <v>28.4595</v>
      </c>
      <c r="D267" s="1" t="n">
        <v>77.0266</v>
      </c>
      <c r="E267" s="5" t="n">
        <v>45912</v>
      </c>
      <c r="F267" s="6" t="s">
        <v>49</v>
      </c>
      <c r="G267" s="1" t="n">
        <v>9</v>
      </c>
      <c r="H267" s="7" t="s">
        <v>85</v>
      </c>
      <c r="I267" s="6" t="s">
        <v>43</v>
      </c>
      <c r="J267" s="7" t="s">
        <v>44</v>
      </c>
      <c r="K267" s="7" t="s">
        <v>45</v>
      </c>
      <c r="L267" s="1" t="n">
        <v>78</v>
      </c>
      <c r="M267" s="1" t="n">
        <v>20.9</v>
      </c>
      <c r="N267" s="1" t="n">
        <v>10.1</v>
      </c>
      <c r="O267" s="1" t="n">
        <v>0</v>
      </c>
      <c r="P267" s="6" t="s">
        <v>43</v>
      </c>
      <c r="Q267" s="6" t="s">
        <v>43</v>
      </c>
      <c r="R267" s="1" t="n">
        <v>1006.2</v>
      </c>
      <c r="S267" s="1" t="n">
        <v>100</v>
      </c>
      <c r="T267" s="1" t="n">
        <v>49.4</v>
      </c>
      <c r="U267" s="1" t="n">
        <v>81</v>
      </c>
      <c r="V267" s="1" t="n">
        <v>353</v>
      </c>
      <c r="W267" s="1" t="n">
        <v>55.7</v>
      </c>
      <c r="X267" s="1" t="n">
        <v>16.4</v>
      </c>
      <c r="Y267" s="1" t="n">
        <v>6</v>
      </c>
      <c r="Z267" s="1" t="n">
        <v>52</v>
      </c>
      <c r="AA267" s="1" t="n">
        <v>178</v>
      </c>
      <c r="AB267" s="7" t="s">
        <v>81</v>
      </c>
      <c r="AC267" s="7" t="s">
        <v>48</v>
      </c>
      <c r="AD267" s="6" t="s">
        <v>43</v>
      </c>
      <c r="AE267" s="6" t="s">
        <v>43</v>
      </c>
      <c r="AF267" s="4" t="n">
        <f aca="false">IF(T267="","",IF(T267&lt;=30,(50/30)*T267,IF(T267&lt;=60,50+((100-50)/(60-30))*(T267-30),IF(T267&lt;=90,100+((200-100)/(90-60))*(T267-60),IF(T267&lt;=120,200+((300-200)/(120-90))*(T267-90),IF(T267&lt;=250,300+((400-300)/(250-120))*(T267-120),IF(T267&lt;=380,400+((500-400)/(380-250))*(T267-250),500)))))))</f>
        <v>82.3333333333333</v>
      </c>
      <c r="AG267" s="4" t="n">
        <f aca="false">IF(U267="","",IF(U267&lt;=50,(50/50)*U267,IF(U267&lt;=100,50+((100-50)/(100-50))*(U267-50),IF(U267&lt;=250,100+((200-100)/(250-100))*(U267-100),IF(U267&lt;=350,200+((300-200)/(350-250))*(U267-250),IF(U267&lt;=430,300+((400-300)/(430-350))*(U267-350),IF(U267&lt;=600,400+((500-400)/(600-430))*(U267-430),500)))))))</f>
        <v>81</v>
      </c>
      <c r="AH267" s="4" t="n">
        <f aca="false">IF(V267="","",IF((V267/1000)&lt;=1,(50/1)*(V267/1000),IF((V267/1000)&lt;=2,50+((100-50)/(2-1))*(V267/1000-1),IF((V267/1000)&lt;=10,100+((200-100)/(10-2))*(V267/1000-2),IF((V267/1000)&lt;=17,200+((300-200)/(17-10))*(V267/1000-10),IF((V267/1000)&lt;=34,300+((400-300)/(34-17))*(V267/1000-17),IF((V267/1000)&lt;=57,400+((500-400)/(57-34))*(V267/1000-34),500)))))))</f>
        <v>17.65</v>
      </c>
      <c r="AI267" s="4" t="n">
        <f aca="false">IF(W267="","",IF(W267&lt;=40,(50/40)*W267,IF(W267&lt;=80,50+((100-50)/(80-40))*(W267-40),IF(W267&lt;=180,100+((200-100)/(180-80))*(W267-80),IF(W267&lt;=280,200+((300-200)/(280-180))*(W267-180),IF(W267&lt;=400,300+((400-300)/(400-280))*(W267-280),IF(W267&lt;=800,400+((500-400)/(800-400))*(W267-400),500)))))))</f>
        <v>69.625</v>
      </c>
      <c r="AJ267" s="4" t="n">
        <f aca="false">IF(X267="","",IF(X267&lt;=40,(50/40)*X267,IF(X267&lt;=80,50+((100-50)/(80-40))*(X267-40),IF(X267&lt;=380,100+((200-100)/(380-80))*(X267-80),IF(X267&lt;=800,200+((300-200)/(800-380))*(X267-380),IF(X267&lt;=1600,300+((400-300)/(1600-800))*(X267-800),IF(X267&lt;=2100,400+((500-400)/(2100-1600))*(X267-1600),500)))))))</f>
        <v>20.5</v>
      </c>
      <c r="AK267" s="4" t="n">
        <f aca="false">IF(Y267="","",IF(Y267&lt;=50,(50/50)*Y267,IF(Y267&lt;=100,50+((100-50)/(100-50))*(Y267-50),IF(Y267&lt;=168,100+((200-100)/(168-100))*(Y267-100),IF(Y267&lt;=208,200+((300-200)/(208-168))*(Y267-168),IF(Y267&lt;=748,300+((400-300)/(748-208))*(Y267-208),IF(Y267&lt;=1000,400+((500-400)/(1000-748))*(Y267-748),500)))))))</f>
        <v>6</v>
      </c>
      <c r="AL267" s="4" t="n">
        <f aca="false">ROUND(MAX(AF267,AG267,AH267,AI267,AJ267,AK267),0)</f>
        <v>82</v>
      </c>
      <c r="AM267" s="4" t="str">
        <f aca="false">IF(AL267="","",IF(AL267&lt;=50,"Good",IF(AL267&lt;=100,"Satisfactory",IF(AL267&lt;=200,"Moderate",IF(AL267&lt;=300,"Poor",IF(AL267&lt;=400,"Very Poor","Severe"))))))</f>
        <v>Satisfactory</v>
      </c>
    </row>
    <row r="268" customFormat="false" ht="15.75" hidden="false" customHeight="false" outlineLevel="0" collapsed="false">
      <c r="A268" s="1" t="s">
        <v>39</v>
      </c>
      <c r="B268" s="1" t="s">
        <v>40</v>
      </c>
      <c r="C268" s="1" t="n">
        <v>28.4595</v>
      </c>
      <c r="D268" s="1" t="n">
        <v>77.0266</v>
      </c>
      <c r="E268" s="5" t="n">
        <v>45912</v>
      </c>
      <c r="F268" s="6" t="s">
        <v>51</v>
      </c>
      <c r="G268" s="1" t="n">
        <v>9</v>
      </c>
      <c r="H268" s="7" t="s">
        <v>85</v>
      </c>
      <c r="I268" s="6" t="s">
        <v>43</v>
      </c>
      <c r="J268" s="7" t="s">
        <v>44</v>
      </c>
      <c r="K268" s="7" t="s">
        <v>45</v>
      </c>
      <c r="L268" s="1" t="n">
        <v>81</v>
      </c>
      <c r="M268" s="1" t="n">
        <v>21.1</v>
      </c>
      <c r="N268" s="1" t="n">
        <v>13.7</v>
      </c>
      <c r="O268" s="1" t="n">
        <v>0</v>
      </c>
      <c r="P268" s="6" t="s">
        <v>43</v>
      </c>
      <c r="Q268" s="6" t="s">
        <v>43</v>
      </c>
      <c r="R268" s="1" t="n">
        <v>1005.9</v>
      </c>
      <c r="S268" s="1" t="n">
        <v>89</v>
      </c>
      <c r="T268" s="1" t="n">
        <v>45.2</v>
      </c>
      <c r="U268" s="1" t="n">
        <v>68</v>
      </c>
      <c r="V268" s="1" t="n">
        <v>283</v>
      </c>
      <c r="W268" s="1" t="n">
        <v>51.3</v>
      </c>
      <c r="X268" s="1" t="n">
        <v>15.1</v>
      </c>
      <c r="Y268" s="1" t="n">
        <v>7</v>
      </c>
      <c r="Z268" s="1" t="n">
        <v>43</v>
      </c>
      <c r="AA268" s="1" t="n">
        <v>174</v>
      </c>
      <c r="AB268" s="7" t="s">
        <v>81</v>
      </c>
      <c r="AC268" s="7" t="s">
        <v>48</v>
      </c>
      <c r="AD268" s="6" t="s">
        <v>43</v>
      </c>
      <c r="AE268" s="6" t="s">
        <v>43</v>
      </c>
      <c r="AF268" s="4" t="n">
        <f aca="false">IF(T268="","",IF(T268&lt;=30,(50/30)*T268,IF(T268&lt;=60,50+((100-50)/(60-30))*(T268-30),IF(T268&lt;=90,100+((200-100)/(90-60))*(T268-60),IF(T268&lt;=120,200+((300-200)/(120-90))*(T268-90),IF(T268&lt;=250,300+((400-300)/(250-120))*(T268-120),IF(T268&lt;=380,400+((500-400)/(380-250))*(T268-250),500)))))))</f>
        <v>75.3333333333333</v>
      </c>
      <c r="AG268" s="4" t="n">
        <f aca="false">IF(U268="","",IF(U268&lt;=50,(50/50)*U268,IF(U268&lt;=100,50+((100-50)/(100-50))*(U268-50),IF(U268&lt;=250,100+((200-100)/(250-100))*(U268-100),IF(U268&lt;=350,200+((300-200)/(350-250))*(U268-250),IF(U268&lt;=430,300+((400-300)/(430-350))*(U268-350),IF(U268&lt;=600,400+((500-400)/(600-430))*(U268-430),500)))))))</f>
        <v>68</v>
      </c>
      <c r="AH268" s="4" t="n">
        <f aca="false">IF(V268="","",IF((V268/1000)&lt;=1,(50/1)*(V268/1000),IF((V268/1000)&lt;=2,50+((100-50)/(2-1))*(V268/1000-1),IF((V268/1000)&lt;=10,100+((200-100)/(10-2))*(V268/1000-2),IF((V268/1000)&lt;=17,200+((300-200)/(17-10))*(V268/1000-10),IF((V268/1000)&lt;=34,300+((400-300)/(34-17))*(V268/1000-17),IF((V268/1000)&lt;=57,400+((500-400)/(57-34))*(V268/1000-34),500)))))))</f>
        <v>14.15</v>
      </c>
      <c r="AI268" s="4" t="n">
        <f aca="false">IF(W268="","",IF(W268&lt;=40,(50/40)*W268,IF(W268&lt;=80,50+((100-50)/(80-40))*(W268-40),IF(W268&lt;=180,100+((200-100)/(180-80))*(W268-80),IF(W268&lt;=280,200+((300-200)/(280-180))*(W268-180),IF(W268&lt;=400,300+((400-300)/(400-280))*(W268-280),IF(W268&lt;=800,400+((500-400)/(800-400))*(W268-400),500)))))))</f>
        <v>64.125</v>
      </c>
      <c r="AJ268" s="4" t="n">
        <f aca="false">IF(X268="","",IF(X268&lt;=40,(50/40)*X268,IF(X268&lt;=80,50+((100-50)/(80-40))*(X268-40),IF(X268&lt;=380,100+((200-100)/(380-80))*(X268-80),IF(X268&lt;=800,200+((300-200)/(800-380))*(X268-380),IF(X268&lt;=1600,300+((400-300)/(1600-800))*(X268-800),IF(X268&lt;=2100,400+((500-400)/(2100-1600))*(X268-1600),500)))))))</f>
        <v>18.875</v>
      </c>
      <c r="AK268" s="4" t="n">
        <f aca="false">IF(Y268="","",IF(Y268&lt;=50,(50/50)*Y268,IF(Y268&lt;=100,50+((100-50)/(100-50))*(Y268-50),IF(Y268&lt;=168,100+((200-100)/(168-100))*(Y268-100),IF(Y268&lt;=208,200+((300-200)/(208-168))*(Y268-168),IF(Y268&lt;=748,300+((400-300)/(748-208))*(Y268-208),IF(Y268&lt;=1000,400+((500-400)/(1000-748))*(Y268-748),500)))))))</f>
        <v>7</v>
      </c>
      <c r="AL268" s="4" t="n">
        <f aca="false">ROUND(MAX(AF268,AG268,AH268,AI268,AJ268,AK268),0)</f>
        <v>75</v>
      </c>
      <c r="AM268" s="4" t="str">
        <f aca="false">IF(AL268="","",IF(AL268&lt;=50,"Good",IF(AL268&lt;=100,"Satisfactory",IF(AL268&lt;=200,"Moderate",IF(AL268&lt;=300,"Poor",IF(AL268&lt;=400,"Very Poor","Severe"))))))</f>
        <v>Satisfactory</v>
      </c>
    </row>
    <row r="269" customFormat="false" ht="15.75" hidden="false" customHeight="false" outlineLevel="0" collapsed="false">
      <c r="A269" s="1" t="s">
        <v>39</v>
      </c>
      <c r="B269" s="1" t="s">
        <v>40</v>
      </c>
      <c r="C269" s="1" t="n">
        <v>28.4595</v>
      </c>
      <c r="D269" s="1" t="n">
        <v>77.0266</v>
      </c>
      <c r="E269" s="5" t="n">
        <v>45912</v>
      </c>
      <c r="F269" s="6" t="s">
        <v>52</v>
      </c>
      <c r="G269" s="1" t="n">
        <v>9</v>
      </c>
      <c r="H269" s="7" t="s">
        <v>85</v>
      </c>
      <c r="I269" s="6" t="s">
        <v>43</v>
      </c>
      <c r="J269" s="7" t="s">
        <v>44</v>
      </c>
      <c r="K269" s="7" t="s">
        <v>45</v>
      </c>
      <c r="L269" s="1" t="n">
        <v>82</v>
      </c>
      <c r="M269" s="1" t="n">
        <v>21</v>
      </c>
      <c r="N269" s="1" t="n">
        <v>15.5</v>
      </c>
      <c r="O269" s="1" t="n">
        <v>0</v>
      </c>
      <c r="P269" s="6" t="s">
        <v>43</v>
      </c>
      <c r="Q269" s="6" t="s">
        <v>43</v>
      </c>
      <c r="R269" s="1" t="n">
        <v>1005.8</v>
      </c>
      <c r="S269" s="1" t="n">
        <v>90</v>
      </c>
      <c r="T269" s="1" t="n">
        <v>41.3</v>
      </c>
      <c r="U269" s="1" t="n">
        <v>67.8</v>
      </c>
      <c r="V269" s="1" t="n">
        <v>273</v>
      </c>
      <c r="W269" s="1" t="n">
        <v>46.8</v>
      </c>
      <c r="X269" s="1" t="n">
        <v>14.1</v>
      </c>
      <c r="Y269" s="1" t="n">
        <v>8</v>
      </c>
      <c r="Z269" s="1" t="n">
        <v>43</v>
      </c>
      <c r="AA269" s="1" t="n">
        <v>171</v>
      </c>
      <c r="AB269" s="7" t="s">
        <v>81</v>
      </c>
      <c r="AC269" s="7" t="s">
        <v>48</v>
      </c>
      <c r="AD269" s="6" t="s">
        <v>43</v>
      </c>
      <c r="AE269" s="6" t="s">
        <v>43</v>
      </c>
      <c r="AF269" s="4" t="n">
        <f aca="false">IF(T269="","",IF(T269&lt;=30,(50/30)*T269,IF(T269&lt;=60,50+((100-50)/(60-30))*(T269-30),IF(T269&lt;=90,100+((200-100)/(90-60))*(T269-60),IF(T269&lt;=120,200+((300-200)/(120-90))*(T269-90),IF(T269&lt;=250,300+((400-300)/(250-120))*(T269-120),IF(T269&lt;=380,400+((500-400)/(380-250))*(T269-250),500)))))))</f>
        <v>68.8333333333333</v>
      </c>
      <c r="AG269" s="4" t="n">
        <f aca="false">IF(U269="","",IF(U269&lt;=50,(50/50)*U269,IF(U269&lt;=100,50+((100-50)/(100-50))*(U269-50),IF(U269&lt;=250,100+((200-100)/(250-100))*(U269-100),IF(U269&lt;=350,200+((300-200)/(350-250))*(U269-250),IF(U269&lt;=430,300+((400-300)/(430-350))*(U269-350),IF(U269&lt;=600,400+((500-400)/(600-430))*(U269-430),500)))))))</f>
        <v>67.8</v>
      </c>
      <c r="AH269" s="4" t="n">
        <f aca="false">IF(V269="","",IF((V269/1000)&lt;=1,(50/1)*(V269/1000),IF((V269/1000)&lt;=2,50+((100-50)/(2-1))*(V269/1000-1),IF((V269/1000)&lt;=10,100+((200-100)/(10-2))*(V269/1000-2),IF((V269/1000)&lt;=17,200+((300-200)/(17-10))*(V269/1000-10),IF((V269/1000)&lt;=34,300+((400-300)/(34-17))*(V269/1000-17),IF((V269/1000)&lt;=57,400+((500-400)/(57-34))*(V269/1000-34),500)))))))</f>
        <v>13.65</v>
      </c>
      <c r="AI269" s="4" t="n">
        <f aca="false">IF(W269="","",IF(W269&lt;=40,(50/40)*W269,IF(W269&lt;=80,50+((100-50)/(80-40))*(W269-40),IF(W269&lt;=180,100+((200-100)/(180-80))*(W269-80),IF(W269&lt;=280,200+((300-200)/(280-180))*(W269-180),IF(W269&lt;=400,300+((400-300)/(400-280))*(W269-280),IF(W269&lt;=800,400+((500-400)/(800-400))*(W269-400),500)))))))</f>
        <v>58.5</v>
      </c>
      <c r="AJ269" s="4" t="n">
        <f aca="false">IF(X269="","",IF(X269&lt;=40,(50/40)*X269,IF(X269&lt;=80,50+((100-50)/(80-40))*(X269-40),IF(X269&lt;=380,100+((200-100)/(380-80))*(X269-80),IF(X269&lt;=800,200+((300-200)/(800-380))*(X269-380),IF(X269&lt;=1600,300+((400-300)/(1600-800))*(X269-800),IF(X269&lt;=2100,400+((500-400)/(2100-1600))*(X269-1600),500)))))))</f>
        <v>17.625</v>
      </c>
      <c r="AK269" s="4" t="n">
        <f aca="false">IF(Y269="","",IF(Y269&lt;=50,(50/50)*Y269,IF(Y269&lt;=100,50+((100-50)/(100-50))*(Y269-50),IF(Y269&lt;=168,100+((200-100)/(168-100))*(Y269-100),IF(Y269&lt;=208,200+((300-200)/(208-168))*(Y269-168),IF(Y269&lt;=748,300+((400-300)/(748-208))*(Y269-208),IF(Y269&lt;=1000,400+((500-400)/(1000-748))*(Y269-748),500)))))))</f>
        <v>8</v>
      </c>
      <c r="AL269" s="4" t="n">
        <f aca="false">ROUND(MAX(AF269,AG269,AH269,AI269,AJ269,AK269),0)</f>
        <v>69</v>
      </c>
      <c r="AM269" s="4" t="str">
        <f aca="false">IF(AL269="","",IF(AL269&lt;=50,"Good",IF(AL269&lt;=100,"Satisfactory",IF(AL269&lt;=200,"Moderate",IF(AL269&lt;=300,"Poor",IF(AL269&lt;=400,"Very Poor","Severe"))))))</f>
        <v>Satisfactory</v>
      </c>
    </row>
    <row r="270" customFormat="false" ht="15.75" hidden="false" customHeight="false" outlineLevel="0" collapsed="false">
      <c r="A270" s="1" t="s">
        <v>39</v>
      </c>
      <c r="B270" s="1" t="s">
        <v>40</v>
      </c>
      <c r="C270" s="1" t="n">
        <v>28.4595</v>
      </c>
      <c r="D270" s="1" t="n">
        <v>77.0266</v>
      </c>
      <c r="E270" s="5" t="n">
        <v>45912</v>
      </c>
      <c r="F270" s="6" t="s">
        <v>53</v>
      </c>
      <c r="G270" s="1" t="n">
        <v>9</v>
      </c>
      <c r="H270" s="7" t="s">
        <v>85</v>
      </c>
      <c r="I270" s="6" t="s">
        <v>43</v>
      </c>
      <c r="J270" s="7" t="s">
        <v>44</v>
      </c>
      <c r="K270" s="7" t="s">
        <v>45</v>
      </c>
      <c r="L270" s="1" t="n">
        <v>82</v>
      </c>
      <c r="M270" s="1" t="n">
        <v>20.8</v>
      </c>
      <c r="N270" s="1" t="n">
        <v>16.6</v>
      </c>
      <c r="O270" s="1" t="n">
        <v>0</v>
      </c>
      <c r="P270" s="6" t="s">
        <v>43</v>
      </c>
      <c r="Q270" s="6" t="s">
        <v>43</v>
      </c>
      <c r="R270" s="1" t="n">
        <v>1006</v>
      </c>
      <c r="S270" s="1" t="n">
        <v>43</v>
      </c>
      <c r="T270" s="1" t="n">
        <v>38.8</v>
      </c>
      <c r="U270" s="1" t="n">
        <v>71.9</v>
      </c>
      <c r="V270" s="1" t="n">
        <v>294</v>
      </c>
      <c r="W270" s="1" t="n">
        <v>42</v>
      </c>
      <c r="X270" s="1" t="n">
        <v>13.3</v>
      </c>
      <c r="Y270" s="1" t="n">
        <v>9</v>
      </c>
      <c r="Z270" s="1" t="n">
        <v>53</v>
      </c>
      <c r="AA270" s="1" t="n">
        <v>168</v>
      </c>
      <c r="AB270" s="7" t="s">
        <v>81</v>
      </c>
      <c r="AC270" s="7" t="s">
        <v>48</v>
      </c>
      <c r="AD270" s="6" t="s">
        <v>43</v>
      </c>
      <c r="AE270" s="6" t="s">
        <v>43</v>
      </c>
      <c r="AF270" s="4" t="n">
        <f aca="false">IF(T270="","",IF(T270&lt;=30,(50/30)*T270,IF(T270&lt;=60,50+((100-50)/(60-30))*(T270-30),IF(T270&lt;=90,100+((200-100)/(90-60))*(T270-60),IF(T270&lt;=120,200+((300-200)/(120-90))*(T270-90),IF(T270&lt;=250,300+((400-300)/(250-120))*(T270-120),IF(T270&lt;=380,400+((500-400)/(380-250))*(T270-250),500)))))))</f>
        <v>64.6666666666667</v>
      </c>
      <c r="AG270" s="4" t="n">
        <f aca="false">IF(U270="","",IF(U270&lt;=50,(50/50)*U270,IF(U270&lt;=100,50+((100-50)/(100-50))*(U270-50),IF(U270&lt;=250,100+((200-100)/(250-100))*(U270-100),IF(U270&lt;=350,200+((300-200)/(350-250))*(U270-250),IF(U270&lt;=430,300+((400-300)/(430-350))*(U270-350),IF(U270&lt;=600,400+((500-400)/(600-430))*(U270-430),500)))))))</f>
        <v>71.9</v>
      </c>
      <c r="AH270" s="4" t="n">
        <f aca="false">IF(V270="","",IF((V270/1000)&lt;=1,(50/1)*(V270/1000),IF((V270/1000)&lt;=2,50+((100-50)/(2-1))*(V270/1000-1),IF((V270/1000)&lt;=10,100+((200-100)/(10-2))*(V270/1000-2),IF((V270/1000)&lt;=17,200+((300-200)/(17-10))*(V270/1000-10),IF((V270/1000)&lt;=34,300+((400-300)/(34-17))*(V270/1000-17),IF((V270/1000)&lt;=57,400+((500-400)/(57-34))*(V270/1000-34),500)))))))</f>
        <v>14.7</v>
      </c>
      <c r="AI270" s="4" t="n">
        <f aca="false">IF(W270="","",IF(W270&lt;=40,(50/40)*W270,IF(W270&lt;=80,50+((100-50)/(80-40))*(W270-40),IF(W270&lt;=180,100+((200-100)/(180-80))*(W270-80),IF(W270&lt;=280,200+((300-200)/(280-180))*(W270-180),IF(W270&lt;=400,300+((400-300)/(400-280))*(W270-280),IF(W270&lt;=800,400+((500-400)/(800-400))*(W270-400),500)))))))</f>
        <v>52.5</v>
      </c>
      <c r="AJ270" s="4" t="n">
        <f aca="false">IF(X270="","",IF(X270&lt;=40,(50/40)*X270,IF(X270&lt;=80,50+((100-50)/(80-40))*(X270-40),IF(X270&lt;=380,100+((200-100)/(380-80))*(X270-80),IF(X270&lt;=800,200+((300-200)/(800-380))*(X270-380),IF(X270&lt;=1600,300+((400-300)/(1600-800))*(X270-800),IF(X270&lt;=2100,400+((500-400)/(2100-1600))*(X270-1600),500)))))))</f>
        <v>16.625</v>
      </c>
      <c r="AK270" s="4" t="n">
        <f aca="false">IF(Y270="","",IF(Y270&lt;=50,(50/50)*Y270,IF(Y270&lt;=100,50+((100-50)/(100-50))*(Y270-50),IF(Y270&lt;=168,100+((200-100)/(168-100))*(Y270-100),IF(Y270&lt;=208,200+((300-200)/(208-168))*(Y270-168),IF(Y270&lt;=748,300+((400-300)/(748-208))*(Y270-208),IF(Y270&lt;=1000,400+((500-400)/(1000-748))*(Y270-748),500)))))))</f>
        <v>9</v>
      </c>
      <c r="AL270" s="4" t="n">
        <f aca="false">ROUND(MAX(AF270,AG270,AH270,AI270,AJ270,AK270),0)</f>
        <v>72</v>
      </c>
      <c r="AM270" s="4" t="str">
        <f aca="false">IF(AL270="","",IF(AL270&lt;=50,"Good",IF(AL270&lt;=100,"Satisfactory",IF(AL270&lt;=200,"Moderate",IF(AL270&lt;=300,"Poor",IF(AL270&lt;=400,"Very Poor","Severe"))))))</f>
        <v>Satisfactory</v>
      </c>
    </row>
    <row r="271" customFormat="false" ht="15.75" hidden="false" customHeight="false" outlineLevel="0" collapsed="false">
      <c r="A271" s="1" t="s">
        <v>39</v>
      </c>
      <c r="B271" s="1" t="s">
        <v>40</v>
      </c>
      <c r="C271" s="1" t="n">
        <v>28.4595</v>
      </c>
      <c r="D271" s="1" t="n">
        <v>77.0266</v>
      </c>
      <c r="E271" s="5" t="n">
        <v>45912</v>
      </c>
      <c r="F271" s="6" t="s">
        <v>54</v>
      </c>
      <c r="G271" s="1" t="n">
        <v>9</v>
      </c>
      <c r="H271" s="7" t="s">
        <v>85</v>
      </c>
      <c r="I271" s="6" t="s">
        <v>43</v>
      </c>
      <c r="J271" s="7" t="s">
        <v>44</v>
      </c>
      <c r="K271" s="7" t="s">
        <v>45</v>
      </c>
      <c r="L271" s="1" t="n">
        <v>84</v>
      </c>
      <c r="M271" s="1" t="n">
        <v>20.9</v>
      </c>
      <c r="N271" s="1" t="n">
        <v>16.6</v>
      </c>
      <c r="O271" s="1" t="n">
        <v>0</v>
      </c>
      <c r="P271" s="6" t="s">
        <v>43</v>
      </c>
      <c r="Q271" s="6" t="s">
        <v>43</v>
      </c>
      <c r="R271" s="1" t="n">
        <v>1006.3</v>
      </c>
      <c r="S271" s="1" t="n">
        <v>7</v>
      </c>
      <c r="T271" s="1" t="n">
        <v>46.6</v>
      </c>
      <c r="U271" s="1" t="n">
        <v>268.2</v>
      </c>
      <c r="V271" s="1" t="n">
        <v>314</v>
      </c>
      <c r="W271" s="1" t="n">
        <v>17.6</v>
      </c>
      <c r="X271" s="1" t="n">
        <v>8.1</v>
      </c>
      <c r="Y271" s="1" t="n">
        <v>37</v>
      </c>
      <c r="Z271" s="1" t="n">
        <v>425</v>
      </c>
      <c r="AA271" s="1" t="n">
        <v>165</v>
      </c>
      <c r="AB271" s="7" t="s">
        <v>81</v>
      </c>
      <c r="AC271" s="7" t="s">
        <v>48</v>
      </c>
      <c r="AD271" s="6" t="s">
        <v>43</v>
      </c>
      <c r="AE271" s="6" t="s">
        <v>43</v>
      </c>
      <c r="AF271" s="4" t="n">
        <f aca="false">IF(T271="","",IF(T271&lt;=30,(50/30)*T271,IF(T271&lt;=60,50+((100-50)/(60-30))*(T271-30),IF(T271&lt;=90,100+((200-100)/(90-60))*(T271-60),IF(T271&lt;=120,200+((300-200)/(120-90))*(T271-90),IF(T271&lt;=250,300+((400-300)/(250-120))*(T271-120),IF(T271&lt;=380,400+((500-400)/(380-250))*(T271-250),500)))))))</f>
        <v>77.6666666666667</v>
      </c>
      <c r="AG271" s="4" t="n">
        <f aca="false">IF(U271="","",IF(U271&lt;=50,(50/50)*U271,IF(U271&lt;=100,50+((100-50)/(100-50))*(U271-50),IF(U271&lt;=250,100+((200-100)/(250-100))*(U271-100),IF(U271&lt;=350,200+((300-200)/(350-250))*(U271-250),IF(U271&lt;=430,300+((400-300)/(430-350))*(U271-350),IF(U271&lt;=600,400+((500-400)/(600-430))*(U271-430),500)))))))</f>
        <v>218.2</v>
      </c>
      <c r="AH271" s="4" t="n">
        <f aca="false">IF(V271="","",IF((V271/1000)&lt;=1,(50/1)*(V271/1000),IF((V271/1000)&lt;=2,50+((100-50)/(2-1))*(V271/1000-1),IF((V271/1000)&lt;=10,100+((200-100)/(10-2))*(V271/1000-2),IF((V271/1000)&lt;=17,200+((300-200)/(17-10))*(V271/1000-10),IF((V271/1000)&lt;=34,300+((400-300)/(34-17))*(V271/1000-17),IF((V271/1000)&lt;=57,400+((500-400)/(57-34))*(V271/1000-34),500)))))))</f>
        <v>15.7</v>
      </c>
      <c r="AI271" s="4" t="n">
        <f aca="false">IF(W271="","",IF(W271&lt;=40,(50/40)*W271,IF(W271&lt;=80,50+((100-50)/(80-40))*(W271-40),IF(W271&lt;=180,100+((200-100)/(180-80))*(W271-80),IF(W271&lt;=280,200+((300-200)/(280-180))*(W271-180),IF(W271&lt;=400,300+((400-300)/(400-280))*(W271-280),IF(W271&lt;=800,400+((500-400)/(800-400))*(W271-400),500)))))))</f>
        <v>22</v>
      </c>
      <c r="AJ271" s="4" t="n">
        <f aca="false">IF(X271="","",IF(X271&lt;=40,(50/40)*X271,IF(X271&lt;=80,50+((100-50)/(80-40))*(X271-40),IF(X271&lt;=380,100+((200-100)/(380-80))*(X271-80),IF(X271&lt;=800,200+((300-200)/(800-380))*(X271-380),IF(X271&lt;=1600,300+((400-300)/(1600-800))*(X271-800),IF(X271&lt;=2100,400+((500-400)/(2100-1600))*(X271-1600),500)))))))</f>
        <v>10.125</v>
      </c>
      <c r="AK271" s="4" t="n">
        <f aca="false">IF(Y271="","",IF(Y271&lt;=50,(50/50)*Y271,IF(Y271&lt;=100,50+((100-50)/(100-50))*(Y271-50),IF(Y271&lt;=168,100+((200-100)/(168-100))*(Y271-100),IF(Y271&lt;=208,200+((300-200)/(208-168))*(Y271-168),IF(Y271&lt;=748,300+((400-300)/(748-208))*(Y271-208),IF(Y271&lt;=1000,400+((500-400)/(1000-748))*(Y271-748),500)))))))</f>
        <v>37</v>
      </c>
      <c r="AL271" s="4" t="n">
        <f aca="false">ROUND(MAX(AF271,AG271,AH271,AI271,AJ271,AK271),0)</f>
        <v>218</v>
      </c>
      <c r="AM271" s="4" t="str">
        <f aca="false">IF(AL271="","",IF(AL271&lt;=50,"Good",IF(AL271&lt;=100,"Satisfactory",IF(AL271&lt;=200,"Moderate",IF(AL271&lt;=300,"Poor",IF(AL271&lt;=400,"Very Poor","Severe"))))))</f>
        <v>Poor</v>
      </c>
    </row>
    <row r="272" customFormat="false" ht="15.75" hidden="false" customHeight="false" outlineLevel="0" collapsed="false">
      <c r="A272" s="1" t="s">
        <v>39</v>
      </c>
      <c r="B272" s="1" t="s">
        <v>40</v>
      </c>
      <c r="C272" s="1" t="n">
        <v>28.4595</v>
      </c>
      <c r="D272" s="1" t="n">
        <v>77.0266</v>
      </c>
      <c r="E272" s="5" t="n">
        <v>45912</v>
      </c>
      <c r="F272" s="6" t="s">
        <v>55</v>
      </c>
      <c r="G272" s="1" t="n">
        <v>9</v>
      </c>
      <c r="H272" s="7" t="s">
        <v>85</v>
      </c>
      <c r="I272" s="6" t="s">
        <v>43</v>
      </c>
      <c r="J272" s="7" t="s">
        <v>44</v>
      </c>
      <c r="K272" s="7" t="s">
        <v>56</v>
      </c>
      <c r="L272" s="1" t="n">
        <v>82</v>
      </c>
      <c r="M272" s="1" t="n">
        <v>22.2</v>
      </c>
      <c r="N272" s="1" t="n">
        <v>24.5</v>
      </c>
      <c r="O272" s="1" t="n">
        <v>0</v>
      </c>
      <c r="P272" s="6" t="s">
        <v>43</v>
      </c>
      <c r="Q272" s="6" t="s">
        <v>43</v>
      </c>
      <c r="R272" s="1" t="n">
        <v>1007.2</v>
      </c>
      <c r="S272" s="1" t="n">
        <v>3</v>
      </c>
      <c r="T272" s="1" t="n">
        <v>46.4</v>
      </c>
      <c r="U272" s="1" t="n">
        <v>254.3</v>
      </c>
      <c r="V272" s="1" t="n">
        <v>327</v>
      </c>
      <c r="W272" s="1" t="n">
        <v>17.8</v>
      </c>
      <c r="X272" s="1" t="n">
        <v>8.7</v>
      </c>
      <c r="Y272" s="1" t="n">
        <v>41</v>
      </c>
      <c r="Z272" s="1" t="n">
        <v>416</v>
      </c>
      <c r="AA272" s="1" t="n">
        <v>160</v>
      </c>
      <c r="AB272" s="7" t="s">
        <v>81</v>
      </c>
      <c r="AC272" s="7" t="s">
        <v>48</v>
      </c>
      <c r="AD272" s="6" t="s">
        <v>43</v>
      </c>
      <c r="AE272" s="6" t="s">
        <v>43</v>
      </c>
      <c r="AF272" s="4" t="n">
        <f aca="false">IF(T272="","",IF(T272&lt;=30,(50/30)*T272,IF(T272&lt;=60,50+((100-50)/(60-30))*(T272-30),IF(T272&lt;=90,100+((200-100)/(90-60))*(T272-60),IF(T272&lt;=120,200+((300-200)/(120-90))*(T272-90),IF(T272&lt;=250,300+((400-300)/(250-120))*(T272-120),IF(T272&lt;=380,400+((500-400)/(380-250))*(T272-250),500)))))))</f>
        <v>77.3333333333333</v>
      </c>
      <c r="AG272" s="4" t="n">
        <f aca="false">IF(U272="","",IF(U272&lt;=50,(50/50)*U272,IF(U272&lt;=100,50+((100-50)/(100-50))*(U272-50),IF(U272&lt;=250,100+((200-100)/(250-100))*(U272-100),IF(U272&lt;=350,200+((300-200)/(350-250))*(U272-250),IF(U272&lt;=430,300+((400-300)/(430-350))*(U272-350),IF(U272&lt;=600,400+((500-400)/(600-430))*(U272-430),500)))))))</f>
        <v>204.3</v>
      </c>
      <c r="AH272" s="4" t="n">
        <f aca="false">IF(V272="","",IF((V272/1000)&lt;=1,(50/1)*(V272/1000),IF((V272/1000)&lt;=2,50+((100-50)/(2-1))*(V272/1000-1),IF((V272/1000)&lt;=10,100+((200-100)/(10-2))*(V272/1000-2),IF((V272/1000)&lt;=17,200+((300-200)/(17-10))*(V272/1000-10),IF((V272/1000)&lt;=34,300+((400-300)/(34-17))*(V272/1000-17),IF((V272/1000)&lt;=57,400+((500-400)/(57-34))*(V272/1000-34),500)))))))</f>
        <v>16.35</v>
      </c>
      <c r="AI272" s="4" t="n">
        <f aca="false">IF(W272="","",IF(W272&lt;=40,(50/40)*W272,IF(W272&lt;=80,50+((100-50)/(80-40))*(W272-40),IF(W272&lt;=180,100+((200-100)/(180-80))*(W272-80),IF(W272&lt;=280,200+((300-200)/(280-180))*(W272-180),IF(W272&lt;=400,300+((400-300)/(400-280))*(W272-280),IF(W272&lt;=800,400+((500-400)/(800-400))*(W272-400),500)))))))</f>
        <v>22.25</v>
      </c>
      <c r="AJ272" s="4" t="n">
        <f aca="false">IF(X272="","",IF(X272&lt;=40,(50/40)*X272,IF(X272&lt;=80,50+((100-50)/(80-40))*(X272-40),IF(X272&lt;=380,100+((200-100)/(380-80))*(X272-80),IF(X272&lt;=800,200+((300-200)/(800-380))*(X272-380),IF(X272&lt;=1600,300+((400-300)/(1600-800))*(X272-800),IF(X272&lt;=2100,400+((500-400)/(2100-1600))*(X272-1600),500)))))))</f>
        <v>10.875</v>
      </c>
      <c r="AK272" s="4" t="n">
        <f aca="false">IF(Y272="","",IF(Y272&lt;=50,(50/50)*Y272,IF(Y272&lt;=100,50+((100-50)/(100-50))*(Y272-50),IF(Y272&lt;=168,100+((200-100)/(168-100))*(Y272-100),IF(Y272&lt;=208,200+((300-200)/(208-168))*(Y272-168),IF(Y272&lt;=748,300+((400-300)/(748-208))*(Y272-208),IF(Y272&lt;=1000,400+((500-400)/(1000-748))*(Y272-748),500)))))))</f>
        <v>41</v>
      </c>
      <c r="AL272" s="4" t="n">
        <f aca="false">ROUND(MAX(AF272,AG272,AH272,AI272,AJ272,AK272),0)</f>
        <v>204</v>
      </c>
      <c r="AM272" s="4" t="str">
        <f aca="false">IF(AL272="","",IF(AL272&lt;=50,"Good",IF(AL272&lt;=100,"Satisfactory",IF(AL272&lt;=200,"Moderate",IF(AL272&lt;=300,"Poor",IF(AL272&lt;=400,"Very Poor","Severe"))))))</f>
        <v>Poor</v>
      </c>
    </row>
    <row r="273" customFormat="false" ht="15.75" hidden="false" customHeight="false" outlineLevel="0" collapsed="false">
      <c r="A273" s="1" t="s">
        <v>39</v>
      </c>
      <c r="B273" s="1" t="s">
        <v>40</v>
      </c>
      <c r="C273" s="1" t="n">
        <v>28.4595</v>
      </c>
      <c r="D273" s="1" t="n">
        <v>77.0266</v>
      </c>
      <c r="E273" s="5" t="n">
        <v>45912</v>
      </c>
      <c r="F273" s="6" t="s">
        <v>57</v>
      </c>
      <c r="G273" s="1" t="n">
        <v>9</v>
      </c>
      <c r="H273" s="7" t="s">
        <v>85</v>
      </c>
      <c r="I273" s="6" t="s">
        <v>43</v>
      </c>
      <c r="J273" s="7" t="s">
        <v>44</v>
      </c>
      <c r="K273" s="7" t="s">
        <v>56</v>
      </c>
      <c r="L273" s="1" t="n">
        <v>81</v>
      </c>
      <c r="M273" s="1" t="n">
        <v>22.7</v>
      </c>
      <c r="N273" s="1" t="n">
        <v>22.7</v>
      </c>
      <c r="O273" s="1" t="n">
        <v>0</v>
      </c>
      <c r="P273" s="6" t="s">
        <v>43</v>
      </c>
      <c r="Q273" s="6" t="s">
        <v>43</v>
      </c>
      <c r="R273" s="1" t="n">
        <v>1007.8</v>
      </c>
      <c r="S273" s="1" t="n">
        <v>8</v>
      </c>
      <c r="T273" s="1" t="n">
        <v>51.9</v>
      </c>
      <c r="U273" s="1" t="n">
        <v>270.1</v>
      </c>
      <c r="V273" s="1" t="n">
        <v>338</v>
      </c>
      <c r="W273" s="1" t="n">
        <v>18</v>
      </c>
      <c r="X273" s="1" t="n">
        <v>9.6</v>
      </c>
      <c r="Y273" s="1" t="n">
        <v>47</v>
      </c>
      <c r="Z273" s="1" t="n">
        <v>405</v>
      </c>
      <c r="AA273" s="1" t="n">
        <v>156</v>
      </c>
      <c r="AB273" s="7" t="s">
        <v>81</v>
      </c>
      <c r="AC273" s="7" t="s">
        <v>48</v>
      </c>
      <c r="AD273" s="6" t="s">
        <v>43</v>
      </c>
      <c r="AE273" s="6" t="s">
        <v>43</v>
      </c>
      <c r="AF273" s="4" t="n">
        <f aca="false">IF(T273="","",IF(T273&lt;=30,(50/30)*T273,IF(T273&lt;=60,50+((100-50)/(60-30))*(T273-30),IF(T273&lt;=90,100+((200-100)/(90-60))*(T273-60),IF(T273&lt;=120,200+((300-200)/(120-90))*(T273-90),IF(T273&lt;=250,300+((400-300)/(250-120))*(T273-120),IF(T273&lt;=380,400+((500-400)/(380-250))*(T273-250),500)))))))</f>
        <v>86.5</v>
      </c>
      <c r="AG273" s="4" t="n">
        <f aca="false">IF(U273="","",IF(U273&lt;=50,(50/50)*U273,IF(U273&lt;=100,50+((100-50)/(100-50))*(U273-50),IF(U273&lt;=250,100+((200-100)/(250-100))*(U273-100),IF(U273&lt;=350,200+((300-200)/(350-250))*(U273-250),IF(U273&lt;=430,300+((400-300)/(430-350))*(U273-350),IF(U273&lt;=600,400+((500-400)/(600-430))*(U273-430),500)))))))</f>
        <v>220.1</v>
      </c>
      <c r="AH273" s="4" t="n">
        <f aca="false">IF(V273="","",IF((V273/1000)&lt;=1,(50/1)*(V273/1000),IF((V273/1000)&lt;=2,50+((100-50)/(2-1))*(V273/1000-1),IF((V273/1000)&lt;=10,100+((200-100)/(10-2))*(V273/1000-2),IF((V273/1000)&lt;=17,200+((300-200)/(17-10))*(V273/1000-10),IF((V273/1000)&lt;=34,300+((400-300)/(34-17))*(V273/1000-17),IF((V273/1000)&lt;=57,400+((500-400)/(57-34))*(V273/1000-34),500)))))))</f>
        <v>16.9</v>
      </c>
      <c r="AI273" s="4" t="n">
        <f aca="false">IF(W273="","",IF(W273&lt;=40,(50/40)*W273,IF(W273&lt;=80,50+((100-50)/(80-40))*(W273-40),IF(W273&lt;=180,100+((200-100)/(180-80))*(W273-80),IF(W273&lt;=280,200+((300-200)/(280-180))*(W273-180),IF(W273&lt;=400,300+((400-300)/(400-280))*(W273-280),IF(W273&lt;=800,400+((500-400)/(800-400))*(W273-400),500)))))))</f>
        <v>22.5</v>
      </c>
      <c r="AJ273" s="4" t="n">
        <f aca="false">IF(X273="","",IF(X273&lt;=40,(50/40)*X273,IF(X273&lt;=80,50+((100-50)/(80-40))*(X273-40),IF(X273&lt;=380,100+((200-100)/(380-80))*(X273-80),IF(X273&lt;=800,200+((300-200)/(800-380))*(X273-380),IF(X273&lt;=1600,300+((400-300)/(1600-800))*(X273-800),IF(X273&lt;=2100,400+((500-400)/(2100-1600))*(X273-1600),500)))))))</f>
        <v>12</v>
      </c>
      <c r="AK273" s="4" t="n">
        <f aca="false">IF(Y273="","",IF(Y273&lt;=50,(50/50)*Y273,IF(Y273&lt;=100,50+((100-50)/(100-50))*(Y273-50),IF(Y273&lt;=168,100+((200-100)/(168-100))*(Y273-100),IF(Y273&lt;=208,200+((300-200)/(208-168))*(Y273-168),IF(Y273&lt;=748,300+((400-300)/(748-208))*(Y273-208),IF(Y273&lt;=1000,400+((500-400)/(1000-748))*(Y273-748),500)))))))</f>
        <v>47</v>
      </c>
      <c r="AL273" s="4" t="n">
        <f aca="false">ROUND(MAX(AF273,AG273,AH273,AI273,AJ273,AK273),0)</f>
        <v>220</v>
      </c>
      <c r="AM273" s="4" t="str">
        <f aca="false">IF(AL273="","",IF(AL273&lt;=50,"Good",IF(AL273&lt;=100,"Satisfactory",IF(AL273&lt;=200,"Moderate",IF(AL273&lt;=300,"Poor",IF(AL273&lt;=400,"Very Poor","Severe"))))))</f>
        <v>Poor</v>
      </c>
    </row>
    <row r="274" customFormat="false" ht="15.75" hidden="false" customHeight="false" outlineLevel="0" collapsed="false">
      <c r="A274" s="1" t="s">
        <v>39</v>
      </c>
      <c r="B274" s="1" t="s">
        <v>40</v>
      </c>
      <c r="C274" s="1" t="n">
        <v>28.4595</v>
      </c>
      <c r="D274" s="1" t="n">
        <v>77.0266</v>
      </c>
      <c r="E274" s="5" t="n">
        <v>45912</v>
      </c>
      <c r="F274" s="6" t="s">
        <v>58</v>
      </c>
      <c r="G274" s="1" t="n">
        <v>9</v>
      </c>
      <c r="H274" s="7" t="s">
        <v>85</v>
      </c>
      <c r="I274" s="6" t="s">
        <v>43</v>
      </c>
      <c r="J274" s="7" t="s">
        <v>44</v>
      </c>
      <c r="K274" s="7" t="s">
        <v>56</v>
      </c>
      <c r="L274" s="1" t="n">
        <v>76</v>
      </c>
      <c r="M274" s="1" t="n">
        <v>23</v>
      </c>
      <c r="N274" s="1" t="n">
        <v>23.4</v>
      </c>
      <c r="O274" s="1" t="n">
        <v>0</v>
      </c>
      <c r="P274" s="6" t="s">
        <v>43</v>
      </c>
      <c r="Q274" s="6" t="s">
        <v>43</v>
      </c>
      <c r="R274" s="1" t="n">
        <v>1008.4</v>
      </c>
      <c r="S274" s="1" t="n">
        <v>12</v>
      </c>
      <c r="T274" s="1" t="n">
        <v>48.8</v>
      </c>
      <c r="U274" s="1" t="n">
        <v>259.8</v>
      </c>
      <c r="V274" s="1" t="n">
        <v>331</v>
      </c>
      <c r="W274" s="1" t="n">
        <v>17</v>
      </c>
      <c r="X274" s="1" t="n">
        <v>10.5</v>
      </c>
      <c r="Y274" s="1" t="n">
        <v>59</v>
      </c>
      <c r="Z274" s="1" t="n">
        <v>406</v>
      </c>
      <c r="AA274" s="1" t="n">
        <v>151</v>
      </c>
      <c r="AB274" s="7" t="s">
        <v>81</v>
      </c>
      <c r="AC274" s="7" t="s">
        <v>48</v>
      </c>
      <c r="AD274" s="6" t="s">
        <v>43</v>
      </c>
      <c r="AE274" s="6" t="s">
        <v>43</v>
      </c>
      <c r="AF274" s="4" t="n">
        <f aca="false">IF(T274="","",IF(T274&lt;=30,(50/30)*T274,IF(T274&lt;=60,50+((100-50)/(60-30))*(T274-30),IF(T274&lt;=90,100+((200-100)/(90-60))*(T274-60),IF(T274&lt;=120,200+((300-200)/(120-90))*(T274-90),IF(T274&lt;=250,300+((400-300)/(250-120))*(T274-120),IF(T274&lt;=380,400+((500-400)/(380-250))*(T274-250),500)))))))</f>
        <v>81.3333333333333</v>
      </c>
      <c r="AG274" s="4" t="n">
        <f aca="false">IF(U274="","",IF(U274&lt;=50,(50/50)*U274,IF(U274&lt;=100,50+((100-50)/(100-50))*(U274-50),IF(U274&lt;=250,100+((200-100)/(250-100))*(U274-100),IF(U274&lt;=350,200+((300-200)/(350-250))*(U274-250),IF(U274&lt;=430,300+((400-300)/(430-350))*(U274-350),IF(U274&lt;=600,400+((500-400)/(600-430))*(U274-430),500)))))))</f>
        <v>209.8</v>
      </c>
      <c r="AH274" s="4" t="n">
        <f aca="false">IF(V274="","",IF((V274/1000)&lt;=1,(50/1)*(V274/1000),IF((V274/1000)&lt;=2,50+((100-50)/(2-1))*(V274/1000-1),IF((V274/1000)&lt;=10,100+((200-100)/(10-2))*(V274/1000-2),IF((V274/1000)&lt;=17,200+((300-200)/(17-10))*(V274/1000-10),IF((V274/1000)&lt;=34,300+((400-300)/(34-17))*(V274/1000-17),IF((V274/1000)&lt;=57,400+((500-400)/(57-34))*(V274/1000-34),500)))))))</f>
        <v>16.55</v>
      </c>
      <c r="AI274" s="4" t="n">
        <f aca="false">IF(W274="","",IF(W274&lt;=40,(50/40)*W274,IF(W274&lt;=80,50+((100-50)/(80-40))*(W274-40),IF(W274&lt;=180,100+((200-100)/(180-80))*(W274-80),IF(W274&lt;=280,200+((300-200)/(280-180))*(W274-180),IF(W274&lt;=400,300+((400-300)/(400-280))*(W274-280),IF(W274&lt;=800,400+((500-400)/(800-400))*(W274-400),500)))))))</f>
        <v>21.25</v>
      </c>
      <c r="AJ274" s="4" t="n">
        <f aca="false">IF(X274="","",IF(X274&lt;=40,(50/40)*X274,IF(X274&lt;=80,50+((100-50)/(80-40))*(X274-40),IF(X274&lt;=380,100+((200-100)/(380-80))*(X274-80),IF(X274&lt;=800,200+((300-200)/(800-380))*(X274-380),IF(X274&lt;=1600,300+((400-300)/(1600-800))*(X274-800),IF(X274&lt;=2100,400+((500-400)/(2100-1600))*(X274-1600),500)))))))</f>
        <v>13.125</v>
      </c>
      <c r="AK274" s="4" t="n">
        <f aca="false">IF(Y274="","",IF(Y274&lt;=50,(50/50)*Y274,IF(Y274&lt;=100,50+((100-50)/(100-50))*(Y274-50),IF(Y274&lt;=168,100+((200-100)/(168-100))*(Y274-100),IF(Y274&lt;=208,200+((300-200)/(208-168))*(Y274-168),IF(Y274&lt;=748,300+((400-300)/(748-208))*(Y274-208),IF(Y274&lt;=1000,400+((500-400)/(1000-748))*(Y274-748),500)))))))</f>
        <v>59</v>
      </c>
      <c r="AL274" s="4" t="n">
        <f aca="false">ROUND(MAX(AF274,AG274,AH274,AI274,AJ274,AK274),0)</f>
        <v>210</v>
      </c>
      <c r="AM274" s="4" t="str">
        <f aca="false">IF(AL274="","",IF(AL274&lt;=50,"Good",IF(AL274&lt;=100,"Satisfactory",IF(AL274&lt;=200,"Moderate",IF(AL274&lt;=300,"Poor",IF(AL274&lt;=400,"Very Poor","Severe"))))))</f>
        <v>Poor</v>
      </c>
    </row>
    <row r="275" customFormat="false" ht="15.75" hidden="false" customHeight="false" outlineLevel="0" collapsed="false">
      <c r="A275" s="1" t="s">
        <v>39</v>
      </c>
      <c r="B275" s="1" t="s">
        <v>40</v>
      </c>
      <c r="C275" s="1" t="n">
        <v>28.4595</v>
      </c>
      <c r="D275" s="1" t="n">
        <v>77.0266</v>
      </c>
      <c r="E275" s="5" t="n">
        <v>45912</v>
      </c>
      <c r="F275" s="6" t="s">
        <v>59</v>
      </c>
      <c r="G275" s="1" t="n">
        <v>9</v>
      </c>
      <c r="H275" s="7" t="s">
        <v>85</v>
      </c>
      <c r="I275" s="6" t="s">
        <v>43</v>
      </c>
      <c r="J275" s="7" t="s">
        <v>44</v>
      </c>
      <c r="K275" s="7" t="s">
        <v>60</v>
      </c>
      <c r="L275" s="1" t="n">
        <v>72</v>
      </c>
      <c r="M275" s="1" t="n">
        <v>23.4</v>
      </c>
      <c r="N275" s="1" t="n">
        <v>28.1</v>
      </c>
      <c r="O275" s="1" t="n">
        <v>0</v>
      </c>
      <c r="P275" s="6" t="s">
        <v>43</v>
      </c>
      <c r="Q275" s="6" t="s">
        <v>43</v>
      </c>
      <c r="R275" s="1" t="n">
        <v>1008.8</v>
      </c>
      <c r="S275" s="1" t="n">
        <v>1</v>
      </c>
      <c r="T275" s="1" t="n">
        <v>54.2</v>
      </c>
      <c r="U275" s="1" t="n">
        <v>323.2</v>
      </c>
      <c r="V275" s="1" t="n">
        <v>291</v>
      </c>
      <c r="W275" s="1" t="n">
        <v>13.6</v>
      </c>
      <c r="X275" s="1" t="n">
        <v>11.4</v>
      </c>
      <c r="Y275" s="1" t="n">
        <v>81</v>
      </c>
      <c r="Z275" s="1" t="n">
        <v>438</v>
      </c>
      <c r="AA275" s="1" t="n">
        <v>147</v>
      </c>
      <c r="AB275" s="7" t="s">
        <v>81</v>
      </c>
      <c r="AC275" s="7" t="s">
        <v>82</v>
      </c>
      <c r="AD275" s="7" t="s">
        <v>83</v>
      </c>
      <c r="AE275" s="7" t="s">
        <v>84</v>
      </c>
      <c r="AF275" s="4" t="n">
        <f aca="false">IF(T275="","",IF(T275&lt;=30,(50/30)*T275,IF(T275&lt;=60,50+((100-50)/(60-30))*(T275-30),IF(T275&lt;=90,100+((200-100)/(90-60))*(T275-60),IF(T275&lt;=120,200+((300-200)/(120-90))*(T275-90),IF(T275&lt;=250,300+((400-300)/(250-120))*(T275-120),IF(T275&lt;=380,400+((500-400)/(380-250))*(T275-250),500)))))))</f>
        <v>90.3333333333333</v>
      </c>
      <c r="AG275" s="4" t="n">
        <f aca="false">IF(U275="","",IF(U275&lt;=50,(50/50)*U275,IF(U275&lt;=100,50+((100-50)/(100-50))*(U275-50),IF(U275&lt;=250,100+((200-100)/(250-100))*(U275-100),IF(U275&lt;=350,200+((300-200)/(350-250))*(U275-250),IF(U275&lt;=430,300+((400-300)/(430-350))*(U275-350),IF(U275&lt;=600,400+((500-400)/(600-430))*(U275-430),500)))))))</f>
        <v>273.2</v>
      </c>
      <c r="AH275" s="4" t="n">
        <f aca="false">IF(V275="","",IF((V275/1000)&lt;=1,(50/1)*(V275/1000),IF((V275/1000)&lt;=2,50+((100-50)/(2-1))*(V275/1000-1),IF((V275/1000)&lt;=10,100+((200-100)/(10-2))*(V275/1000-2),IF((V275/1000)&lt;=17,200+((300-200)/(17-10))*(V275/1000-10),IF((V275/1000)&lt;=34,300+((400-300)/(34-17))*(V275/1000-17),IF((V275/1000)&lt;=57,400+((500-400)/(57-34))*(V275/1000-34),500)))))))</f>
        <v>14.55</v>
      </c>
      <c r="AI275" s="4" t="n">
        <f aca="false">IF(W275="","",IF(W275&lt;=40,(50/40)*W275,IF(W275&lt;=80,50+((100-50)/(80-40))*(W275-40),IF(W275&lt;=180,100+((200-100)/(180-80))*(W275-80),IF(W275&lt;=280,200+((300-200)/(280-180))*(W275-180),IF(W275&lt;=400,300+((400-300)/(400-280))*(W275-280),IF(W275&lt;=800,400+((500-400)/(800-400))*(W275-400),500)))))))</f>
        <v>17</v>
      </c>
      <c r="AJ275" s="4" t="n">
        <f aca="false">IF(X275="","",IF(X275&lt;=40,(50/40)*X275,IF(X275&lt;=80,50+((100-50)/(80-40))*(X275-40),IF(X275&lt;=380,100+((200-100)/(380-80))*(X275-80),IF(X275&lt;=800,200+((300-200)/(800-380))*(X275-380),IF(X275&lt;=1600,300+((400-300)/(1600-800))*(X275-800),IF(X275&lt;=2100,400+((500-400)/(2100-1600))*(X275-1600),500)))))))</f>
        <v>14.25</v>
      </c>
      <c r="AK275" s="4" t="n">
        <f aca="false">IF(Y275="","",IF(Y275&lt;=50,(50/50)*Y275,IF(Y275&lt;=100,50+((100-50)/(100-50))*(Y275-50),IF(Y275&lt;=168,100+((200-100)/(168-100))*(Y275-100),IF(Y275&lt;=208,200+((300-200)/(208-168))*(Y275-168),IF(Y275&lt;=748,300+((400-300)/(748-208))*(Y275-208),IF(Y275&lt;=1000,400+((500-400)/(1000-748))*(Y275-748),500)))))))</f>
        <v>81</v>
      </c>
      <c r="AL275" s="4" t="n">
        <f aca="false">ROUND(MAX(AF275,AG275,AH275,AI275,AJ275,AK275),0)</f>
        <v>273</v>
      </c>
      <c r="AM275" s="4" t="str">
        <f aca="false">IF(AL275="","",IF(AL275&lt;=50,"Good",IF(AL275&lt;=100,"Satisfactory",IF(AL275&lt;=200,"Moderate",IF(AL275&lt;=300,"Poor",IF(AL275&lt;=400,"Very Poor","Severe"))))))</f>
        <v>Poor</v>
      </c>
    </row>
    <row r="276" customFormat="false" ht="15.75" hidden="false" customHeight="false" outlineLevel="0" collapsed="false">
      <c r="A276" s="1" t="s">
        <v>39</v>
      </c>
      <c r="B276" s="1" t="s">
        <v>40</v>
      </c>
      <c r="C276" s="1" t="n">
        <v>28.4595</v>
      </c>
      <c r="D276" s="1" t="n">
        <v>77.0266</v>
      </c>
      <c r="E276" s="5" t="n">
        <v>45912</v>
      </c>
      <c r="F276" s="6" t="s">
        <v>61</v>
      </c>
      <c r="G276" s="1" t="n">
        <v>9</v>
      </c>
      <c r="H276" s="7" t="s">
        <v>85</v>
      </c>
      <c r="I276" s="6" t="s">
        <v>43</v>
      </c>
      <c r="J276" s="7" t="s">
        <v>44</v>
      </c>
      <c r="K276" s="7" t="s">
        <v>60</v>
      </c>
      <c r="L276" s="1" t="n">
        <v>67</v>
      </c>
      <c r="M276" s="1" t="n">
        <v>23.4</v>
      </c>
      <c r="N276" s="1" t="n">
        <v>31.3</v>
      </c>
      <c r="O276" s="1" t="n">
        <v>0.1</v>
      </c>
      <c r="P276" s="6" t="s">
        <v>46</v>
      </c>
      <c r="Q276" s="6" t="s">
        <v>43</v>
      </c>
      <c r="R276" s="1" t="n">
        <v>1008.7</v>
      </c>
      <c r="S276" s="1" t="n">
        <v>26</v>
      </c>
      <c r="T276" s="1" t="n">
        <v>59.5</v>
      </c>
      <c r="U276" s="1" t="n">
        <v>370.7</v>
      </c>
      <c r="V276" s="1" t="n">
        <v>233</v>
      </c>
      <c r="W276" s="1" t="n">
        <v>9</v>
      </c>
      <c r="X276" s="1" t="n">
        <v>12.3</v>
      </c>
      <c r="Y276" s="1" t="n">
        <v>109</v>
      </c>
      <c r="Z276" s="1" t="n">
        <v>483</v>
      </c>
      <c r="AA276" s="1" t="n">
        <v>144</v>
      </c>
      <c r="AB276" s="7" t="s">
        <v>81</v>
      </c>
      <c r="AC276" s="7" t="s">
        <v>82</v>
      </c>
      <c r="AD276" s="7" t="s">
        <v>83</v>
      </c>
      <c r="AE276" s="7" t="s">
        <v>84</v>
      </c>
      <c r="AF276" s="4" t="n">
        <f aca="false">IF(T276="","",IF(T276&lt;=30,(50/30)*T276,IF(T276&lt;=60,50+((100-50)/(60-30))*(T276-30),IF(T276&lt;=90,100+((200-100)/(90-60))*(T276-60),IF(T276&lt;=120,200+((300-200)/(120-90))*(T276-90),IF(T276&lt;=250,300+((400-300)/(250-120))*(T276-120),IF(T276&lt;=380,400+((500-400)/(380-250))*(T276-250),500)))))))</f>
        <v>99.1666666666667</v>
      </c>
      <c r="AG276" s="4" t="n">
        <f aca="false">IF(U276="","",IF(U276&lt;=50,(50/50)*U276,IF(U276&lt;=100,50+((100-50)/(100-50))*(U276-50),IF(U276&lt;=250,100+((200-100)/(250-100))*(U276-100),IF(U276&lt;=350,200+((300-200)/(350-250))*(U276-250),IF(U276&lt;=430,300+((400-300)/(430-350))*(U276-350),IF(U276&lt;=600,400+((500-400)/(600-430))*(U276-430),500)))))))</f>
        <v>325.875</v>
      </c>
      <c r="AH276" s="4" t="n">
        <f aca="false">IF(V276="","",IF((V276/1000)&lt;=1,(50/1)*(V276/1000),IF((V276/1000)&lt;=2,50+((100-50)/(2-1))*(V276/1000-1),IF((V276/1000)&lt;=10,100+((200-100)/(10-2))*(V276/1000-2),IF((V276/1000)&lt;=17,200+((300-200)/(17-10))*(V276/1000-10),IF((V276/1000)&lt;=34,300+((400-300)/(34-17))*(V276/1000-17),IF((V276/1000)&lt;=57,400+((500-400)/(57-34))*(V276/1000-34),500)))))))</f>
        <v>11.65</v>
      </c>
      <c r="AI276" s="4" t="n">
        <f aca="false">IF(W276="","",IF(W276&lt;=40,(50/40)*W276,IF(W276&lt;=80,50+((100-50)/(80-40))*(W276-40),IF(W276&lt;=180,100+((200-100)/(180-80))*(W276-80),IF(W276&lt;=280,200+((300-200)/(280-180))*(W276-180),IF(W276&lt;=400,300+((400-300)/(400-280))*(W276-280),IF(W276&lt;=800,400+((500-400)/(800-400))*(W276-400),500)))))))</f>
        <v>11.25</v>
      </c>
      <c r="AJ276" s="4" t="n">
        <f aca="false">IF(X276="","",IF(X276&lt;=40,(50/40)*X276,IF(X276&lt;=80,50+((100-50)/(80-40))*(X276-40),IF(X276&lt;=380,100+((200-100)/(380-80))*(X276-80),IF(X276&lt;=800,200+((300-200)/(800-380))*(X276-380),IF(X276&lt;=1600,300+((400-300)/(1600-800))*(X276-800),IF(X276&lt;=2100,400+((500-400)/(2100-1600))*(X276-1600),500)))))))</f>
        <v>15.375</v>
      </c>
      <c r="AK276" s="4" t="n">
        <f aca="false">IF(Y276="","",IF(Y276&lt;=50,(50/50)*Y276,IF(Y276&lt;=100,50+((100-50)/(100-50))*(Y276-50),IF(Y276&lt;=168,100+((200-100)/(168-100))*(Y276-100),IF(Y276&lt;=208,200+((300-200)/(208-168))*(Y276-168),IF(Y276&lt;=748,300+((400-300)/(748-208))*(Y276-208),IF(Y276&lt;=1000,400+((500-400)/(1000-748))*(Y276-748),500)))))))</f>
        <v>113.235294117647</v>
      </c>
      <c r="AL276" s="4" t="n">
        <f aca="false">ROUND(MAX(AF276,AG276,AH276,AI276,AJ276,AK276),0)</f>
        <v>326</v>
      </c>
      <c r="AM276" s="4" t="str">
        <f aca="false">IF(AL276="","",IF(AL276&lt;=50,"Good",IF(AL276&lt;=100,"Satisfactory",IF(AL276&lt;=200,"Moderate",IF(AL276&lt;=300,"Poor",IF(AL276&lt;=400,"Very Poor","Severe"))))))</f>
        <v>Very Poor</v>
      </c>
    </row>
    <row r="277" customFormat="false" ht="15.75" hidden="false" customHeight="false" outlineLevel="0" collapsed="false">
      <c r="A277" s="1" t="s">
        <v>39</v>
      </c>
      <c r="B277" s="1" t="s">
        <v>40</v>
      </c>
      <c r="C277" s="1" t="n">
        <v>28.4595</v>
      </c>
      <c r="D277" s="1" t="n">
        <v>77.0266</v>
      </c>
      <c r="E277" s="5" t="n">
        <v>45912</v>
      </c>
      <c r="F277" s="6" t="s">
        <v>62</v>
      </c>
      <c r="G277" s="1" t="n">
        <v>9</v>
      </c>
      <c r="H277" s="7" t="s">
        <v>85</v>
      </c>
      <c r="I277" s="6" t="s">
        <v>43</v>
      </c>
      <c r="J277" s="7" t="s">
        <v>44</v>
      </c>
      <c r="K277" s="7" t="s">
        <v>60</v>
      </c>
      <c r="L277" s="1" t="n">
        <v>64</v>
      </c>
      <c r="M277" s="1" t="n">
        <v>23.1</v>
      </c>
      <c r="N277" s="1" t="n">
        <v>31.7</v>
      </c>
      <c r="O277" s="1" t="n">
        <v>0.1</v>
      </c>
      <c r="P277" s="6" t="s">
        <v>46</v>
      </c>
      <c r="Q277" s="6" t="s">
        <v>43</v>
      </c>
      <c r="R277" s="1" t="n">
        <v>1008.3</v>
      </c>
      <c r="S277" s="1" t="n">
        <v>21</v>
      </c>
      <c r="T277" s="1" t="n">
        <v>53.8</v>
      </c>
      <c r="U277" s="1" t="n">
        <v>312</v>
      </c>
      <c r="V277" s="1" t="n">
        <v>190</v>
      </c>
      <c r="W277" s="1" t="n">
        <v>5.6</v>
      </c>
      <c r="X277" s="1" t="n">
        <v>12.9</v>
      </c>
      <c r="Y277" s="1" t="n">
        <v>128</v>
      </c>
      <c r="Z277" s="1" t="n">
        <v>501</v>
      </c>
      <c r="AA277" s="1" t="n">
        <v>142</v>
      </c>
      <c r="AB277" s="7" t="s">
        <v>81</v>
      </c>
      <c r="AC277" s="7" t="s">
        <v>82</v>
      </c>
      <c r="AD277" s="7" t="s">
        <v>83</v>
      </c>
      <c r="AE277" s="7" t="s">
        <v>84</v>
      </c>
      <c r="AF277" s="4" t="n">
        <f aca="false">IF(T277="","",IF(T277&lt;=30,(50/30)*T277,IF(T277&lt;=60,50+((100-50)/(60-30))*(T277-30),IF(T277&lt;=90,100+((200-100)/(90-60))*(T277-60),IF(T277&lt;=120,200+((300-200)/(120-90))*(T277-90),IF(T277&lt;=250,300+((400-300)/(250-120))*(T277-120),IF(T277&lt;=380,400+((500-400)/(380-250))*(T277-250),500)))))))</f>
        <v>89.6666666666667</v>
      </c>
      <c r="AG277" s="4" t="n">
        <f aca="false">IF(U277="","",IF(U277&lt;=50,(50/50)*U277,IF(U277&lt;=100,50+((100-50)/(100-50))*(U277-50),IF(U277&lt;=250,100+((200-100)/(250-100))*(U277-100),IF(U277&lt;=350,200+((300-200)/(350-250))*(U277-250),IF(U277&lt;=430,300+((400-300)/(430-350))*(U277-350),IF(U277&lt;=600,400+((500-400)/(600-430))*(U277-430),500)))))))</f>
        <v>262</v>
      </c>
      <c r="AH277" s="4" t="n">
        <f aca="false">IF(V277="","",IF((V277/1000)&lt;=1,(50/1)*(V277/1000),IF((V277/1000)&lt;=2,50+((100-50)/(2-1))*(V277/1000-1),IF((V277/1000)&lt;=10,100+((200-100)/(10-2))*(V277/1000-2),IF((V277/1000)&lt;=17,200+((300-200)/(17-10))*(V277/1000-10),IF((V277/1000)&lt;=34,300+((400-300)/(34-17))*(V277/1000-17),IF((V277/1000)&lt;=57,400+((500-400)/(57-34))*(V277/1000-34),500)))))))</f>
        <v>9.5</v>
      </c>
      <c r="AI277" s="4" t="n">
        <f aca="false">IF(W277="","",IF(W277&lt;=40,(50/40)*W277,IF(W277&lt;=80,50+((100-50)/(80-40))*(W277-40),IF(W277&lt;=180,100+((200-100)/(180-80))*(W277-80),IF(W277&lt;=280,200+((300-200)/(280-180))*(W277-180),IF(W277&lt;=400,300+((400-300)/(400-280))*(W277-280),IF(W277&lt;=800,400+((500-400)/(800-400))*(W277-400),500)))))))</f>
        <v>7</v>
      </c>
      <c r="AJ277" s="4" t="n">
        <f aca="false">IF(X277="","",IF(X277&lt;=40,(50/40)*X277,IF(X277&lt;=80,50+((100-50)/(80-40))*(X277-40),IF(X277&lt;=380,100+((200-100)/(380-80))*(X277-80),IF(X277&lt;=800,200+((300-200)/(800-380))*(X277-380),IF(X277&lt;=1600,300+((400-300)/(1600-800))*(X277-800),IF(X277&lt;=2100,400+((500-400)/(2100-1600))*(X277-1600),500)))))))</f>
        <v>16.125</v>
      </c>
      <c r="AK277" s="4" t="n">
        <f aca="false">IF(Y277="","",IF(Y277&lt;=50,(50/50)*Y277,IF(Y277&lt;=100,50+((100-50)/(100-50))*(Y277-50),IF(Y277&lt;=168,100+((200-100)/(168-100))*(Y277-100),IF(Y277&lt;=208,200+((300-200)/(208-168))*(Y277-168),IF(Y277&lt;=748,300+((400-300)/(748-208))*(Y277-208),IF(Y277&lt;=1000,400+((500-400)/(1000-748))*(Y277-748),500)))))))</f>
        <v>141.176470588235</v>
      </c>
      <c r="AL277" s="4" t="n">
        <f aca="false">ROUND(MAX(AF277,AG277,AH277,AI277,AJ277,AK277),0)</f>
        <v>262</v>
      </c>
      <c r="AM277" s="4" t="str">
        <f aca="false">IF(AL277="","",IF(AL277&lt;=50,"Good",IF(AL277&lt;=100,"Satisfactory",IF(AL277&lt;=200,"Moderate",IF(AL277&lt;=300,"Poor",IF(AL277&lt;=400,"Very Poor","Severe"))))))</f>
        <v>Poor</v>
      </c>
    </row>
    <row r="278" customFormat="false" ht="15.75" hidden="false" customHeight="false" outlineLevel="0" collapsed="false">
      <c r="A278" s="1" t="s">
        <v>39</v>
      </c>
      <c r="B278" s="1" t="s">
        <v>40</v>
      </c>
      <c r="C278" s="1" t="n">
        <v>28.4595</v>
      </c>
      <c r="D278" s="1" t="n">
        <v>77.0266</v>
      </c>
      <c r="E278" s="5" t="n">
        <v>45912</v>
      </c>
      <c r="F278" s="6" t="s">
        <v>63</v>
      </c>
      <c r="G278" s="1" t="n">
        <v>9</v>
      </c>
      <c r="H278" s="7" t="s">
        <v>85</v>
      </c>
      <c r="I278" s="6" t="s">
        <v>43</v>
      </c>
      <c r="J278" s="7" t="s">
        <v>44</v>
      </c>
      <c r="K278" s="7" t="s">
        <v>60</v>
      </c>
      <c r="L278" s="1" t="n">
        <v>59</v>
      </c>
      <c r="M278" s="1" t="n">
        <v>22.7</v>
      </c>
      <c r="N278" s="1" t="n">
        <v>29.5</v>
      </c>
      <c r="O278" s="1" t="n">
        <v>0</v>
      </c>
      <c r="P278" s="6" t="s">
        <v>43</v>
      </c>
      <c r="Q278" s="6" t="s">
        <v>43</v>
      </c>
      <c r="R278" s="1" t="n">
        <v>1007.4</v>
      </c>
      <c r="S278" s="1" t="n">
        <v>29</v>
      </c>
      <c r="T278" s="1" t="n">
        <v>50.3</v>
      </c>
      <c r="U278" s="1" t="n">
        <v>294.3</v>
      </c>
      <c r="V278" s="1" t="n">
        <v>170</v>
      </c>
      <c r="W278" s="1" t="n">
        <v>3.9</v>
      </c>
      <c r="X278" s="1" t="n">
        <v>12.8</v>
      </c>
      <c r="Y278" s="1" t="n">
        <v>134</v>
      </c>
      <c r="Z278" s="1" t="n">
        <v>467</v>
      </c>
      <c r="AA278" s="1" t="n">
        <v>139</v>
      </c>
      <c r="AB278" s="7" t="s">
        <v>81</v>
      </c>
      <c r="AC278" s="7" t="s">
        <v>82</v>
      </c>
      <c r="AD278" s="7" t="s">
        <v>83</v>
      </c>
      <c r="AE278" s="7" t="s">
        <v>84</v>
      </c>
      <c r="AF278" s="4" t="n">
        <f aca="false">IF(T278="","",IF(T278&lt;=30,(50/30)*T278,IF(T278&lt;=60,50+((100-50)/(60-30))*(T278-30),IF(T278&lt;=90,100+((200-100)/(90-60))*(T278-60),IF(T278&lt;=120,200+((300-200)/(120-90))*(T278-90),IF(T278&lt;=250,300+((400-300)/(250-120))*(T278-120),IF(T278&lt;=380,400+((500-400)/(380-250))*(T278-250),500)))))))</f>
        <v>83.8333333333333</v>
      </c>
      <c r="AG278" s="4" t="n">
        <f aca="false">IF(U278="","",IF(U278&lt;=50,(50/50)*U278,IF(U278&lt;=100,50+((100-50)/(100-50))*(U278-50),IF(U278&lt;=250,100+((200-100)/(250-100))*(U278-100),IF(U278&lt;=350,200+((300-200)/(350-250))*(U278-250),IF(U278&lt;=430,300+((400-300)/(430-350))*(U278-350),IF(U278&lt;=600,400+((500-400)/(600-430))*(U278-430),500)))))))</f>
        <v>244.3</v>
      </c>
      <c r="AH278" s="4" t="n">
        <f aca="false">IF(V278="","",IF((V278/1000)&lt;=1,(50/1)*(V278/1000),IF((V278/1000)&lt;=2,50+((100-50)/(2-1))*(V278/1000-1),IF((V278/1000)&lt;=10,100+((200-100)/(10-2))*(V278/1000-2),IF((V278/1000)&lt;=17,200+((300-200)/(17-10))*(V278/1000-10),IF((V278/1000)&lt;=34,300+((400-300)/(34-17))*(V278/1000-17),IF((V278/1000)&lt;=57,400+((500-400)/(57-34))*(V278/1000-34),500)))))))</f>
        <v>8.5</v>
      </c>
      <c r="AI278" s="4" t="n">
        <f aca="false">IF(W278="","",IF(W278&lt;=40,(50/40)*W278,IF(W278&lt;=80,50+((100-50)/(80-40))*(W278-40),IF(W278&lt;=180,100+((200-100)/(180-80))*(W278-80),IF(W278&lt;=280,200+((300-200)/(280-180))*(W278-180),IF(W278&lt;=400,300+((400-300)/(400-280))*(W278-280),IF(W278&lt;=800,400+((500-400)/(800-400))*(W278-400),500)))))))</f>
        <v>4.875</v>
      </c>
      <c r="AJ278" s="4" t="n">
        <f aca="false">IF(X278="","",IF(X278&lt;=40,(50/40)*X278,IF(X278&lt;=80,50+((100-50)/(80-40))*(X278-40),IF(X278&lt;=380,100+((200-100)/(380-80))*(X278-80),IF(X278&lt;=800,200+((300-200)/(800-380))*(X278-380),IF(X278&lt;=1600,300+((400-300)/(1600-800))*(X278-800),IF(X278&lt;=2100,400+((500-400)/(2100-1600))*(X278-1600),500)))))))</f>
        <v>16</v>
      </c>
      <c r="AK278" s="4" t="n">
        <f aca="false">IF(Y278="","",IF(Y278&lt;=50,(50/50)*Y278,IF(Y278&lt;=100,50+((100-50)/(100-50))*(Y278-50),IF(Y278&lt;=168,100+((200-100)/(168-100))*(Y278-100),IF(Y278&lt;=208,200+((300-200)/(208-168))*(Y278-168),IF(Y278&lt;=748,300+((400-300)/(748-208))*(Y278-208),IF(Y278&lt;=1000,400+((500-400)/(1000-748))*(Y278-748),500)))))))</f>
        <v>150</v>
      </c>
      <c r="AL278" s="4" t="n">
        <f aca="false">ROUND(MAX(AF278,AG278,AH278,AI278,AJ278,AK278),0)</f>
        <v>244</v>
      </c>
      <c r="AM278" s="4" t="str">
        <f aca="false">IF(AL278="","",IF(AL278&lt;=50,"Good",IF(AL278&lt;=100,"Satisfactory",IF(AL278&lt;=200,"Moderate",IF(AL278&lt;=300,"Poor",IF(AL278&lt;=400,"Very Poor","Severe"))))))</f>
        <v>Poor</v>
      </c>
    </row>
    <row r="279" customFormat="false" ht="15.75" hidden="false" customHeight="false" outlineLevel="0" collapsed="false">
      <c r="A279" s="1" t="s">
        <v>39</v>
      </c>
      <c r="B279" s="1" t="s">
        <v>40</v>
      </c>
      <c r="C279" s="1" t="n">
        <v>28.4595</v>
      </c>
      <c r="D279" s="1" t="n">
        <v>77.0266</v>
      </c>
      <c r="E279" s="5" t="n">
        <v>45912</v>
      </c>
      <c r="F279" s="6" t="s">
        <v>64</v>
      </c>
      <c r="G279" s="1" t="n">
        <v>9</v>
      </c>
      <c r="H279" s="7" t="s">
        <v>85</v>
      </c>
      <c r="I279" s="6" t="s">
        <v>43</v>
      </c>
      <c r="J279" s="7" t="s">
        <v>44</v>
      </c>
      <c r="K279" s="7" t="s">
        <v>65</v>
      </c>
      <c r="L279" s="1" t="n">
        <v>57</v>
      </c>
      <c r="M279" s="1" t="n">
        <v>22.4</v>
      </c>
      <c r="N279" s="1" t="n">
        <v>27.4</v>
      </c>
      <c r="O279" s="1" t="n">
        <v>0</v>
      </c>
      <c r="P279" s="6" t="s">
        <v>43</v>
      </c>
      <c r="Q279" s="6" t="s">
        <v>43</v>
      </c>
      <c r="R279" s="1" t="n">
        <v>1006.5</v>
      </c>
      <c r="S279" s="1" t="n">
        <v>20</v>
      </c>
      <c r="T279" s="1" t="n">
        <v>44</v>
      </c>
      <c r="U279" s="1" t="n">
        <v>245.9</v>
      </c>
      <c r="V279" s="1" t="n">
        <v>165</v>
      </c>
      <c r="W279" s="1" t="n">
        <v>3.5</v>
      </c>
      <c r="X279" s="1" t="n">
        <v>12.3</v>
      </c>
      <c r="Y279" s="1" t="n">
        <v>132</v>
      </c>
      <c r="Z279" s="1" t="n">
        <v>405</v>
      </c>
      <c r="AA279" s="1" t="n">
        <v>137</v>
      </c>
      <c r="AB279" s="7" t="s">
        <v>81</v>
      </c>
      <c r="AC279" s="7" t="s">
        <v>82</v>
      </c>
      <c r="AD279" s="7" t="s">
        <v>83</v>
      </c>
      <c r="AE279" s="7" t="s">
        <v>84</v>
      </c>
      <c r="AF279" s="4" t="n">
        <f aca="false">IF(T279="","",IF(T279&lt;=30,(50/30)*T279,IF(T279&lt;=60,50+((100-50)/(60-30))*(T279-30),IF(T279&lt;=90,100+((200-100)/(90-60))*(T279-60),IF(T279&lt;=120,200+((300-200)/(120-90))*(T279-90),IF(T279&lt;=250,300+((400-300)/(250-120))*(T279-120),IF(T279&lt;=380,400+((500-400)/(380-250))*(T279-250),500)))))))</f>
        <v>73.3333333333333</v>
      </c>
      <c r="AG279" s="4" t="n">
        <f aca="false">IF(U279="","",IF(U279&lt;=50,(50/50)*U279,IF(U279&lt;=100,50+((100-50)/(100-50))*(U279-50),IF(U279&lt;=250,100+((200-100)/(250-100))*(U279-100),IF(U279&lt;=350,200+((300-200)/(350-250))*(U279-250),IF(U279&lt;=430,300+((400-300)/(430-350))*(U279-350),IF(U279&lt;=600,400+((500-400)/(600-430))*(U279-430),500)))))))</f>
        <v>197.266666666667</v>
      </c>
      <c r="AH279" s="4" t="n">
        <f aca="false">IF(V279="","",IF((V279/1000)&lt;=1,(50/1)*(V279/1000),IF((V279/1000)&lt;=2,50+((100-50)/(2-1))*(V279/1000-1),IF((V279/1000)&lt;=10,100+((200-100)/(10-2))*(V279/1000-2),IF((V279/1000)&lt;=17,200+((300-200)/(17-10))*(V279/1000-10),IF((V279/1000)&lt;=34,300+((400-300)/(34-17))*(V279/1000-17),IF((V279/1000)&lt;=57,400+((500-400)/(57-34))*(V279/1000-34),500)))))))</f>
        <v>8.25</v>
      </c>
      <c r="AI279" s="4" t="n">
        <f aca="false">IF(W279="","",IF(W279&lt;=40,(50/40)*W279,IF(W279&lt;=80,50+((100-50)/(80-40))*(W279-40),IF(W279&lt;=180,100+((200-100)/(180-80))*(W279-80),IF(W279&lt;=280,200+((300-200)/(280-180))*(W279-180),IF(W279&lt;=400,300+((400-300)/(400-280))*(W279-280),IF(W279&lt;=800,400+((500-400)/(800-400))*(W279-400),500)))))))</f>
        <v>4.375</v>
      </c>
      <c r="AJ279" s="4" t="n">
        <f aca="false">IF(X279="","",IF(X279&lt;=40,(50/40)*X279,IF(X279&lt;=80,50+((100-50)/(80-40))*(X279-40),IF(X279&lt;=380,100+((200-100)/(380-80))*(X279-80),IF(X279&lt;=800,200+((300-200)/(800-380))*(X279-380),IF(X279&lt;=1600,300+((400-300)/(1600-800))*(X279-800),IF(X279&lt;=2100,400+((500-400)/(2100-1600))*(X279-1600),500)))))))</f>
        <v>15.375</v>
      </c>
      <c r="AK279" s="4" t="n">
        <f aca="false">IF(Y279="","",IF(Y279&lt;=50,(50/50)*Y279,IF(Y279&lt;=100,50+((100-50)/(100-50))*(Y279-50),IF(Y279&lt;=168,100+((200-100)/(168-100))*(Y279-100),IF(Y279&lt;=208,200+((300-200)/(208-168))*(Y279-168),IF(Y279&lt;=748,300+((400-300)/(748-208))*(Y279-208),IF(Y279&lt;=1000,400+((500-400)/(1000-748))*(Y279-748),500)))))))</f>
        <v>147.058823529412</v>
      </c>
      <c r="AL279" s="4" t="n">
        <f aca="false">ROUND(MAX(AF279,AG279,AH279,AI279,AJ279,AK279),0)</f>
        <v>197</v>
      </c>
      <c r="AM279" s="4" t="str">
        <f aca="false">IF(AL279="","",IF(AL279&lt;=50,"Good",IF(AL279&lt;=100,"Satisfactory",IF(AL279&lt;=200,"Moderate",IF(AL279&lt;=300,"Poor",IF(AL279&lt;=400,"Very Poor","Severe"))))))</f>
        <v>Moderate</v>
      </c>
    </row>
    <row r="280" customFormat="false" ht="15.75" hidden="false" customHeight="false" outlineLevel="0" collapsed="false">
      <c r="A280" s="1" t="s">
        <v>39</v>
      </c>
      <c r="B280" s="1" t="s">
        <v>40</v>
      </c>
      <c r="C280" s="1" t="n">
        <v>28.4595</v>
      </c>
      <c r="D280" s="1" t="n">
        <v>77.0266</v>
      </c>
      <c r="E280" s="5" t="n">
        <v>45912</v>
      </c>
      <c r="F280" s="6" t="s">
        <v>66</v>
      </c>
      <c r="G280" s="1" t="n">
        <v>9</v>
      </c>
      <c r="H280" s="7" t="s">
        <v>85</v>
      </c>
      <c r="I280" s="6" t="s">
        <v>43</v>
      </c>
      <c r="J280" s="7" t="s">
        <v>44</v>
      </c>
      <c r="K280" s="7" t="s">
        <v>65</v>
      </c>
      <c r="L280" s="1" t="n">
        <v>56</v>
      </c>
      <c r="M280" s="1" t="n">
        <v>22.3</v>
      </c>
      <c r="N280" s="1" t="n">
        <v>26.6</v>
      </c>
      <c r="O280" s="1" t="n">
        <v>0</v>
      </c>
      <c r="P280" s="6" t="s">
        <v>43</v>
      </c>
      <c r="Q280" s="6" t="s">
        <v>43</v>
      </c>
      <c r="R280" s="1" t="n">
        <v>1005.7</v>
      </c>
      <c r="S280" s="1" t="n">
        <v>17</v>
      </c>
      <c r="T280" s="1" t="n">
        <v>41</v>
      </c>
      <c r="U280" s="1" t="n">
        <v>219.8</v>
      </c>
      <c r="V280" s="1" t="n">
        <v>185</v>
      </c>
      <c r="W280" s="1" t="n">
        <v>5.1</v>
      </c>
      <c r="X280" s="1" t="n">
        <v>12.1</v>
      </c>
      <c r="Y280" s="1" t="n">
        <v>126</v>
      </c>
      <c r="Z280" s="1" t="n">
        <v>348</v>
      </c>
      <c r="AA280" s="1" t="n">
        <v>136</v>
      </c>
      <c r="AB280" s="7" t="s">
        <v>81</v>
      </c>
      <c r="AC280" s="7" t="s">
        <v>82</v>
      </c>
      <c r="AD280" s="7" t="s">
        <v>83</v>
      </c>
      <c r="AE280" s="7" t="s">
        <v>84</v>
      </c>
      <c r="AF280" s="4" t="n">
        <f aca="false">IF(T280="","",IF(T280&lt;=30,(50/30)*T280,IF(T280&lt;=60,50+((100-50)/(60-30))*(T280-30),IF(T280&lt;=90,100+((200-100)/(90-60))*(T280-60),IF(T280&lt;=120,200+((300-200)/(120-90))*(T280-90),IF(T280&lt;=250,300+((400-300)/(250-120))*(T280-120),IF(T280&lt;=380,400+((500-400)/(380-250))*(T280-250),500)))))))</f>
        <v>68.3333333333333</v>
      </c>
      <c r="AG280" s="4" t="n">
        <f aca="false">IF(U280="","",IF(U280&lt;=50,(50/50)*U280,IF(U280&lt;=100,50+((100-50)/(100-50))*(U280-50),IF(U280&lt;=250,100+((200-100)/(250-100))*(U280-100),IF(U280&lt;=350,200+((300-200)/(350-250))*(U280-250),IF(U280&lt;=430,300+((400-300)/(430-350))*(U280-350),IF(U280&lt;=600,400+((500-400)/(600-430))*(U280-430),500)))))))</f>
        <v>179.866666666667</v>
      </c>
      <c r="AH280" s="4" t="n">
        <f aca="false">IF(V280="","",IF((V280/1000)&lt;=1,(50/1)*(V280/1000),IF((V280/1000)&lt;=2,50+((100-50)/(2-1))*(V280/1000-1),IF((V280/1000)&lt;=10,100+((200-100)/(10-2))*(V280/1000-2),IF((V280/1000)&lt;=17,200+((300-200)/(17-10))*(V280/1000-10),IF((V280/1000)&lt;=34,300+((400-300)/(34-17))*(V280/1000-17),IF((V280/1000)&lt;=57,400+((500-400)/(57-34))*(V280/1000-34),500)))))))</f>
        <v>9.25</v>
      </c>
      <c r="AI280" s="4" t="n">
        <f aca="false">IF(W280="","",IF(W280&lt;=40,(50/40)*W280,IF(W280&lt;=80,50+((100-50)/(80-40))*(W280-40),IF(W280&lt;=180,100+((200-100)/(180-80))*(W280-80),IF(W280&lt;=280,200+((300-200)/(280-180))*(W280-180),IF(W280&lt;=400,300+((400-300)/(400-280))*(W280-280),IF(W280&lt;=800,400+((500-400)/(800-400))*(W280-400),500)))))))</f>
        <v>6.375</v>
      </c>
      <c r="AJ280" s="4" t="n">
        <f aca="false">IF(X280="","",IF(X280&lt;=40,(50/40)*X280,IF(X280&lt;=80,50+((100-50)/(80-40))*(X280-40),IF(X280&lt;=380,100+((200-100)/(380-80))*(X280-80),IF(X280&lt;=800,200+((300-200)/(800-380))*(X280-380),IF(X280&lt;=1600,300+((400-300)/(1600-800))*(X280-800),IF(X280&lt;=2100,400+((500-400)/(2100-1600))*(X280-1600),500)))))))</f>
        <v>15.125</v>
      </c>
      <c r="AK280" s="4" t="n">
        <f aca="false">IF(Y280="","",IF(Y280&lt;=50,(50/50)*Y280,IF(Y280&lt;=100,50+((100-50)/(100-50))*(Y280-50),IF(Y280&lt;=168,100+((200-100)/(168-100))*(Y280-100),IF(Y280&lt;=208,200+((300-200)/(208-168))*(Y280-168),IF(Y280&lt;=748,300+((400-300)/(748-208))*(Y280-208),IF(Y280&lt;=1000,400+((500-400)/(1000-748))*(Y280-748),500)))))))</f>
        <v>138.235294117647</v>
      </c>
      <c r="AL280" s="4" t="n">
        <f aca="false">ROUND(MAX(AF280,AG280,AH280,AI280,AJ280,AK280),0)</f>
        <v>180</v>
      </c>
      <c r="AM280" s="4" t="str">
        <f aca="false">IF(AL280="","",IF(AL280&lt;=50,"Good",IF(AL280&lt;=100,"Satisfactory",IF(AL280&lt;=200,"Moderate",IF(AL280&lt;=300,"Poor",IF(AL280&lt;=400,"Very Poor","Severe"))))))</f>
        <v>Moderate</v>
      </c>
    </row>
    <row r="281" customFormat="false" ht="15.75" hidden="false" customHeight="false" outlineLevel="0" collapsed="false">
      <c r="A281" s="1" t="s">
        <v>39</v>
      </c>
      <c r="B281" s="1" t="s">
        <v>40</v>
      </c>
      <c r="C281" s="1" t="n">
        <v>28.4595</v>
      </c>
      <c r="D281" s="1" t="n">
        <v>77.0266</v>
      </c>
      <c r="E281" s="5" t="n">
        <v>45912</v>
      </c>
      <c r="F281" s="6" t="s">
        <v>67</v>
      </c>
      <c r="G281" s="1" t="n">
        <v>9</v>
      </c>
      <c r="H281" s="7" t="s">
        <v>85</v>
      </c>
      <c r="I281" s="6" t="s">
        <v>43</v>
      </c>
      <c r="J281" s="7" t="s">
        <v>44</v>
      </c>
      <c r="K281" s="7" t="s">
        <v>65</v>
      </c>
      <c r="L281" s="1" t="n">
        <v>57</v>
      </c>
      <c r="M281" s="1" t="n">
        <v>22.3</v>
      </c>
      <c r="N281" s="1" t="n">
        <v>27.7</v>
      </c>
      <c r="O281" s="1" t="n">
        <v>0</v>
      </c>
      <c r="P281" s="6" t="s">
        <v>43</v>
      </c>
      <c r="Q281" s="6" t="s">
        <v>43</v>
      </c>
      <c r="R281" s="1" t="n">
        <v>1004.8</v>
      </c>
      <c r="S281" s="1" t="n">
        <v>10</v>
      </c>
      <c r="T281" s="1" t="n">
        <v>39.6</v>
      </c>
      <c r="U281" s="1" t="n">
        <v>205.4</v>
      </c>
      <c r="V281" s="1" t="n">
        <v>207</v>
      </c>
      <c r="W281" s="1" t="n">
        <v>8.2</v>
      </c>
      <c r="X281" s="1" t="n">
        <v>11.9</v>
      </c>
      <c r="Y281" s="1" t="n">
        <v>119</v>
      </c>
      <c r="Z281" s="1" t="n">
        <v>308</v>
      </c>
      <c r="AA281" s="1" t="n">
        <v>135</v>
      </c>
      <c r="AB281" s="7" t="s">
        <v>81</v>
      </c>
      <c r="AC281" s="7" t="s">
        <v>82</v>
      </c>
      <c r="AD281" s="7" t="s">
        <v>83</v>
      </c>
      <c r="AE281" s="7" t="s">
        <v>84</v>
      </c>
      <c r="AF281" s="4" t="n">
        <f aca="false">IF(T281="","",IF(T281&lt;=30,(50/30)*T281,IF(T281&lt;=60,50+((100-50)/(60-30))*(T281-30),IF(T281&lt;=90,100+((200-100)/(90-60))*(T281-60),IF(T281&lt;=120,200+((300-200)/(120-90))*(T281-90),IF(T281&lt;=250,300+((400-300)/(250-120))*(T281-120),IF(T281&lt;=380,400+((500-400)/(380-250))*(T281-250),500)))))))</f>
        <v>66</v>
      </c>
      <c r="AG281" s="4" t="n">
        <f aca="false">IF(U281="","",IF(U281&lt;=50,(50/50)*U281,IF(U281&lt;=100,50+((100-50)/(100-50))*(U281-50),IF(U281&lt;=250,100+((200-100)/(250-100))*(U281-100),IF(U281&lt;=350,200+((300-200)/(350-250))*(U281-250),IF(U281&lt;=430,300+((400-300)/(430-350))*(U281-350),IF(U281&lt;=600,400+((500-400)/(600-430))*(U281-430),500)))))))</f>
        <v>170.266666666667</v>
      </c>
      <c r="AH281" s="4" t="n">
        <f aca="false">IF(V281="","",IF((V281/1000)&lt;=1,(50/1)*(V281/1000),IF((V281/1000)&lt;=2,50+((100-50)/(2-1))*(V281/1000-1),IF((V281/1000)&lt;=10,100+((200-100)/(10-2))*(V281/1000-2),IF((V281/1000)&lt;=17,200+((300-200)/(17-10))*(V281/1000-10),IF((V281/1000)&lt;=34,300+((400-300)/(34-17))*(V281/1000-17),IF((V281/1000)&lt;=57,400+((500-400)/(57-34))*(V281/1000-34),500)))))))</f>
        <v>10.35</v>
      </c>
      <c r="AI281" s="4" t="n">
        <f aca="false">IF(W281="","",IF(W281&lt;=40,(50/40)*W281,IF(W281&lt;=80,50+((100-50)/(80-40))*(W281-40),IF(W281&lt;=180,100+((200-100)/(180-80))*(W281-80),IF(W281&lt;=280,200+((300-200)/(280-180))*(W281-180),IF(W281&lt;=400,300+((400-300)/(400-280))*(W281-280),IF(W281&lt;=800,400+((500-400)/(800-400))*(W281-400),500)))))))</f>
        <v>10.25</v>
      </c>
      <c r="AJ281" s="4" t="n">
        <f aca="false">IF(X281="","",IF(X281&lt;=40,(50/40)*X281,IF(X281&lt;=80,50+((100-50)/(80-40))*(X281-40),IF(X281&lt;=380,100+((200-100)/(380-80))*(X281-80),IF(X281&lt;=800,200+((300-200)/(800-380))*(X281-380),IF(X281&lt;=1600,300+((400-300)/(1600-800))*(X281-800),IF(X281&lt;=2100,400+((500-400)/(2100-1600))*(X281-1600),500)))))))</f>
        <v>14.875</v>
      </c>
      <c r="AK281" s="4" t="n">
        <f aca="false">IF(Y281="","",IF(Y281&lt;=50,(50/50)*Y281,IF(Y281&lt;=100,50+((100-50)/(100-50))*(Y281-50),IF(Y281&lt;=168,100+((200-100)/(168-100))*(Y281-100),IF(Y281&lt;=208,200+((300-200)/(208-168))*(Y281-168),IF(Y281&lt;=748,300+((400-300)/(748-208))*(Y281-208),IF(Y281&lt;=1000,400+((500-400)/(1000-748))*(Y281-748),500)))))))</f>
        <v>127.941176470588</v>
      </c>
      <c r="AL281" s="4" t="n">
        <f aca="false">ROUND(MAX(AF281,AG281,AH281,AI281,AJ281,AK281),0)</f>
        <v>170</v>
      </c>
      <c r="AM281" s="4" t="str">
        <f aca="false">IF(AL281="","",IF(AL281&lt;=50,"Good",IF(AL281&lt;=100,"Satisfactory",IF(AL281&lt;=200,"Moderate",IF(AL281&lt;=300,"Poor",IF(AL281&lt;=400,"Very Poor","Severe"))))))</f>
        <v>Moderate</v>
      </c>
    </row>
    <row r="282" customFormat="false" ht="15.75" hidden="false" customHeight="false" outlineLevel="0" collapsed="false">
      <c r="A282" s="1" t="s">
        <v>39</v>
      </c>
      <c r="B282" s="1" t="s">
        <v>40</v>
      </c>
      <c r="C282" s="1" t="n">
        <v>28.4595</v>
      </c>
      <c r="D282" s="1" t="n">
        <v>77.0266</v>
      </c>
      <c r="E282" s="5" t="n">
        <v>45912</v>
      </c>
      <c r="F282" s="6" t="s">
        <v>68</v>
      </c>
      <c r="G282" s="1" t="n">
        <v>9</v>
      </c>
      <c r="H282" s="7" t="s">
        <v>85</v>
      </c>
      <c r="I282" s="6" t="s">
        <v>43</v>
      </c>
      <c r="J282" s="7" t="s">
        <v>44</v>
      </c>
      <c r="K282" s="7" t="s">
        <v>65</v>
      </c>
      <c r="L282" s="1" t="n">
        <v>59</v>
      </c>
      <c r="M282" s="1" t="n">
        <v>22.5</v>
      </c>
      <c r="N282" s="1" t="n">
        <v>27.7</v>
      </c>
      <c r="O282" s="1" t="n">
        <v>0</v>
      </c>
      <c r="P282" s="6" t="s">
        <v>43</v>
      </c>
      <c r="Q282" s="6" t="s">
        <v>43</v>
      </c>
      <c r="R282" s="1" t="n">
        <v>1004.1</v>
      </c>
      <c r="S282" s="1" t="n">
        <v>12</v>
      </c>
      <c r="T282" s="1" t="n">
        <v>39.6</v>
      </c>
      <c r="U282" s="1" t="n">
        <v>203</v>
      </c>
      <c r="V282" s="1" t="n">
        <v>255</v>
      </c>
      <c r="W282" s="1" t="n">
        <v>13.3</v>
      </c>
      <c r="X282" s="1" t="n">
        <v>12</v>
      </c>
      <c r="Y282" s="1" t="n">
        <v>108</v>
      </c>
      <c r="Z282" s="1" t="n">
        <v>273</v>
      </c>
      <c r="AA282" s="1" t="n">
        <v>134</v>
      </c>
      <c r="AB282" s="7" t="s">
        <v>81</v>
      </c>
      <c r="AC282" s="7" t="s">
        <v>82</v>
      </c>
      <c r="AD282" s="7" t="s">
        <v>83</v>
      </c>
      <c r="AE282" s="7" t="s">
        <v>84</v>
      </c>
      <c r="AF282" s="4" t="n">
        <f aca="false">IF(T282="","",IF(T282&lt;=30,(50/30)*T282,IF(T282&lt;=60,50+((100-50)/(60-30))*(T282-30),IF(T282&lt;=90,100+((200-100)/(90-60))*(T282-60),IF(T282&lt;=120,200+((300-200)/(120-90))*(T282-90),IF(T282&lt;=250,300+((400-300)/(250-120))*(T282-120),IF(T282&lt;=380,400+((500-400)/(380-250))*(T282-250),500)))))))</f>
        <v>66</v>
      </c>
      <c r="AG282" s="4" t="n">
        <f aca="false">IF(U282="","",IF(U282&lt;=50,(50/50)*U282,IF(U282&lt;=100,50+((100-50)/(100-50))*(U282-50),IF(U282&lt;=250,100+((200-100)/(250-100))*(U282-100),IF(U282&lt;=350,200+((300-200)/(350-250))*(U282-250),IF(U282&lt;=430,300+((400-300)/(430-350))*(U282-350),IF(U282&lt;=600,400+((500-400)/(600-430))*(U282-430),500)))))))</f>
        <v>168.666666666667</v>
      </c>
      <c r="AH282" s="4" t="n">
        <f aca="false">IF(V282="","",IF((V282/1000)&lt;=1,(50/1)*(V282/1000),IF((V282/1000)&lt;=2,50+((100-50)/(2-1))*(V282/1000-1),IF((V282/1000)&lt;=10,100+((200-100)/(10-2))*(V282/1000-2),IF((V282/1000)&lt;=17,200+((300-200)/(17-10))*(V282/1000-10),IF((V282/1000)&lt;=34,300+((400-300)/(34-17))*(V282/1000-17),IF((V282/1000)&lt;=57,400+((500-400)/(57-34))*(V282/1000-34),500)))))))</f>
        <v>12.75</v>
      </c>
      <c r="AI282" s="4" t="n">
        <f aca="false">IF(W282="","",IF(W282&lt;=40,(50/40)*W282,IF(W282&lt;=80,50+((100-50)/(80-40))*(W282-40),IF(W282&lt;=180,100+((200-100)/(180-80))*(W282-80),IF(W282&lt;=280,200+((300-200)/(280-180))*(W282-180),IF(W282&lt;=400,300+((400-300)/(400-280))*(W282-280),IF(W282&lt;=800,400+((500-400)/(800-400))*(W282-400),500)))))))</f>
        <v>16.625</v>
      </c>
      <c r="AJ282" s="4" t="n">
        <f aca="false">IF(X282="","",IF(X282&lt;=40,(50/40)*X282,IF(X282&lt;=80,50+((100-50)/(80-40))*(X282-40),IF(X282&lt;=380,100+((200-100)/(380-80))*(X282-80),IF(X282&lt;=800,200+((300-200)/(800-380))*(X282-380),IF(X282&lt;=1600,300+((400-300)/(1600-800))*(X282-800),IF(X282&lt;=2100,400+((500-400)/(2100-1600))*(X282-1600),500)))))))</f>
        <v>15</v>
      </c>
      <c r="AK282" s="4" t="n">
        <f aca="false">IF(Y282="","",IF(Y282&lt;=50,(50/50)*Y282,IF(Y282&lt;=100,50+((100-50)/(100-50))*(Y282-50),IF(Y282&lt;=168,100+((200-100)/(168-100))*(Y282-100),IF(Y282&lt;=208,200+((300-200)/(208-168))*(Y282-168),IF(Y282&lt;=748,300+((400-300)/(748-208))*(Y282-208),IF(Y282&lt;=1000,400+((500-400)/(1000-748))*(Y282-748),500)))))))</f>
        <v>111.764705882353</v>
      </c>
      <c r="AL282" s="4" t="n">
        <f aca="false">ROUND(MAX(AF282,AG282,AH282,AI282,AJ282,AK282),0)</f>
        <v>169</v>
      </c>
      <c r="AM282" s="4" t="str">
        <f aca="false">IF(AL282="","",IF(AL282&lt;=50,"Good",IF(AL282&lt;=100,"Satisfactory",IF(AL282&lt;=200,"Moderate",IF(AL282&lt;=300,"Poor",IF(AL282&lt;=400,"Very Poor","Severe"))))))</f>
        <v>Moderate</v>
      </c>
    </row>
    <row r="283" customFormat="false" ht="15.75" hidden="false" customHeight="false" outlineLevel="0" collapsed="false">
      <c r="A283" s="1" t="s">
        <v>39</v>
      </c>
      <c r="B283" s="1" t="s">
        <v>40</v>
      </c>
      <c r="C283" s="1" t="n">
        <v>28.4595</v>
      </c>
      <c r="D283" s="1" t="n">
        <v>77.0266</v>
      </c>
      <c r="E283" s="5" t="n">
        <v>45912</v>
      </c>
      <c r="F283" s="6" t="s">
        <v>69</v>
      </c>
      <c r="G283" s="1" t="n">
        <v>9</v>
      </c>
      <c r="H283" s="7" t="s">
        <v>85</v>
      </c>
      <c r="I283" s="6" t="s">
        <v>43</v>
      </c>
      <c r="J283" s="7" t="s">
        <v>44</v>
      </c>
      <c r="K283" s="7" t="s">
        <v>65</v>
      </c>
      <c r="L283" s="1" t="n">
        <v>67</v>
      </c>
      <c r="M283" s="1" t="n">
        <v>23.7</v>
      </c>
      <c r="N283" s="1" t="n">
        <v>23.8</v>
      </c>
      <c r="O283" s="1" t="n">
        <v>0</v>
      </c>
      <c r="P283" s="6" t="s">
        <v>43</v>
      </c>
      <c r="Q283" s="6" t="s">
        <v>43</v>
      </c>
      <c r="R283" s="1" t="n">
        <v>1004</v>
      </c>
      <c r="S283" s="1" t="n">
        <v>15</v>
      </c>
      <c r="T283" s="1" t="n">
        <v>40.5</v>
      </c>
      <c r="U283" s="1" t="n">
        <v>170</v>
      </c>
      <c r="V283" s="1" t="n">
        <v>407</v>
      </c>
      <c r="W283" s="1" t="n">
        <v>21.8</v>
      </c>
      <c r="X283" s="1" t="n">
        <v>14.6</v>
      </c>
      <c r="Y283" s="1" t="n">
        <v>93</v>
      </c>
      <c r="Z283" s="1" t="n">
        <v>251</v>
      </c>
      <c r="AA283" s="1" t="n">
        <v>133</v>
      </c>
      <c r="AB283" s="7" t="s">
        <v>81</v>
      </c>
      <c r="AC283" s="7" t="s">
        <v>82</v>
      </c>
      <c r="AD283" s="7" t="s">
        <v>83</v>
      </c>
      <c r="AE283" s="7" t="s">
        <v>84</v>
      </c>
      <c r="AF283" s="4" t="n">
        <f aca="false">IF(T283="","",IF(T283&lt;=30,(50/30)*T283,IF(T283&lt;=60,50+((100-50)/(60-30))*(T283-30),IF(T283&lt;=90,100+((200-100)/(90-60))*(T283-60),IF(T283&lt;=120,200+((300-200)/(120-90))*(T283-90),IF(T283&lt;=250,300+((400-300)/(250-120))*(T283-120),IF(T283&lt;=380,400+((500-400)/(380-250))*(T283-250),500)))))))</f>
        <v>67.5</v>
      </c>
      <c r="AG283" s="4" t="n">
        <f aca="false">IF(U283="","",IF(U283&lt;=50,(50/50)*U283,IF(U283&lt;=100,50+((100-50)/(100-50))*(U283-50),IF(U283&lt;=250,100+((200-100)/(250-100))*(U283-100),IF(U283&lt;=350,200+((300-200)/(350-250))*(U283-250),IF(U283&lt;=430,300+((400-300)/(430-350))*(U283-350),IF(U283&lt;=600,400+((500-400)/(600-430))*(U283-430),500)))))))</f>
        <v>146.666666666667</v>
      </c>
      <c r="AH283" s="4" t="n">
        <f aca="false">IF(V283="","",IF((V283/1000)&lt;=1,(50/1)*(V283/1000),IF((V283/1000)&lt;=2,50+((100-50)/(2-1))*(V283/1000-1),IF((V283/1000)&lt;=10,100+((200-100)/(10-2))*(V283/1000-2),IF((V283/1000)&lt;=17,200+((300-200)/(17-10))*(V283/1000-10),IF((V283/1000)&lt;=34,300+((400-300)/(34-17))*(V283/1000-17),IF((V283/1000)&lt;=57,400+((500-400)/(57-34))*(V283/1000-34),500)))))))</f>
        <v>20.35</v>
      </c>
      <c r="AI283" s="4" t="n">
        <f aca="false">IF(W283="","",IF(W283&lt;=40,(50/40)*W283,IF(W283&lt;=80,50+((100-50)/(80-40))*(W283-40),IF(W283&lt;=180,100+((200-100)/(180-80))*(W283-80),IF(W283&lt;=280,200+((300-200)/(280-180))*(W283-180),IF(W283&lt;=400,300+((400-300)/(400-280))*(W283-280),IF(W283&lt;=800,400+((500-400)/(800-400))*(W283-400),500)))))))</f>
        <v>27.25</v>
      </c>
      <c r="AJ283" s="4" t="n">
        <f aca="false">IF(X283="","",IF(X283&lt;=40,(50/40)*X283,IF(X283&lt;=80,50+((100-50)/(80-40))*(X283-40),IF(X283&lt;=380,100+((200-100)/(380-80))*(X283-80),IF(X283&lt;=800,200+((300-200)/(800-380))*(X283-380),IF(X283&lt;=1600,300+((400-300)/(1600-800))*(X283-800),IF(X283&lt;=2100,400+((500-400)/(2100-1600))*(X283-1600),500)))))))</f>
        <v>18.25</v>
      </c>
      <c r="AK283" s="4" t="n">
        <f aca="false">IF(Y283="","",IF(Y283&lt;=50,(50/50)*Y283,IF(Y283&lt;=100,50+((100-50)/(100-50))*(Y283-50),IF(Y283&lt;=168,100+((200-100)/(168-100))*(Y283-100),IF(Y283&lt;=208,200+((300-200)/(208-168))*(Y283-168),IF(Y283&lt;=748,300+((400-300)/(748-208))*(Y283-208),IF(Y283&lt;=1000,400+((500-400)/(1000-748))*(Y283-748),500)))))))</f>
        <v>93</v>
      </c>
      <c r="AL283" s="4" t="n">
        <f aca="false">ROUND(MAX(AF283,AG283,AH283,AI283,AJ283,AK283),0)</f>
        <v>147</v>
      </c>
      <c r="AM283" s="4" t="str">
        <f aca="false">IF(AL283="","",IF(AL283&lt;=50,"Good",IF(AL283&lt;=100,"Satisfactory",IF(AL283&lt;=200,"Moderate",IF(AL283&lt;=300,"Poor",IF(AL283&lt;=400,"Very Poor","Severe"))))))</f>
        <v>Moderate</v>
      </c>
    </row>
    <row r="284" customFormat="false" ht="15.75" hidden="false" customHeight="false" outlineLevel="0" collapsed="false">
      <c r="A284" s="1" t="s">
        <v>39</v>
      </c>
      <c r="B284" s="1" t="s">
        <v>40</v>
      </c>
      <c r="C284" s="1" t="n">
        <v>28.4595</v>
      </c>
      <c r="D284" s="1" t="n">
        <v>77.0266</v>
      </c>
      <c r="E284" s="5" t="n">
        <v>45912</v>
      </c>
      <c r="F284" s="6" t="s">
        <v>70</v>
      </c>
      <c r="G284" s="1" t="n">
        <v>9</v>
      </c>
      <c r="H284" s="7" t="s">
        <v>85</v>
      </c>
      <c r="I284" s="6" t="s">
        <v>43</v>
      </c>
      <c r="J284" s="7" t="s">
        <v>44</v>
      </c>
      <c r="K284" s="7" t="s">
        <v>71</v>
      </c>
      <c r="L284" s="1" t="n">
        <v>77</v>
      </c>
      <c r="M284" s="1" t="n">
        <v>24.9</v>
      </c>
      <c r="N284" s="1" t="n">
        <v>13</v>
      </c>
      <c r="O284" s="1" t="n">
        <v>0</v>
      </c>
      <c r="P284" s="6" t="s">
        <v>43</v>
      </c>
      <c r="Q284" s="6" t="s">
        <v>43</v>
      </c>
      <c r="R284" s="1" t="n">
        <v>1005.1</v>
      </c>
      <c r="S284" s="1" t="n">
        <v>9</v>
      </c>
      <c r="T284" s="1" t="n">
        <v>45.8</v>
      </c>
      <c r="U284" s="1" t="n">
        <v>135.5</v>
      </c>
      <c r="V284" s="1" t="n">
        <v>765</v>
      </c>
      <c r="W284" s="1" t="n">
        <v>41.1</v>
      </c>
      <c r="X284" s="1" t="n">
        <v>18.4</v>
      </c>
      <c r="Y284" s="1" t="n">
        <v>68</v>
      </c>
      <c r="Z284" s="1" t="n">
        <v>216</v>
      </c>
      <c r="AA284" s="1" t="n">
        <v>133</v>
      </c>
      <c r="AB284" s="7" t="s">
        <v>81</v>
      </c>
      <c r="AC284" s="7" t="s">
        <v>82</v>
      </c>
      <c r="AD284" s="7" t="s">
        <v>83</v>
      </c>
      <c r="AE284" s="7" t="s">
        <v>84</v>
      </c>
      <c r="AF284" s="4" t="n">
        <f aca="false">IF(T284="","",IF(T284&lt;=30,(50/30)*T284,IF(T284&lt;=60,50+((100-50)/(60-30))*(T284-30),IF(T284&lt;=90,100+((200-100)/(90-60))*(T284-60),IF(T284&lt;=120,200+((300-200)/(120-90))*(T284-90),IF(T284&lt;=250,300+((400-300)/(250-120))*(T284-120),IF(T284&lt;=380,400+((500-400)/(380-250))*(T284-250),500)))))))</f>
        <v>76.3333333333333</v>
      </c>
      <c r="AG284" s="4" t="n">
        <f aca="false">IF(U284="","",IF(U284&lt;=50,(50/50)*U284,IF(U284&lt;=100,50+((100-50)/(100-50))*(U284-50),IF(U284&lt;=250,100+((200-100)/(250-100))*(U284-100),IF(U284&lt;=350,200+((300-200)/(350-250))*(U284-250),IF(U284&lt;=430,300+((400-300)/(430-350))*(U284-350),IF(U284&lt;=600,400+((500-400)/(600-430))*(U284-430),500)))))))</f>
        <v>123.666666666667</v>
      </c>
      <c r="AH284" s="4" t="n">
        <f aca="false">IF(V284="","",IF((V284/1000)&lt;=1,(50/1)*(V284/1000),IF((V284/1000)&lt;=2,50+((100-50)/(2-1))*(V284/1000-1),IF((V284/1000)&lt;=10,100+((200-100)/(10-2))*(V284/1000-2),IF((V284/1000)&lt;=17,200+((300-200)/(17-10))*(V284/1000-10),IF((V284/1000)&lt;=34,300+((400-300)/(34-17))*(V284/1000-17),IF((V284/1000)&lt;=57,400+((500-400)/(57-34))*(V284/1000-34),500)))))))</f>
        <v>38.25</v>
      </c>
      <c r="AI284" s="4" t="n">
        <f aca="false">IF(W284="","",IF(W284&lt;=40,(50/40)*W284,IF(W284&lt;=80,50+((100-50)/(80-40))*(W284-40),IF(W284&lt;=180,100+((200-100)/(180-80))*(W284-80),IF(W284&lt;=280,200+((300-200)/(280-180))*(W284-180),IF(W284&lt;=400,300+((400-300)/(400-280))*(W284-280),IF(W284&lt;=800,400+((500-400)/(800-400))*(W284-400),500)))))))</f>
        <v>51.375</v>
      </c>
      <c r="AJ284" s="4" t="n">
        <f aca="false">IF(X284="","",IF(X284&lt;=40,(50/40)*X284,IF(X284&lt;=80,50+((100-50)/(80-40))*(X284-40),IF(X284&lt;=380,100+((200-100)/(380-80))*(X284-80),IF(X284&lt;=800,200+((300-200)/(800-380))*(X284-380),IF(X284&lt;=1600,300+((400-300)/(1600-800))*(X284-800),IF(X284&lt;=2100,400+((500-400)/(2100-1600))*(X284-1600),500)))))))</f>
        <v>23</v>
      </c>
      <c r="AK284" s="4" t="n">
        <f aca="false">IF(Y284="","",IF(Y284&lt;=50,(50/50)*Y284,IF(Y284&lt;=100,50+((100-50)/(100-50))*(Y284-50),IF(Y284&lt;=168,100+((200-100)/(168-100))*(Y284-100),IF(Y284&lt;=208,200+((300-200)/(208-168))*(Y284-168),IF(Y284&lt;=748,300+((400-300)/(748-208))*(Y284-208),IF(Y284&lt;=1000,400+((500-400)/(1000-748))*(Y284-748),500)))))))</f>
        <v>68</v>
      </c>
      <c r="AL284" s="4" t="n">
        <f aca="false">ROUND(MAX(AF284,AG284,AH284,AI284,AJ284,AK284),0)</f>
        <v>124</v>
      </c>
      <c r="AM284" s="4" t="str">
        <f aca="false">IF(AL284="","",IF(AL284&lt;=50,"Good",IF(AL284&lt;=100,"Satisfactory",IF(AL284&lt;=200,"Moderate",IF(AL284&lt;=300,"Poor",IF(AL284&lt;=400,"Very Poor","Severe"))))))</f>
        <v>Moderate</v>
      </c>
    </row>
    <row r="285" customFormat="false" ht="15.75" hidden="false" customHeight="false" outlineLevel="0" collapsed="false">
      <c r="A285" s="1" t="s">
        <v>39</v>
      </c>
      <c r="B285" s="1" t="s">
        <v>40</v>
      </c>
      <c r="C285" s="1" t="n">
        <v>28.4595</v>
      </c>
      <c r="D285" s="1" t="n">
        <v>77.0266</v>
      </c>
      <c r="E285" s="5" t="n">
        <v>45912</v>
      </c>
      <c r="F285" s="6" t="s">
        <v>72</v>
      </c>
      <c r="G285" s="1" t="n">
        <v>9</v>
      </c>
      <c r="H285" s="7" t="s">
        <v>85</v>
      </c>
      <c r="I285" s="6" t="s">
        <v>43</v>
      </c>
      <c r="J285" s="7" t="s">
        <v>44</v>
      </c>
      <c r="K285" s="7" t="s">
        <v>71</v>
      </c>
      <c r="L285" s="1" t="n">
        <v>80</v>
      </c>
      <c r="M285" s="1" t="n">
        <v>24.7</v>
      </c>
      <c r="N285" s="1" t="n">
        <v>5</v>
      </c>
      <c r="O285" s="1" t="n">
        <v>0</v>
      </c>
      <c r="P285" s="6" t="s">
        <v>43</v>
      </c>
      <c r="Q285" s="6" t="s">
        <v>43</v>
      </c>
      <c r="R285" s="1" t="n">
        <v>1005.4</v>
      </c>
      <c r="S285" s="1" t="n">
        <v>7</v>
      </c>
      <c r="T285" s="1" t="n">
        <v>55.4</v>
      </c>
      <c r="U285" s="1" t="n">
        <v>130.9</v>
      </c>
      <c r="V285" s="1" t="n">
        <v>1227</v>
      </c>
      <c r="W285" s="1" t="n">
        <v>67.7</v>
      </c>
      <c r="X285" s="1" t="n">
        <v>23.9</v>
      </c>
      <c r="Y285" s="1" t="n">
        <v>35</v>
      </c>
      <c r="Z285" s="1" t="n">
        <v>169</v>
      </c>
      <c r="AA285" s="1" t="n">
        <v>133</v>
      </c>
      <c r="AB285" s="7" t="s">
        <v>81</v>
      </c>
      <c r="AC285" s="7" t="s">
        <v>82</v>
      </c>
      <c r="AD285" s="7" t="s">
        <v>83</v>
      </c>
      <c r="AE285" s="7" t="s">
        <v>84</v>
      </c>
      <c r="AF285" s="4" t="n">
        <f aca="false">IF(T285="","",IF(T285&lt;=30,(50/30)*T285,IF(T285&lt;=60,50+((100-50)/(60-30))*(T285-30),IF(T285&lt;=90,100+((200-100)/(90-60))*(T285-60),IF(T285&lt;=120,200+((300-200)/(120-90))*(T285-90),IF(T285&lt;=250,300+((400-300)/(250-120))*(T285-120),IF(T285&lt;=380,400+((500-400)/(380-250))*(T285-250),500)))))))</f>
        <v>92.3333333333333</v>
      </c>
      <c r="AG285" s="4" t="n">
        <f aca="false">IF(U285="","",IF(U285&lt;=50,(50/50)*U285,IF(U285&lt;=100,50+((100-50)/(100-50))*(U285-50),IF(U285&lt;=250,100+((200-100)/(250-100))*(U285-100),IF(U285&lt;=350,200+((300-200)/(350-250))*(U285-250),IF(U285&lt;=430,300+((400-300)/(430-350))*(U285-350),IF(U285&lt;=600,400+((500-400)/(600-430))*(U285-430),500)))))))</f>
        <v>120.6</v>
      </c>
      <c r="AH285" s="4" t="n">
        <f aca="false">IF(V285="","",IF((V285/1000)&lt;=1,(50/1)*(V285/1000),IF((V285/1000)&lt;=2,50+((100-50)/(2-1))*(V285/1000-1),IF((V285/1000)&lt;=10,100+((200-100)/(10-2))*(V285/1000-2),IF((V285/1000)&lt;=17,200+((300-200)/(17-10))*(V285/1000-10),IF((V285/1000)&lt;=34,300+((400-300)/(34-17))*(V285/1000-17),IF((V285/1000)&lt;=57,400+((500-400)/(57-34))*(V285/1000-34),500)))))))</f>
        <v>61.35</v>
      </c>
      <c r="AI285" s="4" t="n">
        <f aca="false">IF(W285="","",IF(W285&lt;=40,(50/40)*W285,IF(W285&lt;=80,50+((100-50)/(80-40))*(W285-40),IF(W285&lt;=180,100+((200-100)/(180-80))*(W285-80),IF(W285&lt;=280,200+((300-200)/(280-180))*(W285-180),IF(W285&lt;=400,300+((400-300)/(400-280))*(W285-280),IF(W285&lt;=800,400+((500-400)/(800-400))*(W285-400),500)))))))</f>
        <v>84.625</v>
      </c>
      <c r="AJ285" s="4" t="n">
        <f aca="false">IF(X285="","",IF(X285&lt;=40,(50/40)*X285,IF(X285&lt;=80,50+((100-50)/(80-40))*(X285-40),IF(X285&lt;=380,100+((200-100)/(380-80))*(X285-80),IF(X285&lt;=800,200+((300-200)/(800-380))*(X285-380),IF(X285&lt;=1600,300+((400-300)/(1600-800))*(X285-800),IF(X285&lt;=2100,400+((500-400)/(2100-1600))*(X285-1600),500)))))))</f>
        <v>29.875</v>
      </c>
      <c r="AK285" s="4" t="n">
        <f aca="false">IF(Y285="","",IF(Y285&lt;=50,(50/50)*Y285,IF(Y285&lt;=100,50+((100-50)/(100-50))*(Y285-50),IF(Y285&lt;=168,100+((200-100)/(168-100))*(Y285-100),IF(Y285&lt;=208,200+((300-200)/(208-168))*(Y285-168),IF(Y285&lt;=748,300+((400-300)/(748-208))*(Y285-208),IF(Y285&lt;=1000,400+((500-400)/(1000-748))*(Y285-748),500)))))))</f>
        <v>35</v>
      </c>
      <c r="AL285" s="4" t="n">
        <f aca="false">ROUND(MAX(AF285,AG285,AH285,AI285,AJ285,AK285),0)</f>
        <v>121</v>
      </c>
      <c r="AM285" s="4" t="str">
        <f aca="false">IF(AL285="","",IF(AL285&lt;=50,"Good",IF(AL285&lt;=100,"Satisfactory",IF(AL285&lt;=200,"Moderate",IF(AL285&lt;=300,"Poor",IF(AL285&lt;=400,"Very Poor","Severe"))))))</f>
        <v>Moderate</v>
      </c>
    </row>
    <row r="286" customFormat="false" ht="15.75" hidden="false" customHeight="false" outlineLevel="0" collapsed="false">
      <c r="A286" s="1" t="s">
        <v>39</v>
      </c>
      <c r="B286" s="1" t="s">
        <v>40</v>
      </c>
      <c r="C286" s="1" t="n">
        <v>28.4595</v>
      </c>
      <c r="D286" s="1" t="n">
        <v>77.0266</v>
      </c>
      <c r="E286" s="5" t="n">
        <v>45912</v>
      </c>
      <c r="F286" s="6" t="s">
        <v>73</v>
      </c>
      <c r="G286" s="1" t="n">
        <v>9</v>
      </c>
      <c r="H286" s="7" t="s">
        <v>85</v>
      </c>
      <c r="I286" s="6" t="s">
        <v>43</v>
      </c>
      <c r="J286" s="7" t="s">
        <v>44</v>
      </c>
      <c r="K286" s="7" t="s">
        <v>71</v>
      </c>
      <c r="L286" s="1" t="n">
        <v>81</v>
      </c>
      <c r="M286" s="1" t="n">
        <v>24.5</v>
      </c>
      <c r="N286" s="1" t="n">
        <v>5.4</v>
      </c>
      <c r="O286" s="1" t="n">
        <v>0</v>
      </c>
      <c r="P286" s="6" t="s">
        <v>43</v>
      </c>
      <c r="Q286" s="6" t="s">
        <v>43</v>
      </c>
      <c r="R286" s="1" t="n">
        <v>1006.4</v>
      </c>
      <c r="S286" s="1" t="n">
        <v>6</v>
      </c>
      <c r="T286" s="1" t="n">
        <v>65.4</v>
      </c>
      <c r="U286" s="1" t="n">
        <v>136.9</v>
      </c>
      <c r="V286" s="1" t="n">
        <v>1567</v>
      </c>
      <c r="W286" s="1" t="n">
        <v>88.2</v>
      </c>
      <c r="X286" s="1" t="n">
        <v>29.7</v>
      </c>
      <c r="Y286" s="1" t="n">
        <v>9</v>
      </c>
      <c r="Z286" s="1" t="n">
        <v>135</v>
      </c>
      <c r="AA286" s="1" t="n">
        <v>133</v>
      </c>
      <c r="AB286" s="7" t="s">
        <v>81</v>
      </c>
      <c r="AC286" s="7" t="s">
        <v>82</v>
      </c>
      <c r="AD286" s="7" t="s">
        <v>83</v>
      </c>
      <c r="AE286" s="7" t="s">
        <v>84</v>
      </c>
      <c r="AF286" s="4" t="n">
        <f aca="false">IF(T286="","",IF(T286&lt;=30,(50/30)*T286,IF(T286&lt;=60,50+((100-50)/(60-30))*(T286-30),IF(T286&lt;=90,100+((200-100)/(90-60))*(T286-60),IF(T286&lt;=120,200+((300-200)/(120-90))*(T286-90),IF(T286&lt;=250,300+((400-300)/(250-120))*(T286-120),IF(T286&lt;=380,400+((500-400)/(380-250))*(T286-250),500)))))))</f>
        <v>118</v>
      </c>
      <c r="AG286" s="4" t="n">
        <f aca="false">IF(U286="","",IF(U286&lt;=50,(50/50)*U286,IF(U286&lt;=100,50+((100-50)/(100-50))*(U286-50),IF(U286&lt;=250,100+((200-100)/(250-100))*(U286-100),IF(U286&lt;=350,200+((300-200)/(350-250))*(U286-250),IF(U286&lt;=430,300+((400-300)/(430-350))*(U286-350),IF(U286&lt;=600,400+((500-400)/(600-430))*(U286-430),500)))))))</f>
        <v>124.6</v>
      </c>
      <c r="AH286" s="4" t="n">
        <f aca="false">IF(V286="","",IF((V286/1000)&lt;=1,(50/1)*(V286/1000),IF((V286/1000)&lt;=2,50+((100-50)/(2-1))*(V286/1000-1),IF((V286/1000)&lt;=10,100+((200-100)/(10-2))*(V286/1000-2),IF((V286/1000)&lt;=17,200+((300-200)/(17-10))*(V286/1000-10),IF((V286/1000)&lt;=34,300+((400-300)/(34-17))*(V286/1000-17),IF((V286/1000)&lt;=57,400+((500-400)/(57-34))*(V286/1000-34),500)))))))</f>
        <v>78.35</v>
      </c>
      <c r="AI286" s="4" t="n">
        <f aca="false">IF(W286="","",IF(W286&lt;=40,(50/40)*W286,IF(W286&lt;=80,50+((100-50)/(80-40))*(W286-40),IF(W286&lt;=180,100+((200-100)/(180-80))*(W286-80),IF(W286&lt;=280,200+((300-200)/(280-180))*(W286-180),IF(W286&lt;=400,300+((400-300)/(400-280))*(W286-280),IF(W286&lt;=800,400+((500-400)/(800-400))*(W286-400),500)))))))</f>
        <v>108.2</v>
      </c>
      <c r="AJ286" s="4" t="n">
        <f aca="false">IF(X286="","",IF(X286&lt;=40,(50/40)*X286,IF(X286&lt;=80,50+((100-50)/(80-40))*(X286-40),IF(X286&lt;=380,100+((200-100)/(380-80))*(X286-80),IF(X286&lt;=800,200+((300-200)/(800-380))*(X286-380),IF(X286&lt;=1600,300+((400-300)/(1600-800))*(X286-800),IF(X286&lt;=2100,400+((500-400)/(2100-1600))*(X286-1600),500)))))))</f>
        <v>37.125</v>
      </c>
      <c r="AK286" s="4" t="n">
        <f aca="false">IF(Y286="","",IF(Y286&lt;=50,(50/50)*Y286,IF(Y286&lt;=100,50+((100-50)/(100-50))*(Y286-50),IF(Y286&lt;=168,100+((200-100)/(168-100))*(Y286-100),IF(Y286&lt;=208,200+((300-200)/(208-168))*(Y286-168),IF(Y286&lt;=748,300+((400-300)/(748-208))*(Y286-208),IF(Y286&lt;=1000,400+((500-400)/(1000-748))*(Y286-748),500)))))))</f>
        <v>9</v>
      </c>
      <c r="AL286" s="4" t="n">
        <f aca="false">ROUND(MAX(AF286,AG286,AH286,AI286,AJ286,AK286),0)</f>
        <v>125</v>
      </c>
      <c r="AM286" s="4" t="str">
        <f aca="false">IF(AL286="","",IF(AL286&lt;=50,"Good",IF(AL286&lt;=100,"Satisfactory",IF(AL286&lt;=200,"Moderate",IF(AL286&lt;=300,"Poor",IF(AL286&lt;=400,"Very Poor","Severe"))))))</f>
        <v>Moderate</v>
      </c>
    </row>
    <row r="287" customFormat="false" ht="15.75" hidden="false" customHeight="false" outlineLevel="0" collapsed="false">
      <c r="A287" s="1" t="s">
        <v>39</v>
      </c>
      <c r="B287" s="1" t="s">
        <v>40</v>
      </c>
      <c r="C287" s="1" t="n">
        <v>28.4595</v>
      </c>
      <c r="D287" s="1" t="n">
        <v>77.0266</v>
      </c>
      <c r="E287" s="5" t="n">
        <v>45912</v>
      </c>
      <c r="F287" s="6" t="s">
        <v>74</v>
      </c>
      <c r="G287" s="1" t="n">
        <v>9</v>
      </c>
      <c r="H287" s="7" t="s">
        <v>85</v>
      </c>
      <c r="I287" s="6" t="s">
        <v>43</v>
      </c>
      <c r="J287" s="7" t="s">
        <v>44</v>
      </c>
      <c r="K287" s="7" t="s">
        <v>75</v>
      </c>
      <c r="L287" s="1" t="n">
        <v>83</v>
      </c>
      <c r="M287" s="1" t="n">
        <v>24.3</v>
      </c>
      <c r="N287" s="1" t="n">
        <v>3.6</v>
      </c>
      <c r="O287" s="1" t="n">
        <v>0</v>
      </c>
      <c r="P287" s="6" t="s">
        <v>43</v>
      </c>
      <c r="Q287" s="6" t="s">
        <v>43</v>
      </c>
      <c r="R287" s="1" t="n">
        <v>1007.2</v>
      </c>
      <c r="S287" s="1" t="n">
        <v>6</v>
      </c>
      <c r="T287" s="1" t="n">
        <v>77.8</v>
      </c>
      <c r="U287" s="1" t="n">
        <v>149.5</v>
      </c>
      <c r="V287" s="1" t="n">
        <v>1709</v>
      </c>
      <c r="W287" s="1" t="n">
        <v>97.3</v>
      </c>
      <c r="X287" s="1" t="n">
        <v>36.8</v>
      </c>
      <c r="Y287" s="1" t="n">
        <v>0</v>
      </c>
      <c r="Z287" s="1" t="n">
        <v>129</v>
      </c>
      <c r="AA287" s="1" t="n">
        <v>134</v>
      </c>
      <c r="AB287" s="7" t="s">
        <v>81</v>
      </c>
      <c r="AC287" s="7" t="s">
        <v>82</v>
      </c>
      <c r="AD287" s="7" t="s">
        <v>83</v>
      </c>
      <c r="AE287" s="7" t="s">
        <v>84</v>
      </c>
      <c r="AF287" s="4" t="n">
        <f aca="false">IF(T287="","",IF(T287&lt;=30,(50/30)*T287,IF(T287&lt;=60,50+((100-50)/(60-30))*(T287-30),IF(T287&lt;=90,100+((200-100)/(90-60))*(T287-60),IF(T287&lt;=120,200+((300-200)/(120-90))*(T287-90),IF(T287&lt;=250,300+((400-300)/(250-120))*(T287-120),IF(T287&lt;=380,400+((500-400)/(380-250))*(T287-250),500)))))))</f>
        <v>159.333333333333</v>
      </c>
      <c r="AG287" s="4" t="n">
        <f aca="false">IF(U287="","",IF(U287&lt;=50,(50/50)*U287,IF(U287&lt;=100,50+((100-50)/(100-50))*(U287-50),IF(U287&lt;=250,100+((200-100)/(250-100))*(U287-100),IF(U287&lt;=350,200+((300-200)/(350-250))*(U287-250),IF(U287&lt;=430,300+((400-300)/(430-350))*(U287-350),IF(U287&lt;=600,400+((500-400)/(600-430))*(U287-430),500)))))))</f>
        <v>133</v>
      </c>
      <c r="AH287" s="4" t="n">
        <f aca="false">IF(V287="","",IF((V287/1000)&lt;=1,(50/1)*(V287/1000),IF((V287/1000)&lt;=2,50+((100-50)/(2-1))*(V287/1000-1),IF((V287/1000)&lt;=10,100+((200-100)/(10-2))*(V287/1000-2),IF((V287/1000)&lt;=17,200+((300-200)/(17-10))*(V287/1000-10),IF((V287/1000)&lt;=34,300+((400-300)/(34-17))*(V287/1000-17),IF((V287/1000)&lt;=57,400+((500-400)/(57-34))*(V287/1000-34),500)))))))</f>
        <v>85.45</v>
      </c>
      <c r="AI287" s="4" t="n">
        <f aca="false">IF(W287="","",IF(W287&lt;=40,(50/40)*W287,IF(W287&lt;=80,50+((100-50)/(80-40))*(W287-40),IF(W287&lt;=180,100+((200-100)/(180-80))*(W287-80),IF(W287&lt;=280,200+((300-200)/(280-180))*(W287-180),IF(W287&lt;=400,300+((400-300)/(400-280))*(W287-280),IF(W287&lt;=800,400+((500-400)/(800-400))*(W287-400),500)))))))</f>
        <v>117.3</v>
      </c>
      <c r="AJ287" s="4" t="n">
        <f aca="false">IF(X287="","",IF(X287&lt;=40,(50/40)*X287,IF(X287&lt;=80,50+((100-50)/(80-40))*(X287-40),IF(X287&lt;=380,100+((200-100)/(380-80))*(X287-80),IF(X287&lt;=800,200+((300-200)/(800-380))*(X287-380),IF(X287&lt;=1600,300+((400-300)/(1600-800))*(X287-800),IF(X287&lt;=2100,400+((500-400)/(2100-1600))*(X287-1600),500)))))))</f>
        <v>46</v>
      </c>
      <c r="AK287" s="4" t="n">
        <f aca="false">IF(Y287="","",IF(Y287&lt;=50,(50/50)*Y287,IF(Y287&lt;=100,50+((100-50)/(100-50))*(Y287-50),IF(Y287&lt;=168,100+((200-100)/(168-100))*(Y287-100),IF(Y287&lt;=208,200+((300-200)/(208-168))*(Y287-168),IF(Y287&lt;=748,300+((400-300)/(748-208))*(Y287-208),IF(Y287&lt;=1000,400+((500-400)/(1000-748))*(Y287-748),500)))))))</f>
        <v>0</v>
      </c>
      <c r="AL287" s="4" t="n">
        <f aca="false">ROUND(MAX(AF287,AG287,AH287,AI287,AJ287,AK287),0)</f>
        <v>159</v>
      </c>
      <c r="AM287" s="4" t="str">
        <f aca="false">IF(AL287="","",IF(AL287&lt;=50,"Good",IF(AL287&lt;=100,"Satisfactory",IF(AL287&lt;=200,"Moderate",IF(AL287&lt;=300,"Poor",IF(AL287&lt;=400,"Very Poor","Severe"))))))</f>
        <v>Moderate</v>
      </c>
    </row>
    <row r="288" customFormat="false" ht="15.75" hidden="false" customHeight="false" outlineLevel="0" collapsed="false">
      <c r="A288" s="1" t="s">
        <v>39</v>
      </c>
      <c r="B288" s="1" t="s">
        <v>40</v>
      </c>
      <c r="C288" s="1" t="n">
        <v>28.4595</v>
      </c>
      <c r="D288" s="1" t="n">
        <v>77.0266</v>
      </c>
      <c r="E288" s="5" t="n">
        <v>45912</v>
      </c>
      <c r="F288" s="6" t="s">
        <v>76</v>
      </c>
      <c r="G288" s="1" t="n">
        <v>9</v>
      </c>
      <c r="H288" s="7" t="s">
        <v>85</v>
      </c>
      <c r="I288" s="6" t="s">
        <v>43</v>
      </c>
      <c r="J288" s="7" t="s">
        <v>44</v>
      </c>
      <c r="K288" s="7" t="s">
        <v>75</v>
      </c>
      <c r="L288" s="1" t="n">
        <v>84</v>
      </c>
      <c r="M288" s="1" t="n">
        <v>24</v>
      </c>
      <c r="N288" s="1" t="n">
        <v>5.8</v>
      </c>
      <c r="O288" s="1" t="n">
        <v>0</v>
      </c>
      <c r="P288" s="6" t="s">
        <v>43</v>
      </c>
      <c r="Q288" s="6" t="s">
        <v>43</v>
      </c>
      <c r="R288" s="1" t="n">
        <v>1007.6</v>
      </c>
      <c r="S288" s="1" t="n">
        <v>9</v>
      </c>
      <c r="T288" s="1" t="n">
        <v>90.6</v>
      </c>
      <c r="U288" s="1" t="n">
        <v>164.8</v>
      </c>
      <c r="V288" s="1" t="n">
        <v>1730</v>
      </c>
      <c r="W288" s="1" t="n">
        <v>100.3</v>
      </c>
      <c r="X288" s="1" t="n">
        <v>44.3</v>
      </c>
      <c r="Y288" s="1" t="n">
        <v>0</v>
      </c>
      <c r="Z288" s="1" t="n">
        <v>137</v>
      </c>
      <c r="AA288" s="1" t="n">
        <v>136</v>
      </c>
      <c r="AB288" s="7" t="s">
        <v>81</v>
      </c>
      <c r="AC288" s="7" t="s">
        <v>82</v>
      </c>
      <c r="AD288" s="7" t="s">
        <v>83</v>
      </c>
      <c r="AE288" s="7" t="s">
        <v>84</v>
      </c>
      <c r="AF288" s="4" t="n">
        <f aca="false">IF(T288="","",IF(T288&lt;=30,(50/30)*T288,IF(T288&lt;=60,50+((100-50)/(60-30))*(T288-30),IF(T288&lt;=90,100+((200-100)/(90-60))*(T288-60),IF(T288&lt;=120,200+((300-200)/(120-90))*(T288-90),IF(T288&lt;=250,300+((400-300)/(250-120))*(T288-120),IF(T288&lt;=380,400+((500-400)/(380-250))*(T288-250),500)))))))</f>
        <v>202</v>
      </c>
      <c r="AG288" s="4" t="n">
        <f aca="false">IF(U288="","",IF(U288&lt;=50,(50/50)*U288,IF(U288&lt;=100,50+((100-50)/(100-50))*(U288-50),IF(U288&lt;=250,100+((200-100)/(250-100))*(U288-100),IF(U288&lt;=350,200+((300-200)/(350-250))*(U288-250),IF(U288&lt;=430,300+((400-300)/(430-350))*(U288-350),IF(U288&lt;=600,400+((500-400)/(600-430))*(U288-430),500)))))))</f>
        <v>143.2</v>
      </c>
      <c r="AH288" s="4" t="n">
        <f aca="false">IF(V288="","",IF((V288/1000)&lt;=1,(50/1)*(V288/1000),IF((V288/1000)&lt;=2,50+((100-50)/(2-1))*(V288/1000-1),IF((V288/1000)&lt;=10,100+((200-100)/(10-2))*(V288/1000-2),IF((V288/1000)&lt;=17,200+((300-200)/(17-10))*(V288/1000-10),IF((V288/1000)&lt;=34,300+((400-300)/(34-17))*(V288/1000-17),IF((V288/1000)&lt;=57,400+((500-400)/(57-34))*(V288/1000-34),500)))))))</f>
        <v>86.5</v>
      </c>
      <c r="AI288" s="4" t="n">
        <f aca="false">IF(W288="","",IF(W288&lt;=40,(50/40)*W288,IF(W288&lt;=80,50+((100-50)/(80-40))*(W288-40),IF(W288&lt;=180,100+((200-100)/(180-80))*(W288-80),IF(W288&lt;=280,200+((300-200)/(280-180))*(W288-180),IF(W288&lt;=400,300+((400-300)/(400-280))*(W288-280),IF(W288&lt;=800,400+((500-400)/(800-400))*(W288-400),500)))))))</f>
        <v>120.3</v>
      </c>
      <c r="AJ288" s="4" t="n">
        <f aca="false">IF(X288="","",IF(X288&lt;=40,(50/40)*X288,IF(X288&lt;=80,50+((100-50)/(80-40))*(X288-40),IF(X288&lt;=380,100+((200-100)/(380-80))*(X288-80),IF(X288&lt;=800,200+((300-200)/(800-380))*(X288-380),IF(X288&lt;=1600,300+((400-300)/(1600-800))*(X288-800),IF(X288&lt;=2100,400+((500-400)/(2100-1600))*(X288-1600),500)))))))</f>
        <v>55.375</v>
      </c>
      <c r="AK288" s="4" t="n">
        <f aca="false">IF(Y288="","",IF(Y288&lt;=50,(50/50)*Y288,IF(Y288&lt;=100,50+((100-50)/(100-50))*(Y288-50),IF(Y288&lt;=168,100+((200-100)/(168-100))*(Y288-100),IF(Y288&lt;=208,200+((300-200)/(208-168))*(Y288-168),IF(Y288&lt;=748,300+((400-300)/(748-208))*(Y288-208),IF(Y288&lt;=1000,400+((500-400)/(1000-748))*(Y288-748),500)))))))</f>
        <v>0</v>
      </c>
      <c r="AL288" s="4" t="n">
        <f aca="false">ROUND(MAX(AF288,AG288,AH288,AI288,AJ288,AK288),0)</f>
        <v>202</v>
      </c>
      <c r="AM288" s="4" t="str">
        <f aca="false">IF(AL288="","",IF(AL288&lt;=50,"Good",IF(AL288&lt;=100,"Satisfactory",IF(AL288&lt;=200,"Moderate",IF(AL288&lt;=300,"Poor",IF(AL288&lt;=400,"Very Poor","Severe"))))))</f>
        <v>Poor</v>
      </c>
    </row>
    <row r="289" customFormat="false" ht="15.75" hidden="false" customHeight="false" outlineLevel="0" collapsed="false">
      <c r="A289" s="1" t="s">
        <v>39</v>
      </c>
      <c r="B289" s="1" t="s">
        <v>40</v>
      </c>
      <c r="C289" s="1" t="n">
        <v>28.4595</v>
      </c>
      <c r="D289" s="1" t="n">
        <v>77.0266</v>
      </c>
      <c r="E289" s="5" t="n">
        <v>45912</v>
      </c>
      <c r="F289" s="6" t="s">
        <v>77</v>
      </c>
      <c r="G289" s="1" t="n">
        <v>9</v>
      </c>
      <c r="H289" s="7" t="s">
        <v>85</v>
      </c>
      <c r="I289" s="6" t="s">
        <v>43</v>
      </c>
      <c r="J289" s="7" t="s">
        <v>44</v>
      </c>
      <c r="K289" s="7" t="s">
        <v>75</v>
      </c>
      <c r="L289" s="1" t="n">
        <v>87</v>
      </c>
      <c r="M289" s="1" t="n">
        <v>23.9</v>
      </c>
      <c r="N289" s="1" t="n">
        <v>6.8</v>
      </c>
      <c r="O289" s="1" t="n">
        <v>0</v>
      </c>
      <c r="P289" s="6" t="s">
        <v>43</v>
      </c>
      <c r="Q289" s="6" t="s">
        <v>43</v>
      </c>
      <c r="R289" s="1" t="n">
        <v>1007.5</v>
      </c>
      <c r="S289" s="1" t="n">
        <v>62</v>
      </c>
      <c r="T289" s="1" t="n">
        <v>98.5</v>
      </c>
      <c r="U289" s="1" t="n">
        <v>174.2</v>
      </c>
      <c r="V289" s="1" t="n">
        <v>1628</v>
      </c>
      <c r="W289" s="1" t="n">
        <v>99.4</v>
      </c>
      <c r="X289" s="1" t="n">
        <v>48.1</v>
      </c>
      <c r="Y289" s="1" t="n">
        <v>0</v>
      </c>
      <c r="Z289" s="1" t="n">
        <v>141</v>
      </c>
      <c r="AA289" s="1" t="n">
        <v>140</v>
      </c>
      <c r="AB289" s="7" t="s">
        <v>81</v>
      </c>
      <c r="AC289" s="7" t="s">
        <v>82</v>
      </c>
      <c r="AD289" s="7" t="s">
        <v>83</v>
      </c>
      <c r="AE289" s="7" t="s">
        <v>84</v>
      </c>
      <c r="AF289" s="4" t="n">
        <f aca="false">IF(T289="","",IF(T289&lt;=30,(50/30)*T289,IF(T289&lt;=60,50+((100-50)/(60-30))*(T289-30),IF(T289&lt;=90,100+((200-100)/(90-60))*(T289-60),IF(T289&lt;=120,200+((300-200)/(120-90))*(T289-90),IF(T289&lt;=250,300+((400-300)/(250-120))*(T289-120),IF(T289&lt;=380,400+((500-400)/(380-250))*(T289-250),500)))))))</f>
        <v>228.333333333333</v>
      </c>
      <c r="AG289" s="4" t="n">
        <f aca="false">IF(U289="","",IF(U289&lt;=50,(50/50)*U289,IF(U289&lt;=100,50+((100-50)/(100-50))*(U289-50),IF(U289&lt;=250,100+((200-100)/(250-100))*(U289-100),IF(U289&lt;=350,200+((300-200)/(350-250))*(U289-250),IF(U289&lt;=430,300+((400-300)/(430-350))*(U289-350),IF(U289&lt;=600,400+((500-400)/(600-430))*(U289-430),500)))))))</f>
        <v>149.466666666667</v>
      </c>
      <c r="AH289" s="4" t="n">
        <f aca="false">IF(V289="","",IF((V289/1000)&lt;=1,(50/1)*(V289/1000),IF((V289/1000)&lt;=2,50+((100-50)/(2-1))*(V289/1000-1),IF((V289/1000)&lt;=10,100+((200-100)/(10-2))*(V289/1000-2),IF((V289/1000)&lt;=17,200+((300-200)/(17-10))*(V289/1000-10),IF((V289/1000)&lt;=34,300+((400-300)/(34-17))*(V289/1000-17),IF((V289/1000)&lt;=57,400+((500-400)/(57-34))*(V289/1000-34),500)))))))</f>
        <v>81.4</v>
      </c>
      <c r="AI289" s="4" t="n">
        <f aca="false">IF(W289="","",IF(W289&lt;=40,(50/40)*W289,IF(W289&lt;=80,50+((100-50)/(80-40))*(W289-40),IF(W289&lt;=180,100+((200-100)/(180-80))*(W289-80),IF(W289&lt;=280,200+((300-200)/(280-180))*(W289-180),IF(W289&lt;=400,300+((400-300)/(400-280))*(W289-280),IF(W289&lt;=800,400+((500-400)/(800-400))*(W289-400),500)))))))</f>
        <v>119.4</v>
      </c>
      <c r="AJ289" s="4" t="n">
        <f aca="false">IF(X289="","",IF(X289&lt;=40,(50/40)*X289,IF(X289&lt;=80,50+((100-50)/(80-40))*(X289-40),IF(X289&lt;=380,100+((200-100)/(380-80))*(X289-80),IF(X289&lt;=800,200+((300-200)/(800-380))*(X289-380),IF(X289&lt;=1600,300+((400-300)/(1600-800))*(X289-800),IF(X289&lt;=2100,400+((500-400)/(2100-1600))*(X289-1600),500)))))))</f>
        <v>60.125</v>
      </c>
      <c r="AK289" s="4" t="n">
        <f aca="false">IF(Y289="","",IF(Y289&lt;=50,(50/50)*Y289,IF(Y289&lt;=100,50+((100-50)/(100-50))*(Y289-50),IF(Y289&lt;=168,100+((200-100)/(168-100))*(Y289-100),IF(Y289&lt;=208,200+((300-200)/(208-168))*(Y289-168),IF(Y289&lt;=748,300+((400-300)/(748-208))*(Y289-208),IF(Y289&lt;=1000,400+((500-400)/(1000-748))*(Y289-748),500)))))))</f>
        <v>0</v>
      </c>
      <c r="AL289" s="4" t="n">
        <f aca="false">ROUND(MAX(AF289,AG289,AH289,AI289,AJ289,AK289),0)</f>
        <v>228</v>
      </c>
      <c r="AM289" s="4" t="str">
        <f aca="false">IF(AL289="","",IF(AL289&lt;=50,"Good",IF(AL289&lt;=100,"Satisfactory",IF(AL289&lt;=200,"Moderate",IF(AL289&lt;=300,"Poor",IF(AL289&lt;=400,"Very Poor","Severe"))))))</f>
        <v>Poor</v>
      </c>
    </row>
    <row r="290" customFormat="false" ht="15.75" hidden="false" customHeight="false" outlineLevel="0" collapsed="false">
      <c r="A290" s="1" t="s">
        <v>39</v>
      </c>
      <c r="B290" s="1" t="s">
        <v>40</v>
      </c>
      <c r="C290" s="1" t="n">
        <v>28.4595</v>
      </c>
      <c r="D290" s="1" t="n">
        <v>77.0266</v>
      </c>
      <c r="E290" s="5" t="n">
        <v>45913</v>
      </c>
      <c r="F290" s="6" t="s">
        <v>41</v>
      </c>
      <c r="G290" s="1" t="n">
        <v>9</v>
      </c>
      <c r="H290" s="7" t="s">
        <v>86</v>
      </c>
      <c r="I290" s="6" t="s">
        <v>46</v>
      </c>
      <c r="J290" s="7" t="s">
        <v>44</v>
      </c>
      <c r="K290" s="7" t="s">
        <v>45</v>
      </c>
      <c r="L290" s="1" t="n">
        <v>86</v>
      </c>
      <c r="M290" s="1" t="n">
        <v>23.5</v>
      </c>
      <c r="N290" s="1" t="n">
        <v>7.9</v>
      </c>
      <c r="O290" s="1" t="n">
        <v>0</v>
      </c>
      <c r="P290" s="6" t="s">
        <v>43</v>
      </c>
      <c r="Q290" s="6" t="s">
        <v>43</v>
      </c>
      <c r="R290" s="1" t="n">
        <v>1007.6</v>
      </c>
      <c r="S290" s="1" t="n">
        <v>13</v>
      </c>
      <c r="T290" s="1" t="n">
        <v>100.8</v>
      </c>
      <c r="U290" s="1" t="n">
        <v>171.8</v>
      </c>
      <c r="V290" s="1" t="n">
        <v>1332</v>
      </c>
      <c r="W290" s="1" t="n">
        <v>93.8</v>
      </c>
      <c r="X290" s="1" t="n">
        <v>45.4</v>
      </c>
      <c r="Y290" s="1" t="n">
        <v>0</v>
      </c>
      <c r="Z290" s="1" t="n">
        <v>133</v>
      </c>
      <c r="AA290" s="1" t="n">
        <v>144</v>
      </c>
      <c r="AB290" s="7" t="s">
        <v>81</v>
      </c>
      <c r="AC290" s="7" t="s">
        <v>82</v>
      </c>
      <c r="AD290" s="7" t="s">
        <v>83</v>
      </c>
      <c r="AE290" s="7" t="s">
        <v>84</v>
      </c>
      <c r="AF290" s="4" t="n">
        <f aca="false">IF(T290="","",IF(T290&lt;=30,(50/30)*T290,IF(T290&lt;=60,50+((100-50)/(60-30))*(T290-30),IF(T290&lt;=90,100+((200-100)/(90-60))*(T290-60),IF(T290&lt;=120,200+((300-200)/(120-90))*(T290-90),IF(T290&lt;=250,300+((400-300)/(250-120))*(T290-120),IF(T290&lt;=380,400+((500-400)/(380-250))*(T290-250),500)))))))</f>
        <v>236</v>
      </c>
      <c r="AG290" s="4" t="n">
        <f aca="false">IF(U290="","",IF(U290&lt;=50,(50/50)*U290,IF(U290&lt;=100,50+((100-50)/(100-50))*(U290-50),IF(U290&lt;=250,100+((200-100)/(250-100))*(U290-100),IF(U290&lt;=350,200+((300-200)/(350-250))*(U290-250),IF(U290&lt;=430,300+((400-300)/(430-350))*(U290-350),IF(U290&lt;=600,400+((500-400)/(600-430))*(U290-430),500)))))))</f>
        <v>147.866666666667</v>
      </c>
      <c r="AH290" s="4" t="n">
        <f aca="false">IF(V290="","",IF((V290/1000)&lt;=1,(50/1)*(V290/1000),IF((V290/1000)&lt;=2,50+((100-50)/(2-1))*(V290/1000-1),IF((V290/1000)&lt;=10,100+((200-100)/(10-2))*(V290/1000-2),IF((V290/1000)&lt;=17,200+((300-200)/(17-10))*(V290/1000-10),IF((V290/1000)&lt;=34,300+((400-300)/(34-17))*(V290/1000-17),IF((V290/1000)&lt;=57,400+((500-400)/(57-34))*(V290/1000-34),500)))))))</f>
        <v>66.6</v>
      </c>
      <c r="AI290" s="4" t="n">
        <f aca="false">IF(W290="","",IF(W290&lt;=40,(50/40)*W290,IF(W290&lt;=80,50+((100-50)/(80-40))*(W290-40),IF(W290&lt;=180,100+((200-100)/(180-80))*(W290-80),IF(W290&lt;=280,200+((300-200)/(280-180))*(W290-180),IF(W290&lt;=400,300+((400-300)/(400-280))*(W290-280),IF(W290&lt;=800,400+((500-400)/(800-400))*(W290-400),500)))))))</f>
        <v>113.8</v>
      </c>
      <c r="AJ290" s="4" t="n">
        <f aca="false">IF(X290="","",IF(X290&lt;=40,(50/40)*X290,IF(X290&lt;=80,50+((100-50)/(80-40))*(X290-40),IF(X290&lt;=380,100+((200-100)/(380-80))*(X290-80),IF(X290&lt;=800,200+((300-200)/(800-380))*(X290-380),IF(X290&lt;=1600,300+((400-300)/(1600-800))*(X290-800),IF(X290&lt;=2100,400+((500-400)/(2100-1600))*(X290-1600),500)))))))</f>
        <v>56.75</v>
      </c>
      <c r="AK290" s="4" t="n">
        <f aca="false">IF(Y290="","",IF(Y290&lt;=50,(50/50)*Y290,IF(Y290&lt;=100,50+((100-50)/(100-50))*(Y290-50),IF(Y290&lt;=168,100+((200-100)/(168-100))*(Y290-100),IF(Y290&lt;=208,200+((300-200)/(208-168))*(Y290-168),IF(Y290&lt;=748,300+((400-300)/(748-208))*(Y290-208),IF(Y290&lt;=1000,400+((500-400)/(1000-748))*(Y290-748),500)))))))</f>
        <v>0</v>
      </c>
      <c r="AL290" s="4" t="n">
        <f aca="false">ROUND(MAX(AF290,AG290,AH290,AI290,AJ290,AK290),0)</f>
        <v>236</v>
      </c>
      <c r="AM290" s="4" t="str">
        <f aca="false">IF(AL290="","",IF(AL290&lt;=50,"Good",IF(AL290&lt;=100,"Satisfactory",IF(AL290&lt;=200,"Moderate",IF(AL290&lt;=300,"Poor",IF(AL290&lt;=400,"Very Poor","Severe"))))))</f>
        <v>Poor</v>
      </c>
    </row>
    <row r="291" customFormat="false" ht="15.75" hidden="false" customHeight="false" outlineLevel="0" collapsed="false">
      <c r="A291" s="1" t="s">
        <v>39</v>
      </c>
      <c r="B291" s="1" t="s">
        <v>40</v>
      </c>
      <c r="C291" s="1" t="n">
        <v>28.4595</v>
      </c>
      <c r="D291" s="1" t="n">
        <v>77.0266</v>
      </c>
      <c r="E291" s="5" t="n">
        <v>45913</v>
      </c>
      <c r="F291" s="6" t="s">
        <v>49</v>
      </c>
      <c r="G291" s="1" t="n">
        <v>9</v>
      </c>
      <c r="H291" s="7" t="s">
        <v>86</v>
      </c>
      <c r="I291" s="6" t="s">
        <v>46</v>
      </c>
      <c r="J291" s="7" t="s">
        <v>44</v>
      </c>
      <c r="K291" s="7" t="s">
        <v>45</v>
      </c>
      <c r="L291" s="1" t="n">
        <v>86</v>
      </c>
      <c r="M291" s="1" t="n">
        <v>23.1</v>
      </c>
      <c r="N291" s="1" t="n">
        <v>9</v>
      </c>
      <c r="O291" s="1" t="n">
        <v>0</v>
      </c>
      <c r="P291" s="6" t="s">
        <v>43</v>
      </c>
      <c r="Q291" s="6" t="s">
        <v>43</v>
      </c>
      <c r="R291" s="1" t="n">
        <v>1007.3</v>
      </c>
      <c r="S291" s="1" t="n">
        <v>45</v>
      </c>
      <c r="T291" s="1" t="n">
        <v>96.4</v>
      </c>
      <c r="U291" s="1" t="n">
        <v>158.8</v>
      </c>
      <c r="V291" s="1" t="n">
        <v>915</v>
      </c>
      <c r="W291" s="1" t="n">
        <v>84.5</v>
      </c>
      <c r="X291" s="1" t="n">
        <v>39.1</v>
      </c>
      <c r="Y291" s="1" t="n">
        <v>0</v>
      </c>
      <c r="Z291" s="1" t="n">
        <v>122</v>
      </c>
      <c r="AA291" s="1" t="n">
        <v>149</v>
      </c>
      <c r="AB291" s="7" t="s">
        <v>81</v>
      </c>
      <c r="AC291" s="7" t="s">
        <v>82</v>
      </c>
      <c r="AD291" s="7" t="s">
        <v>83</v>
      </c>
      <c r="AE291" s="7" t="s">
        <v>84</v>
      </c>
      <c r="AF291" s="4" t="n">
        <f aca="false">IF(T291="","",IF(T291&lt;=30,(50/30)*T291,IF(T291&lt;=60,50+((100-50)/(60-30))*(T291-30),IF(T291&lt;=90,100+((200-100)/(90-60))*(T291-60),IF(T291&lt;=120,200+((300-200)/(120-90))*(T291-90),IF(T291&lt;=250,300+((400-300)/(250-120))*(T291-120),IF(T291&lt;=380,400+((500-400)/(380-250))*(T291-250),500)))))))</f>
        <v>221.333333333333</v>
      </c>
      <c r="AG291" s="4" t="n">
        <f aca="false">IF(U291="","",IF(U291&lt;=50,(50/50)*U291,IF(U291&lt;=100,50+((100-50)/(100-50))*(U291-50),IF(U291&lt;=250,100+((200-100)/(250-100))*(U291-100),IF(U291&lt;=350,200+((300-200)/(350-250))*(U291-250),IF(U291&lt;=430,300+((400-300)/(430-350))*(U291-350),IF(U291&lt;=600,400+((500-400)/(600-430))*(U291-430),500)))))))</f>
        <v>139.2</v>
      </c>
      <c r="AH291" s="4" t="n">
        <f aca="false">IF(V291="","",IF((V291/1000)&lt;=1,(50/1)*(V291/1000),IF((V291/1000)&lt;=2,50+((100-50)/(2-1))*(V291/1000-1),IF((V291/1000)&lt;=10,100+((200-100)/(10-2))*(V291/1000-2),IF((V291/1000)&lt;=17,200+((300-200)/(17-10))*(V291/1000-10),IF((V291/1000)&lt;=34,300+((400-300)/(34-17))*(V291/1000-17),IF((V291/1000)&lt;=57,400+((500-400)/(57-34))*(V291/1000-34),500)))))))</f>
        <v>45.75</v>
      </c>
      <c r="AI291" s="4" t="n">
        <f aca="false">IF(W291="","",IF(W291&lt;=40,(50/40)*W291,IF(W291&lt;=80,50+((100-50)/(80-40))*(W291-40),IF(W291&lt;=180,100+((200-100)/(180-80))*(W291-80),IF(W291&lt;=280,200+((300-200)/(280-180))*(W291-180),IF(W291&lt;=400,300+((400-300)/(400-280))*(W291-280),IF(W291&lt;=800,400+((500-400)/(800-400))*(W291-400),500)))))))</f>
        <v>104.5</v>
      </c>
      <c r="AJ291" s="4" t="n">
        <f aca="false">IF(X291="","",IF(X291&lt;=40,(50/40)*X291,IF(X291&lt;=80,50+((100-50)/(80-40))*(X291-40),IF(X291&lt;=380,100+((200-100)/(380-80))*(X291-80),IF(X291&lt;=800,200+((300-200)/(800-380))*(X291-380),IF(X291&lt;=1600,300+((400-300)/(1600-800))*(X291-800),IF(X291&lt;=2100,400+((500-400)/(2100-1600))*(X291-1600),500)))))))</f>
        <v>48.875</v>
      </c>
      <c r="AK291" s="4" t="n">
        <f aca="false">IF(Y291="","",IF(Y291&lt;=50,(50/50)*Y291,IF(Y291&lt;=100,50+((100-50)/(100-50))*(Y291-50),IF(Y291&lt;=168,100+((200-100)/(168-100))*(Y291-100),IF(Y291&lt;=208,200+((300-200)/(208-168))*(Y291-168),IF(Y291&lt;=748,300+((400-300)/(748-208))*(Y291-208),IF(Y291&lt;=1000,400+((500-400)/(1000-748))*(Y291-748),500)))))))</f>
        <v>0</v>
      </c>
      <c r="AL291" s="4" t="n">
        <f aca="false">ROUND(MAX(AF291,AG291,AH291,AI291,AJ291,AK291),0)</f>
        <v>221</v>
      </c>
      <c r="AM291" s="4" t="str">
        <f aca="false">IF(AL291="","",IF(AL291&lt;=50,"Good",IF(AL291&lt;=100,"Satisfactory",IF(AL291&lt;=200,"Moderate",IF(AL291&lt;=300,"Poor",IF(AL291&lt;=400,"Very Poor","Severe"))))))</f>
        <v>Poor</v>
      </c>
    </row>
    <row r="292" customFormat="false" ht="15.75" hidden="false" customHeight="false" outlineLevel="0" collapsed="false">
      <c r="A292" s="1" t="s">
        <v>39</v>
      </c>
      <c r="B292" s="1" t="s">
        <v>40</v>
      </c>
      <c r="C292" s="1" t="n">
        <v>28.4595</v>
      </c>
      <c r="D292" s="1" t="n">
        <v>77.0266</v>
      </c>
      <c r="E292" s="5" t="n">
        <v>45913</v>
      </c>
      <c r="F292" s="6" t="s">
        <v>51</v>
      </c>
      <c r="G292" s="1" t="n">
        <v>9</v>
      </c>
      <c r="H292" s="7" t="s">
        <v>86</v>
      </c>
      <c r="I292" s="6" t="s">
        <v>46</v>
      </c>
      <c r="J292" s="7" t="s">
        <v>44</v>
      </c>
      <c r="K292" s="7" t="s">
        <v>45</v>
      </c>
      <c r="L292" s="1" t="n">
        <v>85</v>
      </c>
      <c r="M292" s="1" t="n">
        <v>22.6</v>
      </c>
      <c r="N292" s="1" t="n">
        <v>9</v>
      </c>
      <c r="O292" s="1" t="n">
        <v>0</v>
      </c>
      <c r="P292" s="6" t="s">
        <v>43</v>
      </c>
      <c r="Q292" s="6" t="s">
        <v>43</v>
      </c>
      <c r="R292" s="1" t="n">
        <v>1007</v>
      </c>
      <c r="S292" s="1" t="n">
        <v>100</v>
      </c>
      <c r="T292" s="1" t="n">
        <v>91.7</v>
      </c>
      <c r="U292" s="1" t="n">
        <v>150.4</v>
      </c>
      <c r="V292" s="1" t="n">
        <v>592</v>
      </c>
      <c r="W292" s="1" t="n">
        <v>76.1</v>
      </c>
      <c r="X292" s="1" t="n">
        <v>33.6</v>
      </c>
      <c r="Y292" s="1" t="n">
        <v>0</v>
      </c>
      <c r="Z292" s="1" t="n">
        <v>109</v>
      </c>
      <c r="AA292" s="1" t="n">
        <v>151</v>
      </c>
      <c r="AB292" s="7" t="s">
        <v>81</v>
      </c>
      <c r="AC292" s="7" t="s">
        <v>90</v>
      </c>
      <c r="AD292" s="6" t="s">
        <v>43</v>
      </c>
      <c r="AE292" s="6" t="s">
        <v>43</v>
      </c>
      <c r="AF292" s="4" t="n">
        <f aca="false">IF(T292="","",IF(T292&lt;=30,(50/30)*T292,IF(T292&lt;=60,50+((100-50)/(60-30))*(T292-30),IF(T292&lt;=90,100+((200-100)/(90-60))*(T292-60),IF(T292&lt;=120,200+((300-200)/(120-90))*(T292-90),IF(T292&lt;=250,300+((400-300)/(250-120))*(T292-120),IF(T292&lt;=380,400+((500-400)/(380-250))*(T292-250),500)))))))</f>
        <v>205.666666666667</v>
      </c>
      <c r="AG292" s="4" t="n">
        <f aca="false">IF(U292="","",IF(U292&lt;=50,(50/50)*U292,IF(U292&lt;=100,50+((100-50)/(100-50))*(U292-50),IF(U292&lt;=250,100+((200-100)/(250-100))*(U292-100),IF(U292&lt;=350,200+((300-200)/(350-250))*(U292-250),IF(U292&lt;=430,300+((400-300)/(430-350))*(U292-350),IF(U292&lt;=600,400+((500-400)/(600-430))*(U292-430),500)))))))</f>
        <v>133.6</v>
      </c>
      <c r="AH292" s="4" t="n">
        <f aca="false">IF(V292="","",IF((V292/1000)&lt;=1,(50/1)*(V292/1000),IF((V292/1000)&lt;=2,50+((100-50)/(2-1))*(V292/1000-1),IF((V292/1000)&lt;=10,100+((200-100)/(10-2))*(V292/1000-2),IF((V292/1000)&lt;=17,200+((300-200)/(17-10))*(V292/1000-10),IF((V292/1000)&lt;=34,300+((400-300)/(34-17))*(V292/1000-17),IF((V292/1000)&lt;=57,400+((500-400)/(57-34))*(V292/1000-34),500)))))))</f>
        <v>29.6</v>
      </c>
      <c r="AI292" s="4" t="n">
        <f aca="false">IF(W292="","",IF(W292&lt;=40,(50/40)*W292,IF(W292&lt;=80,50+((100-50)/(80-40))*(W292-40),IF(W292&lt;=180,100+((200-100)/(180-80))*(W292-80),IF(W292&lt;=280,200+((300-200)/(280-180))*(W292-180),IF(W292&lt;=400,300+((400-300)/(400-280))*(W292-280),IF(W292&lt;=800,400+((500-400)/(800-400))*(W292-400),500)))))))</f>
        <v>95.125</v>
      </c>
      <c r="AJ292" s="4" t="n">
        <f aca="false">IF(X292="","",IF(X292&lt;=40,(50/40)*X292,IF(X292&lt;=80,50+((100-50)/(80-40))*(X292-40),IF(X292&lt;=380,100+((200-100)/(380-80))*(X292-80),IF(X292&lt;=800,200+((300-200)/(800-380))*(X292-380),IF(X292&lt;=1600,300+((400-300)/(1600-800))*(X292-800),IF(X292&lt;=2100,400+((500-400)/(2100-1600))*(X292-1600),500)))))))</f>
        <v>42</v>
      </c>
      <c r="AK292" s="4" t="n">
        <f aca="false">IF(Y292="","",IF(Y292&lt;=50,(50/50)*Y292,IF(Y292&lt;=100,50+((100-50)/(100-50))*(Y292-50),IF(Y292&lt;=168,100+((200-100)/(168-100))*(Y292-100),IF(Y292&lt;=208,200+((300-200)/(208-168))*(Y292-168),IF(Y292&lt;=748,300+((400-300)/(748-208))*(Y292-208),IF(Y292&lt;=1000,400+((500-400)/(1000-748))*(Y292-748),500)))))))</f>
        <v>0</v>
      </c>
      <c r="AL292" s="4" t="n">
        <f aca="false">ROUND(MAX(AF292,AG292,AH292,AI292,AJ292,AK292),0)</f>
        <v>206</v>
      </c>
      <c r="AM292" s="4" t="str">
        <f aca="false">IF(AL292="","",IF(AL292&lt;=50,"Good",IF(AL292&lt;=100,"Satisfactory",IF(AL292&lt;=200,"Moderate",IF(AL292&lt;=300,"Poor",IF(AL292&lt;=400,"Very Poor","Severe"))))))</f>
        <v>Poor</v>
      </c>
    </row>
    <row r="293" customFormat="false" ht="15.75" hidden="false" customHeight="false" outlineLevel="0" collapsed="false">
      <c r="A293" s="1" t="s">
        <v>39</v>
      </c>
      <c r="B293" s="1" t="s">
        <v>40</v>
      </c>
      <c r="C293" s="1" t="n">
        <v>28.4595</v>
      </c>
      <c r="D293" s="1" t="n">
        <v>77.0266</v>
      </c>
      <c r="E293" s="5" t="n">
        <v>45913</v>
      </c>
      <c r="F293" s="6" t="s">
        <v>52</v>
      </c>
      <c r="G293" s="1" t="n">
        <v>9</v>
      </c>
      <c r="H293" s="7" t="s">
        <v>86</v>
      </c>
      <c r="I293" s="6" t="s">
        <v>46</v>
      </c>
      <c r="J293" s="7" t="s">
        <v>44</v>
      </c>
      <c r="K293" s="7" t="s">
        <v>45</v>
      </c>
      <c r="L293" s="1" t="n">
        <v>83</v>
      </c>
      <c r="M293" s="1" t="n">
        <v>22.4</v>
      </c>
      <c r="N293" s="1" t="n">
        <v>10.8</v>
      </c>
      <c r="O293" s="1" t="n">
        <v>0</v>
      </c>
      <c r="P293" s="6" t="s">
        <v>43</v>
      </c>
      <c r="Q293" s="6" t="s">
        <v>43</v>
      </c>
      <c r="R293" s="1" t="n">
        <v>1006.6</v>
      </c>
      <c r="S293" s="1" t="n">
        <v>100</v>
      </c>
      <c r="T293" s="1" t="n">
        <v>88.7</v>
      </c>
      <c r="U293" s="1" t="n">
        <v>143.4</v>
      </c>
      <c r="V293" s="1" t="n">
        <v>460</v>
      </c>
      <c r="W293" s="1" t="n">
        <v>71</v>
      </c>
      <c r="X293" s="1" t="n">
        <v>30.8</v>
      </c>
      <c r="Y293" s="1" t="n">
        <v>0</v>
      </c>
      <c r="Z293" s="1" t="n">
        <v>94</v>
      </c>
      <c r="AA293" s="1" t="n">
        <v>152</v>
      </c>
      <c r="AB293" s="7" t="s">
        <v>81</v>
      </c>
      <c r="AC293" s="7" t="s">
        <v>88</v>
      </c>
      <c r="AD293" s="6" t="s">
        <v>43</v>
      </c>
      <c r="AE293" s="6" t="s">
        <v>43</v>
      </c>
      <c r="AF293" s="4" t="n">
        <f aca="false">IF(T293="","",IF(T293&lt;=30,(50/30)*T293,IF(T293&lt;=60,50+((100-50)/(60-30))*(T293-30),IF(T293&lt;=90,100+((200-100)/(90-60))*(T293-60),IF(T293&lt;=120,200+((300-200)/(120-90))*(T293-90),IF(T293&lt;=250,300+((400-300)/(250-120))*(T293-120),IF(T293&lt;=380,400+((500-400)/(380-250))*(T293-250),500)))))))</f>
        <v>195.666666666667</v>
      </c>
      <c r="AG293" s="4" t="n">
        <f aca="false">IF(U293="","",IF(U293&lt;=50,(50/50)*U293,IF(U293&lt;=100,50+((100-50)/(100-50))*(U293-50),IF(U293&lt;=250,100+((200-100)/(250-100))*(U293-100),IF(U293&lt;=350,200+((300-200)/(350-250))*(U293-250),IF(U293&lt;=430,300+((400-300)/(430-350))*(U293-350),IF(U293&lt;=600,400+((500-400)/(600-430))*(U293-430),500)))))))</f>
        <v>128.933333333333</v>
      </c>
      <c r="AH293" s="4" t="n">
        <f aca="false">IF(V293="","",IF((V293/1000)&lt;=1,(50/1)*(V293/1000),IF((V293/1000)&lt;=2,50+((100-50)/(2-1))*(V293/1000-1),IF((V293/1000)&lt;=10,100+((200-100)/(10-2))*(V293/1000-2),IF((V293/1000)&lt;=17,200+((300-200)/(17-10))*(V293/1000-10),IF((V293/1000)&lt;=34,300+((400-300)/(34-17))*(V293/1000-17),IF((V293/1000)&lt;=57,400+((500-400)/(57-34))*(V293/1000-34),500)))))))</f>
        <v>23</v>
      </c>
      <c r="AI293" s="4" t="n">
        <f aca="false">IF(W293="","",IF(W293&lt;=40,(50/40)*W293,IF(W293&lt;=80,50+((100-50)/(80-40))*(W293-40),IF(W293&lt;=180,100+((200-100)/(180-80))*(W293-80),IF(W293&lt;=280,200+((300-200)/(280-180))*(W293-180),IF(W293&lt;=400,300+((400-300)/(400-280))*(W293-280),IF(W293&lt;=800,400+((500-400)/(800-400))*(W293-400),500)))))))</f>
        <v>88.75</v>
      </c>
      <c r="AJ293" s="4" t="n">
        <f aca="false">IF(X293="","",IF(X293&lt;=40,(50/40)*X293,IF(X293&lt;=80,50+((100-50)/(80-40))*(X293-40),IF(X293&lt;=380,100+((200-100)/(380-80))*(X293-80),IF(X293&lt;=800,200+((300-200)/(800-380))*(X293-380),IF(X293&lt;=1600,300+((400-300)/(1600-800))*(X293-800),IF(X293&lt;=2100,400+((500-400)/(2100-1600))*(X293-1600),500)))))))</f>
        <v>38.5</v>
      </c>
      <c r="AK293" s="4" t="n">
        <f aca="false">IF(Y293="","",IF(Y293&lt;=50,(50/50)*Y293,IF(Y293&lt;=100,50+((100-50)/(100-50))*(Y293-50),IF(Y293&lt;=168,100+((200-100)/(168-100))*(Y293-100),IF(Y293&lt;=208,200+((300-200)/(208-168))*(Y293-168),IF(Y293&lt;=748,300+((400-300)/(748-208))*(Y293-208),IF(Y293&lt;=1000,400+((500-400)/(1000-748))*(Y293-748),500)))))))</f>
        <v>0</v>
      </c>
      <c r="AL293" s="4" t="n">
        <f aca="false">ROUND(MAX(AF293,AG293,AH293,AI293,AJ293,AK293),0)</f>
        <v>196</v>
      </c>
      <c r="AM293" s="4" t="str">
        <f aca="false">IF(AL293="","",IF(AL293&lt;=50,"Good",IF(AL293&lt;=100,"Satisfactory",IF(AL293&lt;=200,"Moderate",IF(AL293&lt;=300,"Poor",IF(AL293&lt;=400,"Very Poor","Severe"))))))</f>
        <v>Moderate</v>
      </c>
    </row>
    <row r="294" customFormat="false" ht="15.75" hidden="false" customHeight="false" outlineLevel="0" collapsed="false">
      <c r="A294" s="1" t="s">
        <v>39</v>
      </c>
      <c r="B294" s="1" t="s">
        <v>40</v>
      </c>
      <c r="C294" s="1" t="n">
        <v>28.4595</v>
      </c>
      <c r="D294" s="1" t="n">
        <v>77.0266</v>
      </c>
      <c r="E294" s="5" t="n">
        <v>45913</v>
      </c>
      <c r="F294" s="6" t="s">
        <v>53</v>
      </c>
      <c r="G294" s="1" t="n">
        <v>9</v>
      </c>
      <c r="H294" s="7" t="s">
        <v>86</v>
      </c>
      <c r="I294" s="6" t="s">
        <v>46</v>
      </c>
      <c r="J294" s="7" t="s">
        <v>44</v>
      </c>
      <c r="K294" s="7" t="s">
        <v>45</v>
      </c>
      <c r="L294" s="1" t="n">
        <v>83</v>
      </c>
      <c r="M294" s="1" t="n">
        <v>22.4</v>
      </c>
      <c r="N294" s="1" t="n">
        <v>11.5</v>
      </c>
      <c r="O294" s="1" t="n">
        <v>0</v>
      </c>
      <c r="P294" s="6" t="s">
        <v>43</v>
      </c>
      <c r="Q294" s="6" t="s">
        <v>43</v>
      </c>
      <c r="R294" s="1" t="n">
        <v>1006.6</v>
      </c>
      <c r="S294" s="1" t="n">
        <v>74</v>
      </c>
      <c r="T294" s="1" t="n">
        <v>83.6</v>
      </c>
      <c r="U294" s="1" t="n">
        <v>132.7</v>
      </c>
      <c r="V294" s="1" t="n">
        <v>422</v>
      </c>
      <c r="W294" s="1" t="n">
        <v>67</v>
      </c>
      <c r="X294" s="1" t="n">
        <v>28.8</v>
      </c>
      <c r="Y294" s="1" t="n">
        <v>0</v>
      </c>
      <c r="Z294" s="1" t="n">
        <v>78</v>
      </c>
      <c r="AA294" s="1" t="n">
        <v>153</v>
      </c>
      <c r="AB294" s="7" t="s">
        <v>81</v>
      </c>
      <c r="AC294" s="7" t="s">
        <v>88</v>
      </c>
      <c r="AD294" s="6" t="s">
        <v>43</v>
      </c>
      <c r="AE294" s="6" t="s">
        <v>43</v>
      </c>
      <c r="AF294" s="4" t="n">
        <f aca="false">IF(T294="","",IF(T294&lt;=30,(50/30)*T294,IF(T294&lt;=60,50+((100-50)/(60-30))*(T294-30),IF(T294&lt;=90,100+((200-100)/(90-60))*(T294-60),IF(T294&lt;=120,200+((300-200)/(120-90))*(T294-90),IF(T294&lt;=250,300+((400-300)/(250-120))*(T294-120),IF(T294&lt;=380,400+((500-400)/(380-250))*(T294-250),500)))))))</f>
        <v>178.666666666667</v>
      </c>
      <c r="AG294" s="4" t="n">
        <f aca="false">IF(U294="","",IF(U294&lt;=50,(50/50)*U294,IF(U294&lt;=100,50+((100-50)/(100-50))*(U294-50),IF(U294&lt;=250,100+((200-100)/(250-100))*(U294-100),IF(U294&lt;=350,200+((300-200)/(350-250))*(U294-250),IF(U294&lt;=430,300+((400-300)/(430-350))*(U294-350),IF(U294&lt;=600,400+((500-400)/(600-430))*(U294-430),500)))))))</f>
        <v>121.8</v>
      </c>
      <c r="AH294" s="4" t="n">
        <f aca="false">IF(V294="","",IF((V294/1000)&lt;=1,(50/1)*(V294/1000),IF((V294/1000)&lt;=2,50+((100-50)/(2-1))*(V294/1000-1),IF((V294/1000)&lt;=10,100+((200-100)/(10-2))*(V294/1000-2),IF((V294/1000)&lt;=17,200+((300-200)/(17-10))*(V294/1000-10),IF((V294/1000)&lt;=34,300+((400-300)/(34-17))*(V294/1000-17),IF((V294/1000)&lt;=57,400+((500-400)/(57-34))*(V294/1000-34),500)))))))</f>
        <v>21.1</v>
      </c>
      <c r="AI294" s="4" t="n">
        <f aca="false">IF(W294="","",IF(W294&lt;=40,(50/40)*W294,IF(W294&lt;=80,50+((100-50)/(80-40))*(W294-40),IF(W294&lt;=180,100+((200-100)/(180-80))*(W294-80),IF(W294&lt;=280,200+((300-200)/(280-180))*(W294-180),IF(W294&lt;=400,300+((400-300)/(400-280))*(W294-280),IF(W294&lt;=800,400+((500-400)/(800-400))*(W294-400),500)))))))</f>
        <v>83.75</v>
      </c>
      <c r="AJ294" s="4" t="n">
        <f aca="false">IF(X294="","",IF(X294&lt;=40,(50/40)*X294,IF(X294&lt;=80,50+((100-50)/(80-40))*(X294-40),IF(X294&lt;=380,100+((200-100)/(380-80))*(X294-80),IF(X294&lt;=800,200+((300-200)/(800-380))*(X294-380),IF(X294&lt;=1600,300+((400-300)/(1600-800))*(X294-800),IF(X294&lt;=2100,400+((500-400)/(2100-1600))*(X294-1600),500)))))))</f>
        <v>36</v>
      </c>
      <c r="AK294" s="4" t="n">
        <f aca="false">IF(Y294="","",IF(Y294&lt;=50,(50/50)*Y294,IF(Y294&lt;=100,50+((100-50)/(100-50))*(Y294-50),IF(Y294&lt;=168,100+((200-100)/(168-100))*(Y294-100),IF(Y294&lt;=208,200+((300-200)/(208-168))*(Y294-168),IF(Y294&lt;=748,300+((400-300)/(748-208))*(Y294-208),IF(Y294&lt;=1000,400+((500-400)/(1000-748))*(Y294-748),500)))))))</f>
        <v>0</v>
      </c>
      <c r="AL294" s="4" t="n">
        <f aca="false">ROUND(MAX(AF294,AG294,AH294,AI294,AJ294,AK294),0)</f>
        <v>179</v>
      </c>
      <c r="AM294" s="4" t="str">
        <f aca="false">IF(AL294="","",IF(AL294&lt;=50,"Good",IF(AL294&lt;=100,"Satisfactory",IF(AL294&lt;=200,"Moderate",IF(AL294&lt;=300,"Poor",IF(AL294&lt;=400,"Very Poor","Severe"))))))</f>
        <v>Moderate</v>
      </c>
    </row>
    <row r="295" customFormat="false" ht="15.75" hidden="false" customHeight="false" outlineLevel="0" collapsed="false">
      <c r="A295" s="1" t="s">
        <v>39</v>
      </c>
      <c r="B295" s="1" t="s">
        <v>40</v>
      </c>
      <c r="C295" s="1" t="n">
        <v>28.4595</v>
      </c>
      <c r="D295" s="1" t="n">
        <v>77.0266</v>
      </c>
      <c r="E295" s="5" t="n">
        <v>45913</v>
      </c>
      <c r="F295" s="6" t="s">
        <v>54</v>
      </c>
      <c r="G295" s="1" t="n">
        <v>9</v>
      </c>
      <c r="H295" s="7" t="s">
        <v>86</v>
      </c>
      <c r="I295" s="6" t="s">
        <v>46</v>
      </c>
      <c r="J295" s="7" t="s">
        <v>44</v>
      </c>
      <c r="K295" s="7" t="s">
        <v>45</v>
      </c>
      <c r="L295" s="1" t="n">
        <v>84</v>
      </c>
      <c r="M295" s="1" t="n">
        <v>22.3</v>
      </c>
      <c r="N295" s="1" t="n">
        <v>11.9</v>
      </c>
      <c r="O295" s="1" t="n">
        <v>0</v>
      </c>
      <c r="P295" s="6" t="s">
        <v>43</v>
      </c>
      <c r="Q295" s="6" t="s">
        <v>43</v>
      </c>
      <c r="R295" s="1" t="n">
        <v>1006.9</v>
      </c>
      <c r="S295" s="1" t="n">
        <v>21</v>
      </c>
      <c r="T295" s="1" t="n">
        <v>35.6</v>
      </c>
      <c r="U295" s="1" t="n">
        <v>71.7</v>
      </c>
      <c r="V295" s="1" t="n">
        <v>410</v>
      </c>
      <c r="W295" s="1" t="n">
        <v>38.5</v>
      </c>
      <c r="X295" s="1" t="n">
        <v>13.3</v>
      </c>
      <c r="Y295" s="1" t="n">
        <v>18</v>
      </c>
      <c r="Z295" s="1" t="n">
        <v>68</v>
      </c>
      <c r="AA295" s="1" t="n">
        <v>154</v>
      </c>
      <c r="AB295" s="7" t="s">
        <v>81</v>
      </c>
      <c r="AC295" s="7" t="s">
        <v>48</v>
      </c>
      <c r="AD295" s="6" t="s">
        <v>43</v>
      </c>
      <c r="AE295" s="6" t="s">
        <v>43</v>
      </c>
      <c r="AF295" s="4" t="n">
        <f aca="false">IF(T295="","",IF(T295&lt;=30,(50/30)*T295,IF(T295&lt;=60,50+((100-50)/(60-30))*(T295-30),IF(T295&lt;=90,100+((200-100)/(90-60))*(T295-60),IF(T295&lt;=120,200+((300-200)/(120-90))*(T295-90),IF(T295&lt;=250,300+((400-300)/(250-120))*(T295-120),IF(T295&lt;=380,400+((500-400)/(380-250))*(T295-250),500)))))))</f>
        <v>59.3333333333333</v>
      </c>
      <c r="AG295" s="4" t="n">
        <f aca="false">IF(U295="","",IF(U295&lt;=50,(50/50)*U295,IF(U295&lt;=100,50+((100-50)/(100-50))*(U295-50),IF(U295&lt;=250,100+((200-100)/(250-100))*(U295-100),IF(U295&lt;=350,200+((300-200)/(350-250))*(U295-250),IF(U295&lt;=430,300+((400-300)/(430-350))*(U295-350),IF(U295&lt;=600,400+((500-400)/(600-430))*(U295-430),500)))))))</f>
        <v>71.7</v>
      </c>
      <c r="AH295" s="4" t="n">
        <f aca="false">IF(V295="","",IF((V295/1000)&lt;=1,(50/1)*(V295/1000),IF((V295/1000)&lt;=2,50+((100-50)/(2-1))*(V295/1000-1),IF((V295/1000)&lt;=10,100+((200-100)/(10-2))*(V295/1000-2),IF((V295/1000)&lt;=17,200+((300-200)/(17-10))*(V295/1000-10),IF((V295/1000)&lt;=34,300+((400-300)/(34-17))*(V295/1000-17),IF((V295/1000)&lt;=57,400+((500-400)/(57-34))*(V295/1000-34),500)))))))</f>
        <v>20.5</v>
      </c>
      <c r="AI295" s="4" t="n">
        <f aca="false">IF(W295="","",IF(W295&lt;=40,(50/40)*W295,IF(W295&lt;=80,50+((100-50)/(80-40))*(W295-40),IF(W295&lt;=180,100+((200-100)/(180-80))*(W295-80),IF(W295&lt;=280,200+((300-200)/(280-180))*(W295-180),IF(W295&lt;=400,300+((400-300)/(400-280))*(W295-280),IF(W295&lt;=800,400+((500-400)/(800-400))*(W295-400),500)))))))</f>
        <v>48.125</v>
      </c>
      <c r="AJ295" s="4" t="n">
        <f aca="false">IF(X295="","",IF(X295&lt;=40,(50/40)*X295,IF(X295&lt;=80,50+((100-50)/(80-40))*(X295-40),IF(X295&lt;=380,100+((200-100)/(380-80))*(X295-80),IF(X295&lt;=800,200+((300-200)/(800-380))*(X295-380),IF(X295&lt;=1600,300+((400-300)/(1600-800))*(X295-800),IF(X295&lt;=2100,400+((500-400)/(2100-1600))*(X295-1600),500)))))))</f>
        <v>16.625</v>
      </c>
      <c r="AK295" s="4" t="n">
        <f aca="false">IF(Y295="","",IF(Y295&lt;=50,(50/50)*Y295,IF(Y295&lt;=100,50+((100-50)/(100-50))*(Y295-50),IF(Y295&lt;=168,100+((200-100)/(168-100))*(Y295-100),IF(Y295&lt;=208,200+((300-200)/(208-168))*(Y295-168),IF(Y295&lt;=748,300+((400-300)/(748-208))*(Y295-208),IF(Y295&lt;=1000,400+((500-400)/(1000-748))*(Y295-748),500)))))))</f>
        <v>18</v>
      </c>
      <c r="AL295" s="4" t="n">
        <f aca="false">ROUND(MAX(AF295,AG295,AH295,AI295,AJ295,AK295),0)</f>
        <v>72</v>
      </c>
      <c r="AM295" s="4" t="str">
        <f aca="false">IF(AL295="","",IF(AL295&lt;=50,"Good",IF(AL295&lt;=100,"Satisfactory",IF(AL295&lt;=200,"Moderate",IF(AL295&lt;=300,"Poor",IF(AL295&lt;=400,"Very Poor","Severe"))))))</f>
        <v>Satisfactory</v>
      </c>
    </row>
    <row r="296" customFormat="false" ht="15.75" hidden="false" customHeight="false" outlineLevel="0" collapsed="false">
      <c r="A296" s="1" t="s">
        <v>39</v>
      </c>
      <c r="B296" s="1" t="s">
        <v>40</v>
      </c>
      <c r="C296" s="1" t="n">
        <v>28.4595</v>
      </c>
      <c r="D296" s="1" t="n">
        <v>77.0266</v>
      </c>
      <c r="E296" s="5" t="n">
        <v>45913</v>
      </c>
      <c r="F296" s="6" t="s">
        <v>55</v>
      </c>
      <c r="G296" s="1" t="n">
        <v>9</v>
      </c>
      <c r="H296" s="7" t="s">
        <v>86</v>
      </c>
      <c r="I296" s="6" t="s">
        <v>46</v>
      </c>
      <c r="J296" s="7" t="s">
        <v>44</v>
      </c>
      <c r="K296" s="7" t="s">
        <v>56</v>
      </c>
      <c r="L296" s="1" t="n">
        <v>81</v>
      </c>
      <c r="M296" s="1" t="n">
        <v>23</v>
      </c>
      <c r="N296" s="1" t="n">
        <v>15.5</v>
      </c>
      <c r="O296" s="1" t="n">
        <v>0</v>
      </c>
      <c r="P296" s="6" t="s">
        <v>43</v>
      </c>
      <c r="Q296" s="6" t="s">
        <v>43</v>
      </c>
      <c r="R296" s="1" t="n">
        <v>1007.7</v>
      </c>
      <c r="S296" s="1" t="n">
        <v>89</v>
      </c>
      <c r="T296" s="1" t="n">
        <v>34.8</v>
      </c>
      <c r="U296" s="1" t="n">
        <v>60.1</v>
      </c>
      <c r="V296" s="1" t="n">
        <v>420</v>
      </c>
      <c r="W296" s="1" t="n">
        <v>35.7</v>
      </c>
      <c r="X296" s="1" t="n">
        <v>13.6</v>
      </c>
      <c r="Y296" s="1" t="n">
        <v>27</v>
      </c>
      <c r="Z296" s="1" t="n">
        <v>78</v>
      </c>
      <c r="AA296" s="1" t="n">
        <v>154</v>
      </c>
      <c r="AB296" s="7" t="s">
        <v>81</v>
      </c>
      <c r="AC296" s="7" t="s">
        <v>48</v>
      </c>
      <c r="AD296" s="6" t="s">
        <v>43</v>
      </c>
      <c r="AE296" s="6" t="s">
        <v>43</v>
      </c>
      <c r="AF296" s="4" t="n">
        <f aca="false">IF(T296="","",IF(T296&lt;=30,(50/30)*T296,IF(T296&lt;=60,50+((100-50)/(60-30))*(T296-30),IF(T296&lt;=90,100+((200-100)/(90-60))*(T296-60),IF(T296&lt;=120,200+((300-200)/(120-90))*(T296-90),IF(T296&lt;=250,300+((400-300)/(250-120))*(T296-120),IF(T296&lt;=380,400+((500-400)/(380-250))*(T296-250),500)))))))</f>
        <v>58</v>
      </c>
      <c r="AG296" s="4" t="n">
        <f aca="false">IF(U296="","",IF(U296&lt;=50,(50/50)*U296,IF(U296&lt;=100,50+((100-50)/(100-50))*(U296-50),IF(U296&lt;=250,100+((200-100)/(250-100))*(U296-100),IF(U296&lt;=350,200+((300-200)/(350-250))*(U296-250),IF(U296&lt;=430,300+((400-300)/(430-350))*(U296-350),IF(U296&lt;=600,400+((500-400)/(600-430))*(U296-430),500)))))))</f>
        <v>60.1</v>
      </c>
      <c r="AH296" s="4" t="n">
        <f aca="false">IF(V296="","",IF((V296/1000)&lt;=1,(50/1)*(V296/1000),IF((V296/1000)&lt;=2,50+((100-50)/(2-1))*(V296/1000-1),IF((V296/1000)&lt;=10,100+((200-100)/(10-2))*(V296/1000-2),IF((V296/1000)&lt;=17,200+((300-200)/(17-10))*(V296/1000-10),IF((V296/1000)&lt;=34,300+((400-300)/(34-17))*(V296/1000-17),IF((V296/1000)&lt;=57,400+((500-400)/(57-34))*(V296/1000-34),500)))))))</f>
        <v>21</v>
      </c>
      <c r="AI296" s="4" t="n">
        <f aca="false">IF(W296="","",IF(W296&lt;=40,(50/40)*W296,IF(W296&lt;=80,50+((100-50)/(80-40))*(W296-40),IF(W296&lt;=180,100+((200-100)/(180-80))*(W296-80),IF(W296&lt;=280,200+((300-200)/(280-180))*(W296-180),IF(W296&lt;=400,300+((400-300)/(400-280))*(W296-280),IF(W296&lt;=800,400+((500-400)/(800-400))*(W296-400),500)))))))</f>
        <v>44.625</v>
      </c>
      <c r="AJ296" s="4" t="n">
        <f aca="false">IF(X296="","",IF(X296&lt;=40,(50/40)*X296,IF(X296&lt;=80,50+((100-50)/(80-40))*(X296-40),IF(X296&lt;=380,100+((200-100)/(380-80))*(X296-80),IF(X296&lt;=800,200+((300-200)/(800-380))*(X296-380),IF(X296&lt;=1600,300+((400-300)/(1600-800))*(X296-800),IF(X296&lt;=2100,400+((500-400)/(2100-1600))*(X296-1600),500)))))))</f>
        <v>17</v>
      </c>
      <c r="AK296" s="4" t="n">
        <f aca="false">IF(Y296="","",IF(Y296&lt;=50,(50/50)*Y296,IF(Y296&lt;=100,50+((100-50)/(100-50))*(Y296-50),IF(Y296&lt;=168,100+((200-100)/(168-100))*(Y296-100),IF(Y296&lt;=208,200+((300-200)/(208-168))*(Y296-168),IF(Y296&lt;=748,300+((400-300)/(748-208))*(Y296-208),IF(Y296&lt;=1000,400+((500-400)/(1000-748))*(Y296-748),500)))))))</f>
        <v>27</v>
      </c>
      <c r="AL296" s="4" t="n">
        <f aca="false">ROUND(MAX(AF296,AG296,AH296,AI296,AJ296,AK296),0)</f>
        <v>60</v>
      </c>
      <c r="AM296" s="4" t="str">
        <f aca="false">IF(AL296="","",IF(AL296&lt;=50,"Good",IF(AL296&lt;=100,"Satisfactory",IF(AL296&lt;=200,"Moderate",IF(AL296&lt;=300,"Poor",IF(AL296&lt;=400,"Very Poor","Severe"))))))</f>
        <v>Satisfactory</v>
      </c>
    </row>
    <row r="297" customFormat="false" ht="15.75" hidden="false" customHeight="false" outlineLevel="0" collapsed="false">
      <c r="A297" s="1" t="s">
        <v>39</v>
      </c>
      <c r="B297" s="1" t="s">
        <v>40</v>
      </c>
      <c r="C297" s="1" t="n">
        <v>28.4595</v>
      </c>
      <c r="D297" s="1" t="n">
        <v>77.0266</v>
      </c>
      <c r="E297" s="5" t="n">
        <v>45913</v>
      </c>
      <c r="F297" s="6" t="s">
        <v>57</v>
      </c>
      <c r="G297" s="1" t="n">
        <v>9</v>
      </c>
      <c r="H297" s="7" t="s">
        <v>86</v>
      </c>
      <c r="I297" s="6" t="s">
        <v>46</v>
      </c>
      <c r="J297" s="7" t="s">
        <v>44</v>
      </c>
      <c r="K297" s="7" t="s">
        <v>56</v>
      </c>
      <c r="L297" s="1" t="n">
        <v>80</v>
      </c>
      <c r="M297" s="1" t="n">
        <v>23.2</v>
      </c>
      <c r="N297" s="1" t="n">
        <v>13.7</v>
      </c>
      <c r="O297" s="1" t="n">
        <v>0</v>
      </c>
      <c r="P297" s="6" t="s">
        <v>43</v>
      </c>
      <c r="Q297" s="6" t="s">
        <v>43</v>
      </c>
      <c r="R297" s="1" t="n">
        <v>1008.5</v>
      </c>
      <c r="S297" s="1" t="n">
        <v>99</v>
      </c>
      <c r="T297" s="1" t="n">
        <v>37.3</v>
      </c>
      <c r="U297" s="1" t="n">
        <v>74.5</v>
      </c>
      <c r="V297" s="1" t="n">
        <v>456</v>
      </c>
      <c r="W297" s="1" t="n">
        <v>31.5</v>
      </c>
      <c r="X297" s="1" t="n">
        <v>14</v>
      </c>
      <c r="Y297" s="1" t="n">
        <v>41</v>
      </c>
      <c r="Z297" s="1" t="n">
        <v>91</v>
      </c>
      <c r="AA297" s="1" t="n">
        <v>153</v>
      </c>
      <c r="AB297" s="7" t="s">
        <v>81</v>
      </c>
      <c r="AC297" s="7" t="s">
        <v>48</v>
      </c>
      <c r="AD297" s="6" t="s">
        <v>43</v>
      </c>
      <c r="AE297" s="6" t="s">
        <v>43</v>
      </c>
      <c r="AF297" s="4" t="n">
        <f aca="false">IF(T297="","",IF(T297&lt;=30,(50/30)*T297,IF(T297&lt;=60,50+((100-50)/(60-30))*(T297-30),IF(T297&lt;=90,100+((200-100)/(90-60))*(T297-60),IF(T297&lt;=120,200+((300-200)/(120-90))*(T297-90),IF(T297&lt;=250,300+((400-300)/(250-120))*(T297-120),IF(T297&lt;=380,400+((500-400)/(380-250))*(T297-250),500)))))))</f>
        <v>62.1666666666667</v>
      </c>
      <c r="AG297" s="4" t="n">
        <f aca="false">IF(U297="","",IF(U297&lt;=50,(50/50)*U297,IF(U297&lt;=100,50+((100-50)/(100-50))*(U297-50),IF(U297&lt;=250,100+((200-100)/(250-100))*(U297-100),IF(U297&lt;=350,200+((300-200)/(350-250))*(U297-250),IF(U297&lt;=430,300+((400-300)/(430-350))*(U297-350),IF(U297&lt;=600,400+((500-400)/(600-430))*(U297-430),500)))))))</f>
        <v>74.5</v>
      </c>
      <c r="AH297" s="4" t="n">
        <f aca="false">IF(V297="","",IF((V297/1000)&lt;=1,(50/1)*(V297/1000),IF((V297/1000)&lt;=2,50+((100-50)/(2-1))*(V297/1000-1),IF((V297/1000)&lt;=10,100+((200-100)/(10-2))*(V297/1000-2),IF((V297/1000)&lt;=17,200+((300-200)/(17-10))*(V297/1000-10),IF((V297/1000)&lt;=34,300+((400-300)/(34-17))*(V297/1000-17),IF((V297/1000)&lt;=57,400+((500-400)/(57-34))*(V297/1000-34),500)))))))</f>
        <v>22.8</v>
      </c>
      <c r="AI297" s="4" t="n">
        <f aca="false">IF(W297="","",IF(W297&lt;=40,(50/40)*W297,IF(W297&lt;=80,50+((100-50)/(80-40))*(W297-40),IF(W297&lt;=180,100+((200-100)/(180-80))*(W297-80),IF(W297&lt;=280,200+((300-200)/(280-180))*(W297-180),IF(W297&lt;=400,300+((400-300)/(400-280))*(W297-280),IF(W297&lt;=800,400+((500-400)/(800-400))*(W297-400),500)))))))</f>
        <v>39.375</v>
      </c>
      <c r="AJ297" s="4" t="n">
        <f aca="false">IF(X297="","",IF(X297&lt;=40,(50/40)*X297,IF(X297&lt;=80,50+((100-50)/(80-40))*(X297-40),IF(X297&lt;=380,100+((200-100)/(380-80))*(X297-80),IF(X297&lt;=800,200+((300-200)/(800-380))*(X297-380),IF(X297&lt;=1600,300+((400-300)/(1600-800))*(X297-800),IF(X297&lt;=2100,400+((500-400)/(2100-1600))*(X297-1600),500)))))))</f>
        <v>17.5</v>
      </c>
      <c r="AK297" s="4" t="n">
        <f aca="false">IF(Y297="","",IF(Y297&lt;=50,(50/50)*Y297,IF(Y297&lt;=100,50+((100-50)/(100-50))*(Y297-50),IF(Y297&lt;=168,100+((200-100)/(168-100))*(Y297-100),IF(Y297&lt;=208,200+((300-200)/(208-168))*(Y297-168),IF(Y297&lt;=748,300+((400-300)/(748-208))*(Y297-208),IF(Y297&lt;=1000,400+((500-400)/(1000-748))*(Y297-748),500)))))))</f>
        <v>41</v>
      </c>
      <c r="AL297" s="4" t="n">
        <f aca="false">ROUND(MAX(AF297,AG297,AH297,AI297,AJ297,AK297),0)</f>
        <v>75</v>
      </c>
      <c r="AM297" s="4" t="str">
        <f aca="false">IF(AL297="","",IF(AL297&lt;=50,"Good",IF(AL297&lt;=100,"Satisfactory",IF(AL297&lt;=200,"Moderate",IF(AL297&lt;=300,"Poor",IF(AL297&lt;=400,"Very Poor","Severe"))))))</f>
        <v>Satisfactory</v>
      </c>
    </row>
    <row r="298" customFormat="false" ht="15.75" hidden="false" customHeight="false" outlineLevel="0" collapsed="false">
      <c r="A298" s="1" t="s">
        <v>39</v>
      </c>
      <c r="B298" s="1" t="s">
        <v>40</v>
      </c>
      <c r="C298" s="1" t="n">
        <v>28.4595</v>
      </c>
      <c r="D298" s="1" t="n">
        <v>77.0266</v>
      </c>
      <c r="E298" s="5" t="n">
        <v>45913</v>
      </c>
      <c r="F298" s="6" t="s">
        <v>58</v>
      </c>
      <c r="G298" s="1" t="n">
        <v>9</v>
      </c>
      <c r="H298" s="7" t="s">
        <v>86</v>
      </c>
      <c r="I298" s="6" t="s">
        <v>46</v>
      </c>
      <c r="J298" s="7" t="s">
        <v>44</v>
      </c>
      <c r="K298" s="7" t="s">
        <v>56</v>
      </c>
      <c r="L298" s="1" t="n">
        <v>77</v>
      </c>
      <c r="M298" s="1" t="n">
        <v>23.3</v>
      </c>
      <c r="N298" s="1" t="n">
        <v>14.8</v>
      </c>
      <c r="O298" s="1" t="n">
        <v>0</v>
      </c>
      <c r="P298" s="6" t="s">
        <v>43</v>
      </c>
      <c r="Q298" s="6" t="s">
        <v>43</v>
      </c>
      <c r="R298" s="1" t="n">
        <v>1008.9</v>
      </c>
      <c r="S298" s="1" t="n">
        <v>19</v>
      </c>
      <c r="T298" s="1" t="n">
        <v>34.9</v>
      </c>
      <c r="U298" s="1" t="n">
        <v>86.4</v>
      </c>
      <c r="V298" s="1" t="n">
        <v>459</v>
      </c>
      <c r="W298" s="1" t="n">
        <v>26.5</v>
      </c>
      <c r="X298" s="1" t="n">
        <v>14.6</v>
      </c>
      <c r="Y298" s="1" t="n">
        <v>58</v>
      </c>
      <c r="Z298" s="1" t="n">
        <v>98</v>
      </c>
      <c r="AA298" s="1" t="n">
        <v>153</v>
      </c>
      <c r="AB298" s="7" t="s">
        <v>81</v>
      </c>
      <c r="AC298" s="7" t="s">
        <v>48</v>
      </c>
      <c r="AD298" s="6" t="s">
        <v>43</v>
      </c>
      <c r="AE298" s="6" t="s">
        <v>43</v>
      </c>
      <c r="AF298" s="4" t="n">
        <f aca="false">IF(T298="","",IF(T298&lt;=30,(50/30)*T298,IF(T298&lt;=60,50+((100-50)/(60-30))*(T298-30),IF(T298&lt;=90,100+((200-100)/(90-60))*(T298-60),IF(T298&lt;=120,200+((300-200)/(120-90))*(T298-90),IF(T298&lt;=250,300+((400-300)/(250-120))*(T298-120),IF(T298&lt;=380,400+((500-400)/(380-250))*(T298-250),500)))))))</f>
        <v>58.1666666666667</v>
      </c>
      <c r="AG298" s="4" t="n">
        <f aca="false">IF(U298="","",IF(U298&lt;=50,(50/50)*U298,IF(U298&lt;=100,50+((100-50)/(100-50))*(U298-50),IF(U298&lt;=250,100+((200-100)/(250-100))*(U298-100),IF(U298&lt;=350,200+((300-200)/(350-250))*(U298-250),IF(U298&lt;=430,300+((400-300)/(430-350))*(U298-350),IF(U298&lt;=600,400+((500-400)/(600-430))*(U298-430),500)))))))</f>
        <v>86.4</v>
      </c>
      <c r="AH298" s="4" t="n">
        <f aca="false">IF(V298="","",IF((V298/1000)&lt;=1,(50/1)*(V298/1000),IF((V298/1000)&lt;=2,50+((100-50)/(2-1))*(V298/1000-1),IF((V298/1000)&lt;=10,100+((200-100)/(10-2))*(V298/1000-2),IF((V298/1000)&lt;=17,200+((300-200)/(17-10))*(V298/1000-10),IF((V298/1000)&lt;=34,300+((400-300)/(34-17))*(V298/1000-17),IF((V298/1000)&lt;=57,400+((500-400)/(57-34))*(V298/1000-34),500)))))))</f>
        <v>22.95</v>
      </c>
      <c r="AI298" s="4" t="n">
        <f aca="false">IF(W298="","",IF(W298&lt;=40,(50/40)*W298,IF(W298&lt;=80,50+((100-50)/(80-40))*(W298-40),IF(W298&lt;=180,100+((200-100)/(180-80))*(W298-80),IF(W298&lt;=280,200+((300-200)/(280-180))*(W298-180),IF(W298&lt;=400,300+((400-300)/(400-280))*(W298-280),IF(W298&lt;=800,400+((500-400)/(800-400))*(W298-400),500)))))))</f>
        <v>33.125</v>
      </c>
      <c r="AJ298" s="4" t="n">
        <f aca="false">IF(X298="","",IF(X298&lt;=40,(50/40)*X298,IF(X298&lt;=80,50+((100-50)/(80-40))*(X298-40),IF(X298&lt;=380,100+((200-100)/(380-80))*(X298-80),IF(X298&lt;=800,200+((300-200)/(800-380))*(X298-380),IF(X298&lt;=1600,300+((400-300)/(1600-800))*(X298-800),IF(X298&lt;=2100,400+((500-400)/(2100-1600))*(X298-1600),500)))))))</f>
        <v>18.25</v>
      </c>
      <c r="AK298" s="4" t="n">
        <f aca="false">IF(Y298="","",IF(Y298&lt;=50,(50/50)*Y298,IF(Y298&lt;=100,50+((100-50)/(100-50))*(Y298-50),IF(Y298&lt;=168,100+((200-100)/(168-100))*(Y298-100),IF(Y298&lt;=208,200+((300-200)/(208-168))*(Y298-168),IF(Y298&lt;=748,300+((400-300)/(748-208))*(Y298-208),IF(Y298&lt;=1000,400+((500-400)/(1000-748))*(Y298-748),500)))))))</f>
        <v>58</v>
      </c>
      <c r="AL298" s="4" t="n">
        <f aca="false">ROUND(MAX(AF298,AG298,AH298,AI298,AJ298,AK298),0)</f>
        <v>86</v>
      </c>
      <c r="AM298" s="4" t="str">
        <f aca="false">IF(AL298="","",IF(AL298&lt;=50,"Good",IF(AL298&lt;=100,"Satisfactory",IF(AL298&lt;=200,"Moderate",IF(AL298&lt;=300,"Poor",IF(AL298&lt;=400,"Very Poor","Severe"))))))</f>
        <v>Satisfactory</v>
      </c>
    </row>
    <row r="299" customFormat="false" ht="15.75" hidden="false" customHeight="false" outlineLevel="0" collapsed="false">
      <c r="A299" s="1" t="s">
        <v>39</v>
      </c>
      <c r="B299" s="1" t="s">
        <v>40</v>
      </c>
      <c r="C299" s="1" t="n">
        <v>28.4595</v>
      </c>
      <c r="D299" s="1" t="n">
        <v>77.0266</v>
      </c>
      <c r="E299" s="5" t="n">
        <v>45913</v>
      </c>
      <c r="F299" s="6" t="s">
        <v>59</v>
      </c>
      <c r="G299" s="1" t="n">
        <v>9</v>
      </c>
      <c r="H299" s="7" t="s">
        <v>86</v>
      </c>
      <c r="I299" s="6" t="s">
        <v>46</v>
      </c>
      <c r="J299" s="7" t="s">
        <v>44</v>
      </c>
      <c r="K299" s="7" t="s">
        <v>60</v>
      </c>
      <c r="L299" s="1" t="n">
        <v>72</v>
      </c>
      <c r="M299" s="1" t="n">
        <v>23.7</v>
      </c>
      <c r="N299" s="1" t="n">
        <v>18</v>
      </c>
      <c r="O299" s="1" t="n">
        <v>0</v>
      </c>
      <c r="P299" s="6" t="s">
        <v>43</v>
      </c>
      <c r="Q299" s="6" t="s">
        <v>43</v>
      </c>
      <c r="R299" s="1" t="n">
        <v>1009.2</v>
      </c>
      <c r="S299" s="1" t="n">
        <v>26</v>
      </c>
      <c r="T299" s="1" t="n">
        <v>34.1</v>
      </c>
      <c r="U299" s="1" t="n">
        <v>99.4</v>
      </c>
      <c r="V299" s="1" t="n">
        <v>391</v>
      </c>
      <c r="W299" s="1" t="n">
        <v>19.8</v>
      </c>
      <c r="X299" s="1" t="n">
        <v>15.7</v>
      </c>
      <c r="Y299" s="1" t="n">
        <v>83</v>
      </c>
      <c r="Z299" s="1" t="n">
        <v>92</v>
      </c>
      <c r="AA299" s="1" t="n">
        <v>153</v>
      </c>
      <c r="AB299" s="7" t="s">
        <v>81</v>
      </c>
      <c r="AC299" s="7" t="s">
        <v>48</v>
      </c>
      <c r="AD299" s="6" t="s">
        <v>43</v>
      </c>
      <c r="AE299" s="6" t="s">
        <v>43</v>
      </c>
      <c r="AF299" s="4" t="n">
        <f aca="false">IF(T299="","",IF(T299&lt;=30,(50/30)*T299,IF(T299&lt;=60,50+((100-50)/(60-30))*(T299-30),IF(T299&lt;=90,100+((200-100)/(90-60))*(T299-60),IF(T299&lt;=120,200+((300-200)/(120-90))*(T299-90),IF(T299&lt;=250,300+((400-300)/(250-120))*(T299-120),IF(T299&lt;=380,400+((500-400)/(380-250))*(T299-250),500)))))))</f>
        <v>56.8333333333333</v>
      </c>
      <c r="AG299" s="4" t="n">
        <f aca="false">IF(U299="","",IF(U299&lt;=50,(50/50)*U299,IF(U299&lt;=100,50+((100-50)/(100-50))*(U299-50),IF(U299&lt;=250,100+((200-100)/(250-100))*(U299-100),IF(U299&lt;=350,200+((300-200)/(350-250))*(U299-250),IF(U299&lt;=430,300+((400-300)/(430-350))*(U299-350),IF(U299&lt;=600,400+((500-400)/(600-430))*(U299-430),500)))))))</f>
        <v>99.4</v>
      </c>
      <c r="AH299" s="4" t="n">
        <f aca="false">IF(V299="","",IF((V299/1000)&lt;=1,(50/1)*(V299/1000),IF((V299/1000)&lt;=2,50+((100-50)/(2-1))*(V299/1000-1),IF((V299/1000)&lt;=10,100+((200-100)/(10-2))*(V299/1000-2),IF((V299/1000)&lt;=17,200+((300-200)/(17-10))*(V299/1000-10),IF((V299/1000)&lt;=34,300+((400-300)/(34-17))*(V299/1000-17),IF((V299/1000)&lt;=57,400+((500-400)/(57-34))*(V299/1000-34),500)))))))</f>
        <v>19.55</v>
      </c>
      <c r="AI299" s="4" t="n">
        <f aca="false">IF(W299="","",IF(W299&lt;=40,(50/40)*W299,IF(W299&lt;=80,50+((100-50)/(80-40))*(W299-40),IF(W299&lt;=180,100+((200-100)/(180-80))*(W299-80),IF(W299&lt;=280,200+((300-200)/(280-180))*(W299-180),IF(W299&lt;=400,300+((400-300)/(400-280))*(W299-280),IF(W299&lt;=800,400+((500-400)/(800-400))*(W299-400),500)))))))</f>
        <v>24.75</v>
      </c>
      <c r="AJ299" s="4" t="n">
        <f aca="false">IF(X299="","",IF(X299&lt;=40,(50/40)*X299,IF(X299&lt;=80,50+((100-50)/(80-40))*(X299-40),IF(X299&lt;=380,100+((200-100)/(380-80))*(X299-80),IF(X299&lt;=800,200+((300-200)/(800-380))*(X299-380),IF(X299&lt;=1600,300+((400-300)/(1600-800))*(X299-800),IF(X299&lt;=2100,400+((500-400)/(2100-1600))*(X299-1600),500)))))))</f>
        <v>19.625</v>
      </c>
      <c r="AK299" s="4" t="n">
        <f aca="false">IF(Y299="","",IF(Y299&lt;=50,(50/50)*Y299,IF(Y299&lt;=100,50+((100-50)/(100-50))*(Y299-50),IF(Y299&lt;=168,100+((200-100)/(168-100))*(Y299-100),IF(Y299&lt;=208,200+((300-200)/(208-168))*(Y299-168),IF(Y299&lt;=748,300+((400-300)/(748-208))*(Y299-208),IF(Y299&lt;=1000,400+((500-400)/(1000-748))*(Y299-748),500)))))))</f>
        <v>83</v>
      </c>
      <c r="AL299" s="4" t="n">
        <f aca="false">ROUND(MAX(AF299,AG299,AH299,AI299,AJ299,AK299),0)</f>
        <v>99</v>
      </c>
      <c r="AM299" s="4" t="str">
        <f aca="false">IF(AL299="","",IF(AL299&lt;=50,"Good",IF(AL299&lt;=100,"Satisfactory",IF(AL299&lt;=200,"Moderate",IF(AL299&lt;=300,"Poor",IF(AL299&lt;=400,"Very Poor","Severe"))))))</f>
        <v>Satisfactory</v>
      </c>
    </row>
    <row r="300" customFormat="false" ht="15.75" hidden="false" customHeight="false" outlineLevel="0" collapsed="false">
      <c r="A300" s="1" t="s">
        <v>39</v>
      </c>
      <c r="B300" s="1" t="s">
        <v>40</v>
      </c>
      <c r="C300" s="1" t="n">
        <v>28.4595</v>
      </c>
      <c r="D300" s="1" t="n">
        <v>77.0266</v>
      </c>
      <c r="E300" s="5" t="n">
        <v>45913</v>
      </c>
      <c r="F300" s="6" t="s">
        <v>61</v>
      </c>
      <c r="G300" s="1" t="n">
        <v>9</v>
      </c>
      <c r="H300" s="7" t="s">
        <v>86</v>
      </c>
      <c r="I300" s="6" t="s">
        <v>46</v>
      </c>
      <c r="J300" s="7" t="s">
        <v>44</v>
      </c>
      <c r="K300" s="7" t="s">
        <v>60</v>
      </c>
      <c r="L300" s="1" t="n">
        <v>68</v>
      </c>
      <c r="M300" s="1" t="n">
        <v>23.8</v>
      </c>
      <c r="N300" s="1" t="n">
        <v>20.5</v>
      </c>
      <c r="O300" s="1" t="n">
        <v>0</v>
      </c>
      <c r="P300" s="6" t="s">
        <v>43</v>
      </c>
      <c r="Q300" s="6" t="s">
        <v>43</v>
      </c>
      <c r="R300" s="1" t="n">
        <v>1009</v>
      </c>
      <c r="S300" s="1" t="n">
        <v>18</v>
      </c>
      <c r="T300" s="1" t="n">
        <v>27.2</v>
      </c>
      <c r="U300" s="1" t="n">
        <v>73.1</v>
      </c>
      <c r="V300" s="1" t="n">
        <v>290</v>
      </c>
      <c r="W300" s="1" t="n">
        <v>12.3</v>
      </c>
      <c r="X300" s="1" t="n">
        <v>17.1</v>
      </c>
      <c r="Y300" s="1" t="n">
        <v>112</v>
      </c>
      <c r="Z300" s="1" t="n">
        <v>81</v>
      </c>
      <c r="AA300" s="1" t="n">
        <v>152</v>
      </c>
      <c r="AB300" s="7" t="s">
        <v>81</v>
      </c>
      <c r="AC300" s="7" t="s">
        <v>50</v>
      </c>
      <c r="AD300" s="6" t="s">
        <v>43</v>
      </c>
      <c r="AE300" s="6" t="s">
        <v>43</v>
      </c>
      <c r="AF300" s="4" t="n">
        <f aca="false">IF(T300="","",IF(T300&lt;=30,(50/30)*T300,IF(T300&lt;=60,50+((100-50)/(60-30))*(T300-30),IF(T300&lt;=90,100+((200-100)/(90-60))*(T300-60),IF(T300&lt;=120,200+((300-200)/(120-90))*(T300-90),IF(T300&lt;=250,300+((400-300)/(250-120))*(T300-120),IF(T300&lt;=380,400+((500-400)/(380-250))*(T300-250),500)))))))</f>
        <v>45.3333333333333</v>
      </c>
      <c r="AG300" s="4" t="n">
        <f aca="false">IF(U300="","",IF(U300&lt;=50,(50/50)*U300,IF(U300&lt;=100,50+((100-50)/(100-50))*(U300-50),IF(U300&lt;=250,100+((200-100)/(250-100))*(U300-100),IF(U300&lt;=350,200+((300-200)/(350-250))*(U300-250),IF(U300&lt;=430,300+((400-300)/(430-350))*(U300-350),IF(U300&lt;=600,400+((500-400)/(600-430))*(U300-430),500)))))))</f>
        <v>73.1</v>
      </c>
      <c r="AH300" s="4" t="n">
        <f aca="false">IF(V300="","",IF((V300/1000)&lt;=1,(50/1)*(V300/1000),IF((V300/1000)&lt;=2,50+((100-50)/(2-1))*(V300/1000-1),IF((V300/1000)&lt;=10,100+((200-100)/(10-2))*(V300/1000-2),IF((V300/1000)&lt;=17,200+((300-200)/(17-10))*(V300/1000-10),IF((V300/1000)&lt;=34,300+((400-300)/(34-17))*(V300/1000-17),IF((V300/1000)&lt;=57,400+((500-400)/(57-34))*(V300/1000-34),500)))))))</f>
        <v>14.5</v>
      </c>
      <c r="AI300" s="4" t="n">
        <f aca="false">IF(W300="","",IF(W300&lt;=40,(50/40)*W300,IF(W300&lt;=80,50+((100-50)/(80-40))*(W300-40),IF(W300&lt;=180,100+((200-100)/(180-80))*(W300-80),IF(W300&lt;=280,200+((300-200)/(280-180))*(W300-180),IF(W300&lt;=400,300+((400-300)/(400-280))*(W300-280),IF(W300&lt;=800,400+((500-400)/(800-400))*(W300-400),500)))))))</f>
        <v>15.375</v>
      </c>
      <c r="AJ300" s="4" t="n">
        <f aca="false">IF(X300="","",IF(X300&lt;=40,(50/40)*X300,IF(X300&lt;=80,50+((100-50)/(80-40))*(X300-40),IF(X300&lt;=380,100+((200-100)/(380-80))*(X300-80),IF(X300&lt;=800,200+((300-200)/(800-380))*(X300-380),IF(X300&lt;=1600,300+((400-300)/(1600-800))*(X300-800),IF(X300&lt;=2100,400+((500-400)/(2100-1600))*(X300-1600),500)))))))</f>
        <v>21.375</v>
      </c>
      <c r="AK300" s="4" t="n">
        <f aca="false">IF(Y300="","",IF(Y300&lt;=50,(50/50)*Y300,IF(Y300&lt;=100,50+((100-50)/(100-50))*(Y300-50),IF(Y300&lt;=168,100+((200-100)/(168-100))*(Y300-100),IF(Y300&lt;=208,200+((300-200)/(208-168))*(Y300-168),IF(Y300&lt;=748,300+((400-300)/(748-208))*(Y300-208),IF(Y300&lt;=1000,400+((500-400)/(1000-748))*(Y300-748),500)))))))</f>
        <v>117.647058823529</v>
      </c>
      <c r="AL300" s="4" t="n">
        <f aca="false">ROUND(MAX(AF300,AG300,AH300,AI300,AJ300,AK300),0)</f>
        <v>118</v>
      </c>
      <c r="AM300" s="4" t="str">
        <f aca="false">IF(AL300="","",IF(AL300&lt;=50,"Good",IF(AL300&lt;=100,"Satisfactory",IF(AL300&lt;=200,"Moderate",IF(AL300&lt;=300,"Poor",IF(AL300&lt;=400,"Very Poor","Severe"))))))</f>
        <v>Moderate</v>
      </c>
    </row>
    <row r="301" customFormat="false" ht="15.75" hidden="false" customHeight="false" outlineLevel="0" collapsed="false">
      <c r="A301" s="1" t="s">
        <v>39</v>
      </c>
      <c r="B301" s="1" t="s">
        <v>40</v>
      </c>
      <c r="C301" s="1" t="n">
        <v>28.4595</v>
      </c>
      <c r="D301" s="1" t="n">
        <v>77.0266</v>
      </c>
      <c r="E301" s="5" t="n">
        <v>45913</v>
      </c>
      <c r="F301" s="6" t="s">
        <v>62</v>
      </c>
      <c r="G301" s="1" t="n">
        <v>9</v>
      </c>
      <c r="H301" s="7" t="s">
        <v>86</v>
      </c>
      <c r="I301" s="6" t="s">
        <v>46</v>
      </c>
      <c r="J301" s="7" t="s">
        <v>44</v>
      </c>
      <c r="K301" s="7" t="s">
        <v>60</v>
      </c>
      <c r="L301" s="1" t="n">
        <v>59</v>
      </c>
      <c r="M301" s="1" t="n">
        <v>22.6</v>
      </c>
      <c r="N301" s="1" t="n">
        <v>22.3</v>
      </c>
      <c r="O301" s="1" t="n">
        <v>0</v>
      </c>
      <c r="P301" s="6" t="s">
        <v>43</v>
      </c>
      <c r="Q301" s="6" t="s">
        <v>43</v>
      </c>
      <c r="R301" s="1" t="n">
        <v>1008.6</v>
      </c>
      <c r="S301" s="1" t="n">
        <v>26</v>
      </c>
      <c r="T301" s="1" t="n">
        <v>22.8</v>
      </c>
      <c r="U301" s="1" t="n">
        <v>60.5</v>
      </c>
      <c r="V301" s="1" t="n">
        <v>213</v>
      </c>
      <c r="W301" s="1" t="n">
        <v>6.8</v>
      </c>
      <c r="X301" s="1" t="n">
        <v>17.8</v>
      </c>
      <c r="Y301" s="1" t="n">
        <v>134</v>
      </c>
      <c r="Z301" s="1" t="n">
        <v>73</v>
      </c>
      <c r="AA301" s="1" t="n">
        <v>152</v>
      </c>
      <c r="AB301" s="7" t="s">
        <v>81</v>
      </c>
      <c r="AC301" s="7" t="s">
        <v>50</v>
      </c>
      <c r="AD301" s="6" t="s">
        <v>43</v>
      </c>
      <c r="AE301" s="6" t="s">
        <v>43</v>
      </c>
      <c r="AF301" s="4" t="n">
        <f aca="false">IF(T301="","",IF(T301&lt;=30,(50/30)*T301,IF(T301&lt;=60,50+((100-50)/(60-30))*(T301-30),IF(T301&lt;=90,100+((200-100)/(90-60))*(T301-60),IF(T301&lt;=120,200+((300-200)/(120-90))*(T301-90),IF(T301&lt;=250,300+((400-300)/(250-120))*(T301-120),IF(T301&lt;=380,400+((500-400)/(380-250))*(T301-250),500)))))))</f>
        <v>38</v>
      </c>
      <c r="AG301" s="4" t="n">
        <f aca="false">IF(U301="","",IF(U301&lt;=50,(50/50)*U301,IF(U301&lt;=100,50+((100-50)/(100-50))*(U301-50),IF(U301&lt;=250,100+((200-100)/(250-100))*(U301-100),IF(U301&lt;=350,200+((300-200)/(350-250))*(U301-250),IF(U301&lt;=430,300+((400-300)/(430-350))*(U301-350),IF(U301&lt;=600,400+((500-400)/(600-430))*(U301-430),500)))))))</f>
        <v>60.5</v>
      </c>
      <c r="AH301" s="4" t="n">
        <f aca="false">IF(V301="","",IF((V301/1000)&lt;=1,(50/1)*(V301/1000),IF((V301/1000)&lt;=2,50+((100-50)/(2-1))*(V301/1000-1),IF((V301/1000)&lt;=10,100+((200-100)/(10-2))*(V301/1000-2),IF((V301/1000)&lt;=17,200+((300-200)/(17-10))*(V301/1000-10),IF((V301/1000)&lt;=34,300+((400-300)/(34-17))*(V301/1000-17),IF((V301/1000)&lt;=57,400+((500-400)/(57-34))*(V301/1000-34),500)))))))</f>
        <v>10.65</v>
      </c>
      <c r="AI301" s="4" t="n">
        <f aca="false">IF(W301="","",IF(W301&lt;=40,(50/40)*W301,IF(W301&lt;=80,50+((100-50)/(80-40))*(W301-40),IF(W301&lt;=180,100+((200-100)/(180-80))*(W301-80),IF(W301&lt;=280,200+((300-200)/(280-180))*(W301-180),IF(W301&lt;=400,300+((400-300)/(400-280))*(W301-280),IF(W301&lt;=800,400+((500-400)/(800-400))*(W301-400),500)))))))</f>
        <v>8.5</v>
      </c>
      <c r="AJ301" s="4" t="n">
        <f aca="false">IF(X301="","",IF(X301&lt;=40,(50/40)*X301,IF(X301&lt;=80,50+((100-50)/(80-40))*(X301-40),IF(X301&lt;=380,100+((200-100)/(380-80))*(X301-80),IF(X301&lt;=800,200+((300-200)/(800-380))*(X301-380),IF(X301&lt;=1600,300+((400-300)/(1600-800))*(X301-800),IF(X301&lt;=2100,400+((500-400)/(2100-1600))*(X301-1600),500)))))))</f>
        <v>22.25</v>
      </c>
      <c r="AK301" s="4" t="n">
        <f aca="false">IF(Y301="","",IF(Y301&lt;=50,(50/50)*Y301,IF(Y301&lt;=100,50+((100-50)/(100-50))*(Y301-50),IF(Y301&lt;=168,100+((200-100)/(168-100))*(Y301-100),IF(Y301&lt;=208,200+((300-200)/(208-168))*(Y301-168),IF(Y301&lt;=748,300+((400-300)/(748-208))*(Y301-208),IF(Y301&lt;=1000,400+((500-400)/(1000-748))*(Y301-748),500)))))))</f>
        <v>150</v>
      </c>
      <c r="AL301" s="4" t="n">
        <f aca="false">ROUND(MAX(AF301,AG301,AH301,AI301,AJ301,AK301),0)</f>
        <v>150</v>
      </c>
      <c r="AM301" s="4" t="str">
        <f aca="false">IF(AL301="","",IF(AL301&lt;=50,"Good",IF(AL301&lt;=100,"Satisfactory",IF(AL301&lt;=200,"Moderate",IF(AL301&lt;=300,"Poor",IF(AL301&lt;=400,"Very Poor","Severe"))))))</f>
        <v>Moderate</v>
      </c>
    </row>
    <row r="302" customFormat="false" ht="15.75" hidden="false" customHeight="false" outlineLevel="0" collapsed="false">
      <c r="A302" s="1" t="s">
        <v>39</v>
      </c>
      <c r="B302" s="1" t="s">
        <v>40</v>
      </c>
      <c r="C302" s="1" t="n">
        <v>28.4595</v>
      </c>
      <c r="D302" s="1" t="n">
        <v>77.0266</v>
      </c>
      <c r="E302" s="5" t="n">
        <v>45913</v>
      </c>
      <c r="F302" s="6" t="s">
        <v>63</v>
      </c>
      <c r="G302" s="1" t="n">
        <v>9</v>
      </c>
      <c r="H302" s="7" t="s">
        <v>86</v>
      </c>
      <c r="I302" s="6" t="s">
        <v>46</v>
      </c>
      <c r="J302" s="7" t="s">
        <v>44</v>
      </c>
      <c r="K302" s="7" t="s">
        <v>60</v>
      </c>
      <c r="L302" s="1" t="n">
        <v>56</v>
      </c>
      <c r="M302" s="1" t="n">
        <v>22.3</v>
      </c>
      <c r="N302" s="1" t="n">
        <v>22</v>
      </c>
      <c r="O302" s="1" t="n">
        <v>0</v>
      </c>
      <c r="P302" s="6" t="s">
        <v>43</v>
      </c>
      <c r="Q302" s="6" t="s">
        <v>43</v>
      </c>
      <c r="R302" s="1" t="n">
        <v>1007.7</v>
      </c>
      <c r="S302" s="1" t="n">
        <v>17</v>
      </c>
      <c r="T302" s="1" t="n">
        <v>22.7</v>
      </c>
      <c r="U302" s="1" t="n">
        <v>62.9</v>
      </c>
      <c r="V302" s="1" t="n">
        <v>180</v>
      </c>
      <c r="W302" s="1" t="n">
        <v>4.3</v>
      </c>
      <c r="X302" s="1" t="n">
        <v>17.1</v>
      </c>
      <c r="Y302" s="1" t="n">
        <v>144</v>
      </c>
      <c r="Z302" s="1" t="n">
        <v>73</v>
      </c>
      <c r="AA302" s="1" t="n">
        <v>151</v>
      </c>
      <c r="AB302" s="7" t="s">
        <v>81</v>
      </c>
      <c r="AC302" s="7" t="s">
        <v>50</v>
      </c>
      <c r="AD302" s="6" t="s">
        <v>43</v>
      </c>
      <c r="AE302" s="6" t="s">
        <v>43</v>
      </c>
      <c r="AF302" s="4" t="n">
        <f aca="false">IF(T302="","",IF(T302&lt;=30,(50/30)*T302,IF(T302&lt;=60,50+((100-50)/(60-30))*(T302-30),IF(T302&lt;=90,100+((200-100)/(90-60))*(T302-60),IF(T302&lt;=120,200+((300-200)/(120-90))*(T302-90),IF(T302&lt;=250,300+((400-300)/(250-120))*(T302-120),IF(T302&lt;=380,400+((500-400)/(380-250))*(T302-250),500)))))))</f>
        <v>37.8333333333333</v>
      </c>
      <c r="AG302" s="4" t="n">
        <f aca="false">IF(U302="","",IF(U302&lt;=50,(50/50)*U302,IF(U302&lt;=100,50+((100-50)/(100-50))*(U302-50),IF(U302&lt;=250,100+((200-100)/(250-100))*(U302-100),IF(U302&lt;=350,200+((300-200)/(350-250))*(U302-250),IF(U302&lt;=430,300+((400-300)/(430-350))*(U302-350),IF(U302&lt;=600,400+((500-400)/(600-430))*(U302-430),500)))))))</f>
        <v>62.9</v>
      </c>
      <c r="AH302" s="4" t="n">
        <f aca="false">IF(V302="","",IF((V302/1000)&lt;=1,(50/1)*(V302/1000),IF((V302/1000)&lt;=2,50+((100-50)/(2-1))*(V302/1000-1),IF((V302/1000)&lt;=10,100+((200-100)/(10-2))*(V302/1000-2),IF((V302/1000)&lt;=17,200+((300-200)/(17-10))*(V302/1000-10),IF((V302/1000)&lt;=34,300+((400-300)/(34-17))*(V302/1000-17),IF((V302/1000)&lt;=57,400+((500-400)/(57-34))*(V302/1000-34),500)))))))</f>
        <v>9</v>
      </c>
      <c r="AI302" s="4" t="n">
        <f aca="false">IF(W302="","",IF(W302&lt;=40,(50/40)*W302,IF(W302&lt;=80,50+((100-50)/(80-40))*(W302-40),IF(W302&lt;=180,100+((200-100)/(180-80))*(W302-80),IF(W302&lt;=280,200+((300-200)/(280-180))*(W302-180),IF(W302&lt;=400,300+((400-300)/(400-280))*(W302-280),IF(W302&lt;=800,400+((500-400)/(800-400))*(W302-400),500)))))))</f>
        <v>5.375</v>
      </c>
      <c r="AJ302" s="4" t="n">
        <f aca="false">IF(X302="","",IF(X302&lt;=40,(50/40)*X302,IF(X302&lt;=80,50+((100-50)/(80-40))*(X302-40),IF(X302&lt;=380,100+((200-100)/(380-80))*(X302-80),IF(X302&lt;=800,200+((300-200)/(800-380))*(X302-380),IF(X302&lt;=1600,300+((400-300)/(1600-800))*(X302-800),IF(X302&lt;=2100,400+((500-400)/(2100-1600))*(X302-1600),500)))))))</f>
        <v>21.375</v>
      </c>
      <c r="AK302" s="4" t="n">
        <f aca="false">IF(Y302="","",IF(Y302&lt;=50,(50/50)*Y302,IF(Y302&lt;=100,50+((100-50)/(100-50))*(Y302-50),IF(Y302&lt;=168,100+((200-100)/(168-100))*(Y302-100),IF(Y302&lt;=208,200+((300-200)/(208-168))*(Y302-168),IF(Y302&lt;=748,300+((400-300)/(748-208))*(Y302-208),IF(Y302&lt;=1000,400+((500-400)/(1000-748))*(Y302-748),500)))))))</f>
        <v>164.705882352941</v>
      </c>
      <c r="AL302" s="4" t="n">
        <f aca="false">ROUND(MAX(AF302,AG302,AH302,AI302,AJ302,AK302),0)</f>
        <v>165</v>
      </c>
      <c r="AM302" s="4" t="str">
        <f aca="false">IF(AL302="","",IF(AL302&lt;=50,"Good",IF(AL302&lt;=100,"Satisfactory",IF(AL302&lt;=200,"Moderate",IF(AL302&lt;=300,"Poor",IF(AL302&lt;=400,"Very Poor","Severe"))))))</f>
        <v>Moderate</v>
      </c>
    </row>
    <row r="303" customFormat="false" ht="15.75" hidden="false" customHeight="false" outlineLevel="0" collapsed="false">
      <c r="A303" s="1" t="s">
        <v>39</v>
      </c>
      <c r="B303" s="1" t="s">
        <v>40</v>
      </c>
      <c r="C303" s="1" t="n">
        <v>28.4595</v>
      </c>
      <c r="D303" s="1" t="n">
        <v>77.0266</v>
      </c>
      <c r="E303" s="5" t="n">
        <v>45913</v>
      </c>
      <c r="F303" s="6" t="s">
        <v>64</v>
      </c>
      <c r="G303" s="1" t="n">
        <v>9</v>
      </c>
      <c r="H303" s="7" t="s">
        <v>86</v>
      </c>
      <c r="I303" s="6" t="s">
        <v>46</v>
      </c>
      <c r="J303" s="7" t="s">
        <v>44</v>
      </c>
      <c r="K303" s="7" t="s">
        <v>65</v>
      </c>
      <c r="L303" s="1" t="n">
        <v>54</v>
      </c>
      <c r="M303" s="1" t="n">
        <v>22.1</v>
      </c>
      <c r="N303" s="1" t="n">
        <v>22.3</v>
      </c>
      <c r="O303" s="1" t="n">
        <v>0</v>
      </c>
      <c r="P303" s="6" t="s">
        <v>43</v>
      </c>
      <c r="Q303" s="6" t="s">
        <v>43</v>
      </c>
      <c r="R303" s="1" t="n">
        <v>1006.6</v>
      </c>
      <c r="S303" s="1" t="n">
        <v>18</v>
      </c>
      <c r="T303" s="1" t="n">
        <v>22.8</v>
      </c>
      <c r="U303" s="1" t="n">
        <v>62.9</v>
      </c>
      <c r="V303" s="1" t="n">
        <v>171</v>
      </c>
      <c r="W303" s="1" t="n">
        <v>3.9</v>
      </c>
      <c r="X303" s="1" t="n">
        <v>15.8</v>
      </c>
      <c r="Y303" s="1" t="n">
        <v>146</v>
      </c>
      <c r="Z303" s="1" t="n">
        <v>76</v>
      </c>
      <c r="AA303" s="1" t="n">
        <v>150</v>
      </c>
      <c r="AB303" s="7" t="s">
        <v>81</v>
      </c>
      <c r="AC303" s="7" t="s">
        <v>82</v>
      </c>
      <c r="AD303" s="7" t="s">
        <v>83</v>
      </c>
      <c r="AE303" s="7" t="s">
        <v>84</v>
      </c>
      <c r="AF303" s="4" t="n">
        <f aca="false">IF(T303="","",IF(T303&lt;=30,(50/30)*T303,IF(T303&lt;=60,50+((100-50)/(60-30))*(T303-30),IF(T303&lt;=90,100+((200-100)/(90-60))*(T303-60),IF(T303&lt;=120,200+((300-200)/(120-90))*(T303-90),IF(T303&lt;=250,300+((400-300)/(250-120))*(T303-120),IF(T303&lt;=380,400+((500-400)/(380-250))*(T303-250),500)))))))</f>
        <v>38</v>
      </c>
      <c r="AG303" s="4" t="n">
        <f aca="false">IF(U303="","",IF(U303&lt;=50,(50/50)*U303,IF(U303&lt;=100,50+((100-50)/(100-50))*(U303-50),IF(U303&lt;=250,100+((200-100)/(250-100))*(U303-100),IF(U303&lt;=350,200+((300-200)/(350-250))*(U303-250),IF(U303&lt;=430,300+((400-300)/(430-350))*(U303-350),IF(U303&lt;=600,400+((500-400)/(600-430))*(U303-430),500)))))))</f>
        <v>62.9</v>
      </c>
      <c r="AH303" s="4" t="n">
        <f aca="false">IF(V303="","",IF((V303/1000)&lt;=1,(50/1)*(V303/1000),IF((V303/1000)&lt;=2,50+((100-50)/(2-1))*(V303/1000-1),IF((V303/1000)&lt;=10,100+((200-100)/(10-2))*(V303/1000-2),IF((V303/1000)&lt;=17,200+((300-200)/(17-10))*(V303/1000-10),IF((V303/1000)&lt;=34,300+((400-300)/(34-17))*(V303/1000-17),IF((V303/1000)&lt;=57,400+((500-400)/(57-34))*(V303/1000-34),500)))))))</f>
        <v>8.55</v>
      </c>
      <c r="AI303" s="4" t="n">
        <f aca="false">IF(W303="","",IF(W303&lt;=40,(50/40)*W303,IF(W303&lt;=80,50+((100-50)/(80-40))*(W303-40),IF(W303&lt;=180,100+((200-100)/(180-80))*(W303-80),IF(W303&lt;=280,200+((300-200)/(280-180))*(W303-180),IF(W303&lt;=400,300+((400-300)/(400-280))*(W303-280),IF(W303&lt;=800,400+((500-400)/(800-400))*(W303-400),500)))))))</f>
        <v>4.875</v>
      </c>
      <c r="AJ303" s="4" t="n">
        <f aca="false">IF(X303="","",IF(X303&lt;=40,(50/40)*X303,IF(X303&lt;=80,50+((100-50)/(80-40))*(X303-40),IF(X303&lt;=380,100+((200-100)/(380-80))*(X303-80),IF(X303&lt;=800,200+((300-200)/(800-380))*(X303-380),IF(X303&lt;=1600,300+((400-300)/(1600-800))*(X303-800),IF(X303&lt;=2100,400+((500-400)/(2100-1600))*(X303-1600),500)))))))</f>
        <v>19.75</v>
      </c>
      <c r="AK303" s="4" t="n">
        <f aca="false">IF(Y303="","",IF(Y303&lt;=50,(50/50)*Y303,IF(Y303&lt;=100,50+((100-50)/(100-50))*(Y303-50),IF(Y303&lt;=168,100+((200-100)/(168-100))*(Y303-100),IF(Y303&lt;=208,200+((300-200)/(208-168))*(Y303-168),IF(Y303&lt;=748,300+((400-300)/(748-208))*(Y303-208),IF(Y303&lt;=1000,400+((500-400)/(1000-748))*(Y303-748),500)))))))</f>
        <v>167.647058823529</v>
      </c>
      <c r="AL303" s="4" t="n">
        <f aca="false">ROUND(MAX(AF303,AG303,AH303,AI303,AJ303,AK303),0)</f>
        <v>168</v>
      </c>
      <c r="AM303" s="4" t="str">
        <f aca="false">IF(AL303="","",IF(AL303&lt;=50,"Good",IF(AL303&lt;=100,"Satisfactory",IF(AL303&lt;=200,"Moderate",IF(AL303&lt;=300,"Poor",IF(AL303&lt;=400,"Very Poor","Severe"))))))</f>
        <v>Moderate</v>
      </c>
    </row>
    <row r="304" customFormat="false" ht="15.75" hidden="false" customHeight="false" outlineLevel="0" collapsed="false">
      <c r="A304" s="1" t="s">
        <v>39</v>
      </c>
      <c r="B304" s="1" t="s">
        <v>40</v>
      </c>
      <c r="C304" s="1" t="n">
        <v>28.4595</v>
      </c>
      <c r="D304" s="1" t="n">
        <v>77.0266</v>
      </c>
      <c r="E304" s="5" t="n">
        <v>45913</v>
      </c>
      <c r="F304" s="6" t="s">
        <v>66</v>
      </c>
      <c r="G304" s="1" t="n">
        <v>9</v>
      </c>
      <c r="H304" s="7" t="s">
        <v>86</v>
      </c>
      <c r="I304" s="6" t="s">
        <v>46</v>
      </c>
      <c r="J304" s="7" t="s">
        <v>44</v>
      </c>
      <c r="K304" s="7" t="s">
        <v>65</v>
      </c>
      <c r="L304" s="1" t="n">
        <v>53</v>
      </c>
      <c r="M304" s="1" t="n">
        <v>21.9</v>
      </c>
      <c r="N304" s="1" t="n">
        <v>24.1</v>
      </c>
      <c r="O304" s="1" t="n">
        <v>0</v>
      </c>
      <c r="P304" s="6" t="s">
        <v>43</v>
      </c>
      <c r="Q304" s="6" t="s">
        <v>43</v>
      </c>
      <c r="R304" s="1" t="n">
        <v>1005.4</v>
      </c>
      <c r="S304" s="1" t="n">
        <v>19</v>
      </c>
      <c r="T304" s="1" t="n">
        <v>24.4</v>
      </c>
      <c r="U304" s="1" t="n">
        <v>68.7</v>
      </c>
      <c r="V304" s="1" t="n">
        <v>187</v>
      </c>
      <c r="W304" s="1" t="n">
        <v>5.5</v>
      </c>
      <c r="X304" s="1" t="n">
        <v>15</v>
      </c>
      <c r="Y304" s="1" t="n">
        <v>143</v>
      </c>
      <c r="Z304" s="1" t="n">
        <v>86</v>
      </c>
      <c r="AA304" s="1" t="n">
        <v>150</v>
      </c>
      <c r="AB304" s="7" t="s">
        <v>81</v>
      </c>
      <c r="AC304" s="7" t="s">
        <v>82</v>
      </c>
      <c r="AD304" s="7" t="s">
        <v>83</v>
      </c>
      <c r="AE304" s="7" t="s">
        <v>84</v>
      </c>
      <c r="AF304" s="4" t="n">
        <f aca="false">IF(T304="","",IF(T304&lt;=30,(50/30)*T304,IF(T304&lt;=60,50+((100-50)/(60-30))*(T304-30),IF(T304&lt;=90,100+((200-100)/(90-60))*(T304-60),IF(T304&lt;=120,200+((300-200)/(120-90))*(T304-90),IF(T304&lt;=250,300+((400-300)/(250-120))*(T304-120),IF(T304&lt;=380,400+((500-400)/(380-250))*(T304-250),500)))))))</f>
        <v>40.6666666666667</v>
      </c>
      <c r="AG304" s="4" t="n">
        <f aca="false">IF(U304="","",IF(U304&lt;=50,(50/50)*U304,IF(U304&lt;=100,50+((100-50)/(100-50))*(U304-50),IF(U304&lt;=250,100+((200-100)/(250-100))*(U304-100),IF(U304&lt;=350,200+((300-200)/(350-250))*(U304-250),IF(U304&lt;=430,300+((400-300)/(430-350))*(U304-350),IF(U304&lt;=600,400+((500-400)/(600-430))*(U304-430),500)))))))</f>
        <v>68.7</v>
      </c>
      <c r="AH304" s="4" t="n">
        <f aca="false">IF(V304="","",IF((V304/1000)&lt;=1,(50/1)*(V304/1000),IF((V304/1000)&lt;=2,50+((100-50)/(2-1))*(V304/1000-1),IF((V304/1000)&lt;=10,100+((200-100)/(10-2))*(V304/1000-2),IF((V304/1000)&lt;=17,200+((300-200)/(17-10))*(V304/1000-10),IF((V304/1000)&lt;=34,300+((400-300)/(34-17))*(V304/1000-17),IF((V304/1000)&lt;=57,400+((500-400)/(57-34))*(V304/1000-34),500)))))))</f>
        <v>9.35</v>
      </c>
      <c r="AI304" s="4" t="n">
        <f aca="false">IF(W304="","",IF(W304&lt;=40,(50/40)*W304,IF(W304&lt;=80,50+((100-50)/(80-40))*(W304-40),IF(W304&lt;=180,100+((200-100)/(180-80))*(W304-80),IF(W304&lt;=280,200+((300-200)/(280-180))*(W304-180),IF(W304&lt;=400,300+((400-300)/(400-280))*(W304-280),IF(W304&lt;=800,400+((500-400)/(800-400))*(W304-400),500)))))))</f>
        <v>6.875</v>
      </c>
      <c r="AJ304" s="4" t="n">
        <f aca="false">IF(X304="","",IF(X304&lt;=40,(50/40)*X304,IF(X304&lt;=80,50+((100-50)/(80-40))*(X304-40),IF(X304&lt;=380,100+((200-100)/(380-80))*(X304-80),IF(X304&lt;=800,200+((300-200)/(800-380))*(X304-380),IF(X304&lt;=1600,300+((400-300)/(1600-800))*(X304-800),IF(X304&lt;=2100,400+((500-400)/(2100-1600))*(X304-1600),500)))))))</f>
        <v>18.75</v>
      </c>
      <c r="AK304" s="4" t="n">
        <f aca="false">IF(Y304="","",IF(Y304&lt;=50,(50/50)*Y304,IF(Y304&lt;=100,50+((100-50)/(100-50))*(Y304-50),IF(Y304&lt;=168,100+((200-100)/(168-100))*(Y304-100),IF(Y304&lt;=208,200+((300-200)/(208-168))*(Y304-168),IF(Y304&lt;=748,300+((400-300)/(748-208))*(Y304-208),IF(Y304&lt;=1000,400+((500-400)/(1000-748))*(Y304-748),500)))))))</f>
        <v>163.235294117647</v>
      </c>
      <c r="AL304" s="4" t="n">
        <f aca="false">ROUND(MAX(AF304,AG304,AH304,AI304,AJ304,AK304),0)</f>
        <v>163</v>
      </c>
      <c r="AM304" s="4" t="str">
        <f aca="false">IF(AL304="","",IF(AL304&lt;=50,"Good",IF(AL304&lt;=100,"Satisfactory",IF(AL304&lt;=200,"Moderate",IF(AL304&lt;=300,"Poor",IF(AL304&lt;=400,"Very Poor","Severe"))))))</f>
        <v>Moderate</v>
      </c>
    </row>
    <row r="305" customFormat="false" ht="15.75" hidden="false" customHeight="false" outlineLevel="0" collapsed="false">
      <c r="A305" s="1" t="s">
        <v>39</v>
      </c>
      <c r="B305" s="1" t="s">
        <v>40</v>
      </c>
      <c r="C305" s="1" t="n">
        <v>28.4595</v>
      </c>
      <c r="D305" s="1" t="n">
        <v>77.0266</v>
      </c>
      <c r="E305" s="5" t="n">
        <v>45913</v>
      </c>
      <c r="F305" s="6" t="s">
        <v>67</v>
      </c>
      <c r="G305" s="1" t="n">
        <v>9</v>
      </c>
      <c r="H305" s="7" t="s">
        <v>86</v>
      </c>
      <c r="I305" s="6" t="s">
        <v>46</v>
      </c>
      <c r="J305" s="7" t="s">
        <v>44</v>
      </c>
      <c r="K305" s="7" t="s">
        <v>65</v>
      </c>
      <c r="L305" s="1" t="n">
        <v>56</v>
      </c>
      <c r="M305" s="1" t="n">
        <v>22.3</v>
      </c>
      <c r="N305" s="1" t="n">
        <v>24.8</v>
      </c>
      <c r="O305" s="1" t="n">
        <v>0</v>
      </c>
      <c r="P305" s="6" t="s">
        <v>43</v>
      </c>
      <c r="Q305" s="6" t="s">
        <v>43</v>
      </c>
      <c r="R305" s="1" t="n">
        <v>1004.6</v>
      </c>
      <c r="S305" s="1" t="n">
        <v>17</v>
      </c>
      <c r="T305" s="1" t="n">
        <v>28.4</v>
      </c>
      <c r="U305" s="1" t="n">
        <v>108.3</v>
      </c>
      <c r="V305" s="1" t="n">
        <v>213</v>
      </c>
      <c r="W305" s="1" t="n">
        <v>8.5</v>
      </c>
      <c r="X305" s="1" t="n">
        <v>15</v>
      </c>
      <c r="Y305" s="1" t="n">
        <v>136</v>
      </c>
      <c r="Z305" s="1" t="n">
        <v>109</v>
      </c>
      <c r="AA305" s="1" t="n">
        <v>148</v>
      </c>
      <c r="AB305" s="7" t="s">
        <v>81</v>
      </c>
      <c r="AC305" s="7" t="s">
        <v>82</v>
      </c>
      <c r="AD305" s="7" t="s">
        <v>83</v>
      </c>
      <c r="AE305" s="7" t="s">
        <v>84</v>
      </c>
      <c r="AF305" s="4" t="n">
        <f aca="false">IF(T305="","",IF(T305&lt;=30,(50/30)*T305,IF(T305&lt;=60,50+((100-50)/(60-30))*(T305-30),IF(T305&lt;=90,100+((200-100)/(90-60))*(T305-60),IF(T305&lt;=120,200+((300-200)/(120-90))*(T305-90),IF(T305&lt;=250,300+((400-300)/(250-120))*(T305-120),IF(T305&lt;=380,400+((500-400)/(380-250))*(T305-250),500)))))))</f>
        <v>47.3333333333333</v>
      </c>
      <c r="AG305" s="4" t="n">
        <f aca="false">IF(U305="","",IF(U305&lt;=50,(50/50)*U305,IF(U305&lt;=100,50+((100-50)/(100-50))*(U305-50),IF(U305&lt;=250,100+((200-100)/(250-100))*(U305-100),IF(U305&lt;=350,200+((300-200)/(350-250))*(U305-250),IF(U305&lt;=430,300+((400-300)/(430-350))*(U305-350),IF(U305&lt;=600,400+((500-400)/(600-430))*(U305-430),500)))))))</f>
        <v>105.533333333333</v>
      </c>
      <c r="AH305" s="4" t="n">
        <f aca="false">IF(V305="","",IF((V305/1000)&lt;=1,(50/1)*(V305/1000),IF((V305/1000)&lt;=2,50+((100-50)/(2-1))*(V305/1000-1),IF((V305/1000)&lt;=10,100+((200-100)/(10-2))*(V305/1000-2),IF((V305/1000)&lt;=17,200+((300-200)/(17-10))*(V305/1000-10),IF((V305/1000)&lt;=34,300+((400-300)/(34-17))*(V305/1000-17),IF((V305/1000)&lt;=57,400+((500-400)/(57-34))*(V305/1000-34),500)))))))</f>
        <v>10.65</v>
      </c>
      <c r="AI305" s="4" t="n">
        <f aca="false">IF(W305="","",IF(W305&lt;=40,(50/40)*W305,IF(W305&lt;=80,50+((100-50)/(80-40))*(W305-40),IF(W305&lt;=180,100+((200-100)/(180-80))*(W305-80),IF(W305&lt;=280,200+((300-200)/(280-180))*(W305-180),IF(W305&lt;=400,300+((400-300)/(400-280))*(W305-280),IF(W305&lt;=800,400+((500-400)/(800-400))*(W305-400),500)))))))</f>
        <v>10.625</v>
      </c>
      <c r="AJ305" s="4" t="n">
        <f aca="false">IF(X305="","",IF(X305&lt;=40,(50/40)*X305,IF(X305&lt;=80,50+((100-50)/(80-40))*(X305-40),IF(X305&lt;=380,100+((200-100)/(380-80))*(X305-80),IF(X305&lt;=800,200+((300-200)/(800-380))*(X305-380),IF(X305&lt;=1600,300+((400-300)/(1600-800))*(X305-800),IF(X305&lt;=2100,400+((500-400)/(2100-1600))*(X305-1600),500)))))))</f>
        <v>18.75</v>
      </c>
      <c r="AK305" s="4" t="n">
        <f aca="false">IF(Y305="","",IF(Y305&lt;=50,(50/50)*Y305,IF(Y305&lt;=100,50+((100-50)/(100-50))*(Y305-50),IF(Y305&lt;=168,100+((200-100)/(168-100))*(Y305-100),IF(Y305&lt;=208,200+((300-200)/(208-168))*(Y305-168),IF(Y305&lt;=748,300+((400-300)/(748-208))*(Y305-208),IF(Y305&lt;=1000,400+((500-400)/(1000-748))*(Y305-748),500)))))))</f>
        <v>152.941176470588</v>
      </c>
      <c r="AL305" s="4" t="n">
        <f aca="false">ROUND(MAX(AF305,AG305,AH305,AI305,AJ305,AK305),0)</f>
        <v>153</v>
      </c>
      <c r="AM305" s="4" t="str">
        <f aca="false">IF(AL305="","",IF(AL305&lt;=50,"Good",IF(AL305&lt;=100,"Satisfactory",IF(AL305&lt;=200,"Moderate",IF(AL305&lt;=300,"Poor",IF(AL305&lt;=400,"Very Poor","Severe"))))))</f>
        <v>Moderate</v>
      </c>
    </row>
    <row r="306" customFormat="false" ht="15.75" hidden="false" customHeight="false" outlineLevel="0" collapsed="false">
      <c r="A306" s="1" t="s">
        <v>39</v>
      </c>
      <c r="B306" s="1" t="s">
        <v>40</v>
      </c>
      <c r="C306" s="1" t="n">
        <v>28.4595</v>
      </c>
      <c r="D306" s="1" t="n">
        <v>77.0266</v>
      </c>
      <c r="E306" s="5" t="n">
        <v>45913</v>
      </c>
      <c r="F306" s="6" t="s">
        <v>68</v>
      </c>
      <c r="G306" s="1" t="n">
        <v>9</v>
      </c>
      <c r="H306" s="7" t="s">
        <v>86</v>
      </c>
      <c r="I306" s="6" t="s">
        <v>46</v>
      </c>
      <c r="J306" s="7" t="s">
        <v>44</v>
      </c>
      <c r="K306" s="7" t="s">
        <v>65</v>
      </c>
      <c r="L306" s="1" t="n">
        <v>58</v>
      </c>
      <c r="M306" s="1" t="n">
        <v>22.6</v>
      </c>
      <c r="N306" s="1" t="n">
        <v>24.1</v>
      </c>
      <c r="O306" s="1" t="n">
        <v>0</v>
      </c>
      <c r="P306" s="6" t="s">
        <v>43</v>
      </c>
      <c r="Q306" s="6" t="s">
        <v>43</v>
      </c>
      <c r="R306" s="1" t="n">
        <v>1004.2</v>
      </c>
      <c r="S306" s="1" t="n">
        <v>19</v>
      </c>
      <c r="T306" s="1" t="n">
        <v>30.4</v>
      </c>
      <c r="U306" s="1" t="n">
        <v>115.3</v>
      </c>
      <c r="V306" s="1" t="n">
        <v>263</v>
      </c>
      <c r="W306" s="1" t="n">
        <v>13.6</v>
      </c>
      <c r="X306" s="1" t="n">
        <v>15.5</v>
      </c>
      <c r="Y306" s="1" t="n">
        <v>124</v>
      </c>
      <c r="Z306" s="1" t="n">
        <v>138</v>
      </c>
      <c r="AA306" s="1" t="n">
        <v>147</v>
      </c>
      <c r="AB306" s="7" t="s">
        <v>81</v>
      </c>
      <c r="AC306" s="7" t="s">
        <v>82</v>
      </c>
      <c r="AD306" s="7" t="s">
        <v>83</v>
      </c>
      <c r="AE306" s="7" t="s">
        <v>84</v>
      </c>
      <c r="AF306" s="4" t="n">
        <f aca="false">IF(T306="","",IF(T306&lt;=30,(50/30)*T306,IF(T306&lt;=60,50+((100-50)/(60-30))*(T306-30),IF(T306&lt;=90,100+((200-100)/(90-60))*(T306-60),IF(T306&lt;=120,200+((300-200)/(120-90))*(T306-90),IF(T306&lt;=250,300+((400-300)/(250-120))*(T306-120),IF(T306&lt;=380,400+((500-400)/(380-250))*(T306-250),500)))))))</f>
        <v>50.6666666666667</v>
      </c>
      <c r="AG306" s="4" t="n">
        <f aca="false">IF(U306="","",IF(U306&lt;=50,(50/50)*U306,IF(U306&lt;=100,50+((100-50)/(100-50))*(U306-50),IF(U306&lt;=250,100+((200-100)/(250-100))*(U306-100),IF(U306&lt;=350,200+((300-200)/(350-250))*(U306-250),IF(U306&lt;=430,300+((400-300)/(430-350))*(U306-350),IF(U306&lt;=600,400+((500-400)/(600-430))*(U306-430),500)))))))</f>
        <v>110.2</v>
      </c>
      <c r="AH306" s="4" t="n">
        <f aca="false">IF(V306="","",IF((V306/1000)&lt;=1,(50/1)*(V306/1000),IF((V306/1000)&lt;=2,50+((100-50)/(2-1))*(V306/1000-1),IF((V306/1000)&lt;=10,100+((200-100)/(10-2))*(V306/1000-2),IF((V306/1000)&lt;=17,200+((300-200)/(17-10))*(V306/1000-10),IF((V306/1000)&lt;=34,300+((400-300)/(34-17))*(V306/1000-17),IF((V306/1000)&lt;=57,400+((500-400)/(57-34))*(V306/1000-34),500)))))))</f>
        <v>13.15</v>
      </c>
      <c r="AI306" s="4" t="n">
        <f aca="false">IF(W306="","",IF(W306&lt;=40,(50/40)*W306,IF(W306&lt;=80,50+((100-50)/(80-40))*(W306-40),IF(W306&lt;=180,100+((200-100)/(180-80))*(W306-80),IF(W306&lt;=280,200+((300-200)/(280-180))*(W306-180),IF(W306&lt;=400,300+((400-300)/(400-280))*(W306-280),IF(W306&lt;=800,400+((500-400)/(800-400))*(W306-400),500)))))))</f>
        <v>17</v>
      </c>
      <c r="AJ306" s="4" t="n">
        <f aca="false">IF(X306="","",IF(X306&lt;=40,(50/40)*X306,IF(X306&lt;=80,50+((100-50)/(80-40))*(X306-40),IF(X306&lt;=380,100+((200-100)/(380-80))*(X306-80),IF(X306&lt;=800,200+((300-200)/(800-380))*(X306-380),IF(X306&lt;=1600,300+((400-300)/(1600-800))*(X306-800),IF(X306&lt;=2100,400+((500-400)/(2100-1600))*(X306-1600),500)))))))</f>
        <v>19.375</v>
      </c>
      <c r="AK306" s="4" t="n">
        <f aca="false">IF(Y306="","",IF(Y306&lt;=50,(50/50)*Y306,IF(Y306&lt;=100,50+((100-50)/(100-50))*(Y306-50),IF(Y306&lt;=168,100+((200-100)/(168-100))*(Y306-100),IF(Y306&lt;=208,200+((300-200)/(208-168))*(Y306-168),IF(Y306&lt;=748,300+((400-300)/(748-208))*(Y306-208),IF(Y306&lt;=1000,400+((500-400)/(1000-748))*(Y306-748),500)))))))</f>
        <v>135.294117647059</v>
      </c>
      <c r="AL306" s="4" t="n">
        <f aca="false">ROUND(MAX(AF306,AG306,AH306,AI306,AJ306,AK306),0)</f>
        <v>135</v>
      </c>
      <c r="AM306" s="4" t="str">
        <f aca="false">IF(AL306="","",IF(AL306&lt;=50,"Good",IF(AL306&lt;=100,"Satisfactory",IF(AL306&lt;=200,"Moderate",IF(AL306&lt;=300,"Poor",IF(AL306&lt;=400,"Very Poor","Severe"))))))</f>
        <v>Moderate</v>
      </c>
    </row>
    <row r="307" customFormat="false" ht="15.75" hidden="false" customHeight="false" outlineLevel="0" collapsed="false">
      <c r="A307" s="1" t="s">
        <v>39</v>
      </c>
      <c r="B307" s="1" t="s">
        <v>40</v>
      </c>
      <c r="C307" s="1" t="n">
        <v>28.4595</v>
      </c>
      <c r="D307" s="1" t="n">
        <v>77.0266</v>
      </c>
      <c r="E307" s="5" t="n">
        <v>45913</v>
      </c>
      <c r="F307" s="6" t="s">
        <v>69</v>
      </c>
      <c r="G307" s="1" t="n">
        <v>9</v>
      </c>
      <c r="H307" s="7" t="s">
        <v>86</v>
      </c>
      <c r="I307" s="6" t="s">
        <v>46</v>
      </c>
      <c r="J307" s="7" t="s">
        <v>44</v>
      </c>
      <c r="K307" s="7" t="s">
        <v>65</v>
      </c>
      <c r="L307" s="1" t="n">
        <v>65</v>
      </c>
      <c r="M307" s="1" t="n">
        <v>23.6</v>
      </c>
      <c r="N307" s="1" t="n">
        <v>23.8</v>
      </c>
      <c r="O307" s="1" t="n">
        <v>0</v>
      </c>
      <c r="P307" s="6" t="s">
        <v>43</v>
      </c>
      <c r="Q307" s="6" t="s">
        <v>43</v>
      </c>
      <c r="R307" s="1" t="n">
        <v>1004.3</v>
      </c>
      <c r="S307" s="1" t="n">
        <v>69</v>
      </c>
      <c r="T307" s="1" t="n">
        <v>30.4</v>
      </c>
      <c r="U307" s="1" t="n">
        <v>88</v>
      </c>
      <c r="V307" s="1" t="n">
        <v>379</v>
      </c>
      <c r="W307" s="1" t="n">
        <v>22.9</v>
      </c>
      <c r="X307" s="1" t="n">
        <v>16</v>
      </c>
      <c r="Y307" s="1" t="n">
        <v>111</v>
      </c>
      <c r="Z307" s="1" t="n">
        <v>112</v>
      </c>
      <c r="AA307" s="1" t="n">
        <v>146</v>
      </c>
      <c r="AB307" s="7" t="s">
        <v>81</v>
      </c>
      <c r="AC307" s="7" t="s">
        <v>82</v>
      </c>
      <c r="AD307" s="7" t="s">
        <v>83</v>
      </c>
      <c r="AE307" s="7" t="s">
        <v>84</v>
      </c>
      <c r="AF307" s="4" t="n">
        <f aca="false">IF(T307="","",IF(T307&lt;=30,(50/30)*T307,IF(T307&lt;=60,50+((100-50)/(60-30))*(T307-30),IF(T307&lt;=90,100+((200-100)/(90-60))*(T307-60),IF(T307&lt;=120,200+((300-200)/(120-90))*(T307-90),IF(T307&lt;=250,300+((400-300)/(250-120))*(T307-120),IF(T307&lt;=380,400+((500-400)/(380-250))*(T307-250),500)))))))</f>
        <v>50.6666666666667</v>
      </c>
      <c r="AG307" s="4" t="n">
        <f aca="false">IF(U307="","",IF(U307&lt;=50,(50/50)*U307,IF(U307&lt;=100,50+((100-50)/(100-50))*(U307-50),IF(U307&lt;=250,100+((200-100)/(250-100))*(U307-100),IF(U307&lt;=350,200+((300-200)/(350-250))*(U307-250),IF(U307&lt;=430,300+((400-300)/(430-350))*(U307-350),IF(U307&lt;=600,400+((500-400)/(600-430))*(U307-430),500)))))))</f>
        <v>88</v>
      </c>
      <c r="AH307" s="4" t="n">
        <f aca="false">IF(V307="","",IF((V307/1000)&lt;=1,(50/1)*(V307/1000),IF((V307/1000)&lt;=2,50+((100-50)/(2-1))*(V307/1000-1),IF((V307/1000)&lt;=10,100+((200-100)/(10-2))*(V307/1000-2),IF((V307/1000)&lt;=17,200+((300-200)/(17-10))*(V307/1000-10),IF((V307/1000)&lt;=34,300+((400-300)/(34-17))*(V307/1000-17),IF((V307/1000)&lt;=57,400+((500-400)/(57-34))*(V307/1000-34),500)))))))</f>
        <v>18.95</v>
      </c>
      <c r="AI307" s="4" t="n">
        <f aca="false">IF(W307="","",IF(W307&lt;=40,(50/40)*W307,IF(W307&lt;=80,50+((100-50)/(80-40))*(W307-40),IF(W307&lt;=180,100+((200-100)/(180-80))*(W307-80),IF(W307&lt;=280,200+((300-200)/(280-180))*(W307-180),IF(W307&lt;=400,300+((400-300)/(400-280))*(W307-280),IF(W307&lt;=800,400+((500-400)/(800-400))*(W307-400),500)))))))</f>
        <v>28.625</v>
      </c>
      <c r="AJ307" s="4" t="n">
        <f aca="false">IF(X307="","",IF(X307&lt;=40,(50/40)*X307,IF(X307&lt;=80,50+((100-50)/(80-40))*(X307-40),IF(X307&lt;=380,100+((200-100)/(380-80))*(X307-80),IF(X307&lt;=800,200+((300-200)/(800-380))*(X307-380),IF(X307&lt;=1600,300+((400-300)/(1600-800))*(X307-800),IF(X307&lt;=2100,400+((500-400)/(2100-1600))*(X307-1600),500)))))))</f>
        <v>20</v>
      </c>
      <c r="AK307" s="4" t="n">
        <f aca="false">IF(Y307="","",IF(Y307&lt;=50,(50/50)*Y307,IF(Y307&lt;=100,50+((100-50)/(100-50))*(Y307-50),IF(Y307&lt;=168,100+((200-100)/(168-100))*(Y307-100),IF(Y307&lt;=208,200+((300-200)/(208-168))*(Y307-168),IF(Y307&lt;=748,300+((400-300)/(748-208))*(Y307-208),IF(Y307&lt;=1000,400+((500-400)/(1000-748))*(Y307-748),500)))))))</f>
        <v>116.176470588235</v>
      </c>
      <c r="AL307" s="4" t="n">
        <f aca="false">ROUND(MAX(AF307,AG307,AH307,AI307,AJ307,AK307),0)</f>
        <v>116</v>
      </c>
      <c r="AM307" s="4" t="str">
        <f aca="false">IF(AL307="","",IF(AL307&lt;=50,"Good",IF(AL307&lt;=100,"Satisfactory",IF(AL307&lt;=200,"Moderate",IF(AL307&lt;=300,"Poor",IF(AL307&lt;=400,"Very Poor","Severe"))))))</f>
        <v>Moderate</v>
      </c>
    </row>
    <row r="308" customFormat="false" ht="15.75" hidden="false" customHeight="false" outlineLevel="0" collapsed="false">
      <c r="A308" s="1" t="s">
        <v>39</v>
      </c>
      <c r="B308" s="1" t="s">
        <v>40</v>
      </c>
      <c r="C308" s="1" t="n">
        <v>28.4595</v>
      </c>
      <c r="D308" s="1" t="n">
        <v>77.0266</v>
      </c>
      <c r="E308" s="5" t="n">
        <v>45913</v>
      </c>
      <c r="F308" s="6" t="s">
        <v>70</v>
      </c>
      <c r="G308" s="1" t="n">
        <v>9</v>
      </c>
      <c r="H308" s="7" t="s">
        <v>86</v>
      </c>
      <c r="I308" s="6" t="s">
        <v>46</v>
      </c>
      <c r="J308" s="7" t="s">
        <v>44</v>
      </c>
      <c r="K308" s="7" t="s">
        <v>71</v>
      </c>
      <c r="L308" s="1" t="n">
        <v>73</v>
      </c>
      <c r="M308" s="1" t="n">
        <v>24.4</v>
      </c>
      <c r="N308" s="1" t="n">
        <v>11.5</v>
      </c>
      <c r="O308" s="1" t="n">
        <v>0</v>
      </c>
      <c r="P308" s="6" t="s">
        <v>43</v>
      </c>
      <c r="Q308" s="6" t="s">
        <v>43</v>
      </c>
      <c r="R308" s="1" t="n">
        <v>1004.9</v>
      </c>
      <c r="S308" s="1" t="n">
        <v>100</v>
      </c>
      <c r="T308" s="1" t="n">
        <v>40.9</v>
      </c>
      <c r="U308" s="1" t="n">
        <v>89.6</v>
      </c>
      <c r="V308" s="1" t="n">
        <v>630</v>
      </c>
      <c r="W308" s="1" t="n">
        <v>47.8</v>
      </c>
      <c r="X308" s="1" t="n">
        <v>20.7</v>
      </c>
      <c r="Y308" s="1" t="n">
        <v>81</v>
      </c>
      <c r="Z308" s="1" t="n">
        <v>105</v>
      </c>
      <c r="AA308" s="1" t="n">
        <v>145</v>
      </c>
      <c r="AB308" s="7" t="s">
        <v>81</v>
      </c>
      <c r="AC308" s="7" t="s">
        <v>82</v>
      </c>
      <c r="AD308" s="7" t="s">
        <v>83</v>
      </c>
      <c r="AE308" s="7" t="s">
        <v>84</v>
      </c>
      <c r="AF308" s="4" t="n">
        <f aca="false">IF(T308="","",IF(T308&lt;=30,(50/30)*T308,IF(T308&lt;=60,50+((100-50)/(60-30))*(T308-30),IF(T308&lt;=90,100+((200-100)/(90-60))*(T308-60),IF(T308&lt;=120,200+((300-200)/(120-90))*(T308-90),IF(T308&lt;=250,300+((400-300)/(250-120))*(T308-120),IF(T308&lt;=380,400+((500-400)/(380-250))*(T308-250),500)))))))</f>
        <v>68.1666666666667</v>
      </c>
      <c r="AG308" s="4" t="n">
        <f aca="false">IF(U308="","",IF(U308&lt;=50,(50/50)*U308,IF(U308&lt;=100,50+((100-50)/(100-50))*(U308-50),IF(U308&lt;=250,100+((200-100)/(250-100))*(U308-100),IF(U308&lt;=350,200+((300-200)/(350-250))*(U308-250),IF(U308&lt;=430,300+((400-300)/(430-350))*(U308-350),IF(U308&lt;=600,400+((500-400)/(600-430))*(U308-430),500)))))))</f>
        <v>89.6</v>
      </c>
      <c r="AH308" s="4" t="n">
        <f aca="false">IF(V308="","",IF((V308/1000)&lt;=1,(50/1)*(V308/1000),IF((V308/1000)&lt;=2,50+((100-50)/(2-1))*(V308/1000-1),IF((V308/1000)&lt;=10,100+((200-100)/(10-2))*(V308/1000-2),IF((V308/1000)&lt;=17,200+((300-200)/(17-10))*(V308/1000-10),IF((V308/1000)&lt;=34,300+((400-300)/(34-17))*(V308/1000-17),IF((V308/1000)&lt;=57,400+((500-400)/(57-34))*(V308/1000-34),500)))))))</f>
        <v>31.5</v>
      </c>
      <c r="AI308" s="4" t="n">
        <f aca="false">IF(W308="","",IF(W308&lt;=40,(50/40)*W308,IF(W308&lt;=80,50+((100-50)/(80-40))*(W308-40),IF(W308&lt;=180,100+((200-100)/(180-80))*(W308-80),IF(W308&lt;=280,200+((300-200)/(280-180))*(W308-180),IF(W308&lt;=400,300+((400-300)/(400-280))*(W308-280),IF(W308&lt;=800,400+((500-400)/(800-400))*(W308-400),500)))))))</f>
        <v>59.75</v>
      </c>
      <c r="AJ308" s="4" t="n">
        <f aca="false">IF(X308="","",IF(X308&lt;=40,(50/40)*X308,IF(X308&lt;=80,50+((100-50)/(80-40))*(X308-40),IF(X308&lt;=380,100+((200-100)/(380-80))*(X308-80),IF(X308&lt;=800,200+((300-200)/(800-380))*(X308-380),IF(X308&lt;=1600,300+((400-300)/(1600-800))*(X308-800),IF(X308&lt;=2100,400+((500-400)/(2100-1600))*(X308-1600),500)))))))</f>
        <v>25.875</v>
      </c>
      <c r="AK308" s="4" t="n">
        <f aca="false">IF(Y308="","",IF(Y308&lt;=50,(50/50)*Y308,IF(Y308&lt;=100,50+((100-50)/(100-50))*(Y308-50),IF(Y308&lt;=168,100+((200-100)/(168-100))*(Y308-100),IF(Y308&lt;=208,200+((300-200)/(208-168))*(Y308-168),IF(Y308&lt;=748,300+((400-300)/(748-208))*(Y308-208),IF(Y308&lt;=1000,400+((500-400)/(1000-748))*(Y308-748),500)))))))</f>
        <v>81</v>
      </c>
      <c r="AL308" s="4" t="n">
        <f aca="false">ROUND(MAX(AF308,AG308,AH308,AI308,AJ308,AK308),0)</f>
        <v>90</v>
      </c>
      <c r="AM308" s="4" t="str">
        <f aca="false">IF(AL308="","",IF(AL308&lt;=50,"Good",IF(AL308&lt;=100,"Satisfactory",IF(AL308&lt;=200,"Moderate",IF(AL308&lt;=300,"Poor",IF(AL308&lt;=400,"Very Poor","Severe"))))))</f>
        <v>Satisfactory</v>
      </c>
    </row>
    <row r="309" customFormat="false" ht="15.75" hidden="false" customHeight="false" outlineLevel="0" collapsed="false">
      <c r="A309" s="1" t="s">
        <v>39</v>
      </c>
      <c r="B309" s="1" t="s">
        <v>40</v>
      </c>
      <c r="C309" s="1" t="n">
        <v>28.4595</v>
      </c>
      <c r="D309" s="1" t="n">
        <v>77.0266</v>
      </c>
      <c r="E309" s="5" t="n">
        <v>45913</v>
      </c>
      <c r="F309" s="6" t="s">
        <v>72</v>
      </c>
      <c r="G309" s="1" t="n">
        <v>9</v>
      </c>
      <c r="H309" s="7" t="s">
        <v>86</v>
      </c>
      <c r="I309" s="6" t="s">
        <v>46</v>
      </c>
      <c r="J309" s="7" t="s">
        <v>44</v>
      </c>
      <c r="K309" s="7" t="s">
        <v>71</v>
      </c>
      <c r="L309" s="1" t="n">
        <v>78</v>
      </c>
      <c r="M309" s="1" t="n">
        <v>24.9</v>
      </c>
      <c r="N309" s="1" t="n">
        <v>7.6</v>
      </c>
      <c r="O309" s="1" t="n">
        <v>0</v>
      </c>
      <c r="P309" s="6" t="s">
        <v>43</v>
      </c>
      <c r="Q309" s="6" t="s">
        <v>43</v>
      </c>
      <c r="R309" s="1" t="n">
        <v>1005.1</v>
      </c>
      <c r="S309" s="1" t="n">
        <v>72</v>
      </c>
      <c r="T309" s="1" t="n">
        <v>55.1</v>
      </c>
      <c r="U309" s="1" t="n">
        <v>102.9</v>
      </c>
      <c r="V309" s="1" t="n">
        <v>945</v>
      </c>
      <c r="W309" s="1" t="n">
        <v>81.9</v>
      </c>
      <c r="X309" s="1" t="n">
        <v>27.3</v>
      </c>
      <c r="Y309" s="1" t="n">
        <v>39</v>
      </c>
      <c r="Z309" s="1" t="n">
        <v>96</v>
      </c>
      <c r="AA309" s="1" t="n">
        <v>144</v>
      </c>
      <c r="AB309" s="7" t="s">
        <v>81</v>
      </c>
      <c r="AC309" s="7" t="s">
        <v>82</v>
      </c>
      <c r="AD309" s="7" t="s">
        <v>83</v>
      </c>
      <c r="AE309" s="7" t="s">
        <v>84</v>
      </c>
      <c r="AF309" s="4" t="n">
        <f aca="false">IF(T309="","",IF(T309&lt;=30,(50/30)*T309,IF(T309&lt;=60,50+((100-50)/(60-30))*(T309-30),IF(T309&lt;=90,100+((200-100)/(90-60))*(T309-60),IF(T309&lt;=120,200+((300-200)/(120-90))*(T309-90),IF(T309&lt;=250,300+((400-300)/(250-120))*(T309-120),IF(T309&lt;=380,400+((500-400)/(380-250))*(T309-250),500)))))))</f>
        <v>91.8333333333333</v>
      </c>
      <c r="AG309" s="4" t="n">
        <f aca="false">IF(U309="","",IF(U309&lt;=50,(50/50)*U309,IF(U309&lt;=100,50+((100-50)/(100-50))*(U309-50),IF(U309&lt;=250,100+((200-100)/(250-100))*(U309-100),IF(U309&lt;=350,200+((300-200)/(350-250))*(U309-250),IF(U309&lt;=430,300+((400-300)/(430-350))*(U309-350),IF(U309&lt;=600,400+((500-400)/(600-430))*(U309-430),500)))))))</f>
        <v>101.933333333333</v>
      </c>
      <c r="AH309" s="4" t="n">
        <f aca="false">IF(V309="","",IF((V309/1000)&lt;=1,(50/1)*(V309/1000),IF((V309/1000)&lt;=2,50+((100-50)/(2-1))*(V309/1000-1),IF((V309/1000)&lt;=10,100+((200-100)/(10-2))*(V309/1000-2),IF((V309/1000)&lt;=17,200+((300-200)/(17-10))*(V309/1000-10),IF((V309/1000)&lt;=34,300+((400-300)/(34-17))*(V309/1000-17),IF((V309/1000)&lt;=57,400+((500-400)/(57-34))*(V309/1000-34),500)))))))</f>
        <v>47.25</v>
      </c>
      <c r="AI309" s="4" t="n">
        <f aca="false">IF(W309="","",IF(W309&lt;=40,(50/40)*W309,IF(W309&lt;=80,50+((100-50)/(80-40))*(W309-40),IF(W309&lt;=180,100+((200-100)/(180-80))*(W309-80),IF(W309&lt;=280,200+((300-200)/(280-180))*(W309-180),IF(W309&lt;=400,300+((400-300)/(400-280))*(W309-280),IF(W309&lt;=800,400+((500-400)/(800-400))*(W309-400),500)))))))</f>
        <v>101.9</v>
      </c>
      <c r="AJ309" s="4" t="n">
        <f aca="false">IF(X309="","",IF(X309&lt;=40,(50/40)*X309,IF(X309&lt;=80,50+((100-50)/(80-40))*(X309-40),IF(X309&lt;=380,100+((200-100)/(380-80))*(X309-80),IF(X309&lt;=800,200+((300-200)/(800-380))*(X309-380),IF(X309&lt;=1600,300+((400-300)/(1600-800))*(X309-800),IF(X309&lt;=2100,400+((500-400)/(2100-1600))*(X309-1600),500)))))))</f>
        <v>34.125</v>
      </c>
      <c r="AK309" s="4" t="n">
        <f aca="false">IF(Y309="","",IF(Y309&lt;=50,(50/50)*Y309,IF(Y309&lt;=100,50+((100-50)/(100-50))*(Y309-50),IF(Y309&lt;=168,100+((200-100)/(168-100))*(Y309-100),IF(Y309&lt;=208,200+((300-200)/(208-168))*(Y309-168),IF(Y309&lt;=748,300+((400-300)/(748-208))*(Y309-208),IF(Y309&lt;=1000,400+((500-400)/(1000-748))*(Y309-748),500)))))))</f>
        <v>39</v>
      </c>
      <c r="AL309" s="4" t="n">
        <f aca="false">ROUND(MAX(AF309,AG309,AH309,AI309,AJ309,AK309),0)</f>
        <v>102</v>
      </c>
      <c r="AM309" s="4" t="str">
        <f aca="false">IF(AL309="","",IF(AL309&lt;=50,"Good",IF(AL309&lt;=100,"Satisfactory",IF(AL309&lt;=200,"Moderate",IF(AL309&lt;=300,"Poor",IF(AL309&lt;=400,"Very Poor","Severe"))))))</f>
        <v>Moderate</v>
      </c>
    </row>
    <row r="310" customFormat="false" ht="15.75" hidden="false" customHeight="false" outlineLevel="0" collapsed="false">
      <c r="A310" s="1" t="s">
        <v>39</v>
      </c>
      <c r="B310" s="1" t="s">
        <v>40</v>
      </c>
      <c r="C310" s="1" t="n">
        <v>28.4595</v>
      </c>
      <c r="D310" s="1" t="n">
        <v>77.0266</v>
      </c>
      <c r="E310" s="5" t="n">
        <v>45913</v>
      </c>
      <c r="F310" s="6" t="s">
        <v>73</v>
      </c>
      <c r="G310" s="1" t="n">
        <v>9</v>
      </c>
      <c r="H310" s="7" t="s">
        <v>86</v>
      </c>
      <c r="I310" s="6" t="s">
        <v>46</v>
      </c>
      <c r="J310" s="7" t="s">
        <v>44</v>
      </c>
      <c r="K310" s="7" t="s">
        <v>71</v>
      </c>
      <c r="L310" s="1" t="n">
        <v>80</v>
      </c>
      <c r="M310" s="1" t="n">
        <v>24.7</v>
      </c>
      <c r="N310" s="1" t="n">
        <v>4.3</v>
      </c>
      <c r="O310" s="1" t="n">
        <v>0</v>
      </c>
      <c r="P310" s="6" t="s">
        <v>43</v>
      </c>
      <c r="Q310" s="6" t="s">
        <v>43</v>
      </c>
      <c r="R310" s="1" t="n">
        <v>1006</v>
      </c>
      <c r="S310" s="1" t="n">
        <v>75</v>
      </c>
      <c r="T310" s="1" t="n">
        <v>68.7</v>
      </c>
      <c r="U310" s="1" t="n">
        <v>116.2</v>
      </c>
      <c r="V310" s="1" t="n">
        <v>1158</v>
      </c>
      <c r="W310" s="1" t="n">
        <v>106.1</v>
      </c>
      <c r="X310" s="1" t="n">
        <v>32.9</v>
      </c>
      <c r="Y310" s="1" t="n">
        <v>8</v>
      </c>
      <c r="Z310" s="1" t="n">
        <v>88</v>
      </c>
      <c r="AA310" s="1" t="n">
        <v>144</v>
      </c>
      <c r="AB310" s="7" t="s">
        <v>81</v>
      </c>
      <c r="AC310" s="7" t="s">
        <v>82</v>
      </c>
      <c r="AD310" s="7" t="s">
        <v>83</v>
      </c>
      <c r="AE310" s="7" t="s">
        <v>84</v>
      </c>
      <c r="AF310" s="4" t="n">
        <f aca="false">IF(T310="","",IF(T310&lt;=30,(50/30)*T310,IF(T310&lt;=60,50+((100-50)/(60-30))*(T310-30),IF(T310&lt;=90,100+((200-100)/(90-60))*(T310-60),IF(T310&lt;=120,200+((300-200)/(120-90))*(T310-90),IF(T310&lt;=250,300+((400-300)/(250-120))*(T310-120),IF(T310&lt;=380,400+((500-400)/(380-250))*(T310-250),500)))))))</f>
        <v>129</v>
      </c>
      <c r="AG310" s="4" t="n">
        <f aca="false">IF(U310="","",IF(U310&lt;=50,(50/50)*U310,IF(U310&lt;=100,50+((100-50)/(100-50))*(U310-50),IF(U310&lt;=250,100+((200-100)/(250-100))*(U310-100),IF(U310&lt;=350,200+((300-200)/(350-250))*(U310-250),IF(U310&lt;=430,300+((400-300)/(430-350))*(U310-350),IF(U310&lt;=600,400+((500-400)/(600-430))*(U310-430),500)))))))</f>
        <v>110.8</v>
      </c>
      <c r="AH310" s="4" t="n">
        <f aca="false">IF(V310="","",IF((V310/1000)&lt;=1,(50/1)*(V310/1000),IF((V310/1000)&lt;=2,50+((100-50)/(2-1))*(V310/1000-1),IF((V310/1000)&lt;=10,100+((200-100)/(10-2))*(V310/1000-2),IF((V310/1000)&lt;=17,200+((300-200)/(17-10))*(V310/1000-10),IF((V310/1000)&lt;=34,300+((400-300)/(34-17))*(V310/1000-17),IF((V310/1000)&lt;=57,400+((500-400)/(57-34))*(V310/1000-34),500)))))))</f>
        <v>57.9</v>
      </c>
      <c r="AI310" s="4" t="n">
        <f aca="false">IF(W310="","",IF(W310&lt;=40,(50/40)*W310,IF(W310&lt;=80,50+((100-50)/(80-40))*(W310-40),IF(W310&lt;=180,100+((200-100)/(180-80))*(W310-80),IF(W310&lt;=280,200+((300-200)/(280-180))*(W310-180),IF(W310&lt;=400,300+((400-300)/(400-280))*(W310-280),IF(W310&lt;=800,400+((500-400)/(800-400))*(W310-400),500)))))))</f>
        <v>126.1</v>
      </c>
      <c r="AJ310" s="4" t="n">
        <f aca="false">IF(X310="","",IF(X310&lt;=40,(50/40)*X310,IF(X310&lt;=80,50+((100-50)/(80-40))*(X310-40),IF(X310&lt;=380,100+((200-100)/(380-80))*(X310-80),IF(X310&lt;=800,200+((300-200)/(800-380))*(X310-380),IF(X310&lt;=1600,300+((400-300)/(1600-800))*(X310-800),IF(X310&lt;=2100,400+((500-400)/(2100-1600))*(X310-1600),500)))))))</f>
        <v>41.125</v>
      </c>
      <c r="AK310" s="4" t="n">
        <f aca="false">IF(Y310="","",IF(Y310&lt;=50,(50/50)*Y310,IF(Y310&lt;=100,50+((100-50)/(100-50))*(Y310-50),IF(Y310&lt;=168,100+((200-100)/(168-100))*(Y310-100),IF(Y310&lt;=208,200+((300-200)/(208-168))*(Y310-168),IF(Y310&lt;=748,300+((400-300)/(748-208))*(Y310-208),IF(Y310&lt;=1000,400+((500-400)/(1000-748))*(Y310-748),500)))))))</f>
        <v>8</v>
      </c>
      <c r="AL310" s="4" t="n">
        <f aca="false">ROUND(MAX(AF310,AG310,AH310,AI310,AJ310,AK310),0)</f>
        <v>129</v>
      </c>
      <c r="AM310" s="4" t="str">
        <f aca="false">IF(AL310="","",IF(AL310&lt;=50,"Good",IF(AL310&lt;=100,"Satisfactory",IF(AL310&lt;=200,"Moderate",IF(AL310&lt;=300,"Poor",IF(AL310&lt;=400,"Very Poor","Severe"))))))</f>
        <v>Moderate</v>
      </c>
    </row>
    <row r="311" customFormat="false" ht="15.75" hidden="false" customHeight="false" outlineLevel="0" collapsed="false">
      <c r="A311" s="1" t="s">
        <v>39</v>
      </c>
      <c r="B311" s="1" t="s">
        <v>40</v>
      </c>
      <c r="C311" s="1" t="n">
        <v>28.4595</v>
      </c>
      <c r="D311" s="1" t="n">
        <v>77.0266</v>
      </c>
      <c r="E311" s="5" t="n">
        <v>45913</v>
      </c>
      <c r="F311" s="6" t="s">
        <v>74</v>
      </c>
      <c r="G311" s="1" t="n">
        <v>9</v>
      </c>
      <c r="H311" s="7" t="s">
        <v>86</v>
      </c>
      <c r="I311" s="6" t="s">
        <v>46</v>
      </c>
      <c r="J311" s="7" t="s">
        <v>44</v>
      </c>
      <c r="K311" s="7" t="s">
        <v>75</v>
      </c>
      <c r="L311" s="1" t="n">
        <v>83</v>
      </c>
      <c r="M311" s="1" t="n">
        <v>24.6</v>
      </c>
      <c r="N311" s="1" t="n">
        <v>3.6</v>
      </c>
      <c r="O311" s="1" t="n">
        <v>0</v>
      </c>
      <c r="P311" s="6" t="s">
        <v>43</v>
      </c>
      <c r="Q311" s="6" t="s">
        <v>43</v>
      </c>
      <c r="R311" s="1" t="n">
        <v>1006.6</v>
      </c>
      <c r="S311" s="1" t="n">
        <v>73</v>
      </c>
      <c r="T311" s="1" t="n">
        <v>82.7</v>
      </c>
      <c r="U311" s="1" t="n">
        <v>131.3</v>
      </c>
      <c r="V311" s="1" t="n">
        <v>1175</v>
      </c>
      <c r="W311" s="1" t="n">
        <v>111.1</v>
      </c>
      <c r="X311" s="1" t="n">
        <v>37</v>
      </c>
      <c r="Y311" s="1" t="n">
        <v>0</v>
      </c>
      <c r="Z311" s="1" t="n">
        <v>83</v>
      </c>
      <c r="AA311" s="1" t="n">
        <v>144</v>
      </c>
      <c r="AB311" s="7" t="s">
        <v>81</v>
      </c>
      <c r="AC311" s="7" t="s">
        <v>82</v>
      </c>
      <c r="AD311" s="7" t="s">
        <v>83</v>
      </c>
      <c r="AE311" s="7" t="s">
        <v>84</v>
      </c>
      <c r="AF311" s="4" t="n">
        <f aca="false">IF(T311="","",IF(T311&lt;=30,(50/30)*T311,IF(T311&lt;=60,50+((100-50)/(60-30))*(T311-30),IF(T311&lt;=90,100+((200-100)/(90-60))*(T311-60),IF(T311&lt;=120,200+((300-200)/(120-90))*(T311-90),IF(T311&lt;=250,300+((400-300)/(250-120))*(T311-120),IF(T311&lt;=380,400+((500-400)/(380-250))*(T311-250),500)))))))</f>
        <v>175.666666666667</v>
      </c>
      <c r="AG311" s="4" t="n">
        <f aca="false">IF(U311="","",IF(U311&lt;=50,(50/50)*U311,IF(U311&lt;=100,50+((100-50)/(100-50))*(U311-50),IF(U311&lt;=250,100+((200-100)/(250-100))*(U311-100),IF(U311&lt;=350,200+((300-200)/(350-250))*(U311-250),IF(U311&lt;=430,300+((400-300)/(430-350))*(U311-350),IF(U311&lt;=600,400+((500-400)/(600-430))*(U311-430),500)))))))</f>
        <v>120.866666666667</v>
      </c>
      <c r="AH311" s="4" t="n">
        <f aca="false">IF(V311="","",IF((V311/1000)&lt;=1,(50/1)*(V311/1000),IF((V311/1000)&lt;=2,50+((100-50)/(2-1))*(V311/1000-1),IF((V311/1000)&lt;=10,100+((200-100)/(10-2))*(V311/1000-2),IF((V311/1000)&lt;=17,200+((300-200)/(17-10))*(V311/1000-10),IF((V311/1000)&lt;=34,300+((400-300)/(34-17))*(V311/1000-17),IF((V311/1000)&lt;=57,400+((500-400)/(57-34))*(V311/1000-34),500)))))))</f>
        <v>58.75</v>
      </c>
      <c r="AI311" s="4" t="n">
        <f aca="false">IF(W311="","",IF(W311&lt;=40,(50/40)*W311,IF(W311&lt;=80,50+((100-50)/(80-40))*(W311-40),IF(W311&lt;=180,100+((200-100)/(180-80))*(W311-80),IF(W311&lt;=280,200+((300-200)/(280-180))*(W311-180),IF(W311&lt;=400,300+((400-300)/(400-280))*(W311-280),IF(W311&lt;=800,400+((500-400)/(800-400))*(W311-400),500)))))))</f>
        <v>131.1</v>
      </c>
      <c r="AJ311" s="4" t="n">
        <f aca="false">IF(X311="","",IF(X311&lt;=40,(50/40)*X311,IF(X311&lt;=80,50+((100-50)/(80-40))*(X311-40),IF(X311&lt;=380,100+((200-100)/(380-80))*(X311-80),IF(X311&lt;=800,200+((300-200)/(800-380))*(X311-380),IF(X311&lt;=1600,300+((400-300)/(1600-800))*(X311-800),IF(X311&lt;=2100,400+((500-400)/(2100-1600))*(X311-1600),500)))))))</f>
        <v>46.25</v>
      </c>
      <c r="AK311" s="4" t="n">
        <f aca="false">IF(Y311="","",IF(Y311&lt;=50,(50/50)*Y311,IF(Y311&lt;=100,50+((100-50)/(100-50))*(Y311-50),IF(Y311&lt;=168,100+((200-100)/(168-100))*(Y311-100),IF(Y311&lt;=208,200+((300-200)/(208-168))*(Y311-168),IF(Y311&lt;=748,300+((400-300)/(748-208))*(Y311-208),IF(Y311&lt;=1000,400+((500-400)/(1000-748))*(Y311-748),500)))))))</f>
        <v>0</v>
      </c>
      <c r="AL311" s="4" t="n">
        <f aca="false">ROUND(MAX(AF311,AG311,AH311,AI311,AJ311,AK311),0)</f>
        <v>176</v>
      </c>
      <c r="AM311" s="4" t="str">
        <f aca="false">IF(AL311="","",IF(AL311&lt;=50,"Good",IF(AL311&lt;=100,"Satisfactory",IF(AL311&lt;=200,"Moderate",IF(AL311&lt;=300,"Poor",IF(AL311&lt;=400,"Very Poor","Severe"))))))</f>
        <v>Moderate</v>
      </c>
    </row>
    <row r="312" customFormat="false" ht="15.75" hidden="false" customHeight="false" outlineLevel="0" collapsed="false">
      <c r="A312" s="1" t="s">
        <v>39</v>
      </c>
      <c r="B312" s="1" t="s">
        <v>40</v>
      </c>
      <c r="C312" s="1" t="n">
        <v>28.4595</v>
      </c>
      <c r="D312" s="1" t="n">
        <v>77.0266</v>
      </c>
      <c r="E312" s="5" t="n">
        <v>45913</v>
      </c>
      <c r="F312" s="6" t="s">
        <v>76</v>
      </c>
      <c r="G312" s="1" t="n">
        <v>9</v>
      </c>
      <c r="H312" s="7" t="s">
        <v>86</v>
      </c>
      <c r="I312" s="6" t="s">
        <v>46</v>
      </c>
      <c r="J312" s="7" t="s">
        <v>44</v>
      </c>
      <c r="K312" s="7" t="s">
        <v>75</v>
      </c>
      <c r="L312" s="1" t="n">
        <v>83</v>
      </c>
      <c r="M312" s="1" t="n">
        <v>24.4</v>
      </c>
      <c r="N312" s="1" t="n">
        <v>4</v>
      </c>
      <c r="O312" s="1" t="n">
        <v>0</v>
      </c>
      <c r="P312" s="6" t="s">
        <v>43</v>
      </c>
      <c r="Q312" s="6" t="s">
        <v>43</v>
      </c>
      <c r="R312" s="1" t="n">
        <v>1006.6</v>
      </c>
      <c r="S312" s="1" t="n">
        <v>98</v>
      </c>
      <c r="T312" s="1" t="n">
        <v>95.2</v>
      </c>
      <c r="U312" s="1" t="n">
        <v>142.5</v>
      </c>
      <c r="V312" s="1" t="n">
        <v>1089</v>
      </c>
      <c r="W312" s="1" t="n">
        <v>106.1</v>
      </c>
      <c r="X312" s="1" t="n">
        <v>40.1</v>
      </c>
      <c r="Y312" s="1" t="n">
        <v>0</v>
      </c>
      <c r="Z312" s="1" t="n">
        <v>79</v>
      </c>
      <c r="AA312" s="1" t="n">
        <v>145</v>
      </c>
      <c r="AB312" s="7" t="s">
        <v>81</v>
      </c>
      <c r="AC312" s="7" t="s">
        <v>82</v>
      </c>
      <c r="AD312" s="7" t="s">
        <v>83</v>
      </c>
      <c r="AE312" s="7" t="s">
        <v>84</v>
      </c>
      <c r="AF312" s="4" t="n">
        <f aca="false">IF(T312="","",IF(T312&lt;=30,(50/30)*T312,IF(T312&lt;=60,50+((100-50)/(60-30))*(T312-30),IF(T312&lt;=90,100+((200-100)/(90-60))*(T312-60),IF(T312&lt;=120,200+((300-200)/(120-90))*(T312-90),IF(T312&lt;=250,300+((400-300)/(250-120))*(T312-120),IF(T312&lt;=380,400+((500-400)/(380-250))*(T312-250),500)))))))</f>
        <v>217.333333333333</v>
      </c>
      <c r="AG312" s="4" t="n">
        <f aca="false">IF(U312="","",IF(U312&lt;=50,(50/50)*U312,IF(U312&lt;=100,50+((100-50)/(100-50))*(U312-50),IF(U312&lt;=250,100+((200-100)/(250-100))*(U312-100),IF(U312&lt;=350,200+((300-200)/(350-250))*(U312-250),IF(U312&lt;=430,300+((400-300)/(430-350))*(U312-350),IF(U312&lt;=600,400+((500-400)/(600-430))*(U312-430),500)))))))</f>
        <v>128.333333333333</v>
      </c>
      <c r="AH312" s="4" t="n">
        <f aca="false">IF(V312="","",IF((V312/1000)&lt;=1,(50/1)*(V312/1000),IF((V312/1000)&lt;=2,50+((100-50)/(2-1))*(V312/1000-1),IF((V312/1000)&lt;=10,100+((200-100)/(10-2))*(V312/1000-2),IF((V312/1000)&lt;=17,200+((300-200)/(17-10))*(V312/1000-10),IF((V312/1000)&lt;=34,300+((400-300)/(34-17))*(V312/1000-17),IF((V312/1000)&lt;=57,400+((500-400)/(57-34))*(V312/1000-34),500)))))))</f>
        <v>54.45</v>
      </c>
      <c r="AI312" s="4" t="n">
        <f aca="false">IF(W312="","",IF(W312&lt;=40,(50/40)*W312,IF(W312&lt;=80,50+((100-50)/(80-40))*(W312-40),IF(W312&lt;=180,100+((200-100)/(180-80))*(W312-80),IF(W312&lt;=280,200+((300-200)/(280-180))*(W312-180),IF(W312&lt;=400,300+((400-300)/(400-280))*(W312-280),IF(W312&lt;=800,400+((500-400)/(800-400))*(W312-400),500)))))))</f>
        <v>126.1</v>
      </c>
      <c r="AJ312" s="4" t="n">
        <f aca="false">IF(X312="","",IF(X312&lt;=40,(50/40)*X312,IF(X312&lt;=80,50+((100-50)/(80-40))*(X312-40),IF(X312&lt;=380,100+((200-100)/(380-80))*(X312-80),IF(X312&lt;=800,200+((300-200)/(800-380))*(X312-380),IF(X312&lt;=1600,300+((400-300)/(1600-800))*(X312-800),IF(X312&lt;=2100,400+((500-400)/(2100-1600))*(X312-1600),500)))))))</f>
        <v>50.125</v>
      </c>
      <c r="AK312" s="4" t="n">
        <f aca="false">IF(Y312="","",IF(Y312&lt;=50,(50/50)*Y312,IF(Y312&lt;=100,50+((100-50)/(100-50))*(Y312-50),IF(Y312&lt;=168,100+((200-100)/(168-100))*(Y312-100),IF(Y312&lt;=208,200+((300-200)/(208-168))*(Y312-168),IF(Y312&lt;=748,300+((400-300)/(748-208))*(Y312-208),IF(Y312&lt;=1000,400+((500-400)/(1000-748))*(Y312-748),500)))))))</f>
        <v>0</v>
      </c>
      <c r="AL312" s="4" t="n">
        <f aca="false">ROUND(MAX(AF312,AG312,AH312,AI312,AJ312,AK312),0)</f>
        <v>217</v>
      </c>
      <c r="AM312" s="4" t="str">
        <f aca="false">IF(AL312="","",IF(AL312&lt;=50,"Good",IF(AL312&lt;=100,"Satisfactory",IF(AL312&lt;=200,"Moderate",IF(AL312&lt;=300,"Poor",IF(AL312&lt;=400,"Very Poor","Severe"))))))</f>
        <v>Poor</v>
      </c>
    </row>
    <row r="313" customFormat="false" ht="15.75" hidden="false" customHeight="false" outlineLevel="0" collapsed="false">
      <c r="A313" s="1" t="s">
        <v>39</v>
      </c>
      <c r="B313" s="1" t="s">
        <v>40</v>
      </c>
      <c r="C313" s="1" t="n">
        <v>28.4595</v>
      </c>
      <c r="D313" s="1" t="n">
        <v>77.0266</v>
      </c>
      <c r="E313" s="5" t="n">
        <v>45913</v>
      </c>
      <c r="F313" s="6" t="s">
        <v>77</v>
      </c>
      <c r="G313" s="1" t="n">
        <v>9</v>
      </c>
      <c r="H313" s="7" t="s">
        <v>86</v>
      </c>
      <c r="I313" s="6" t="s">
        <v>46</v>
      </c>
      <c r="J313" s="7" t="s">
        <v>44</v>
      </c>
      <c r="K313" s="7" t="s">
        <v>75</v>
      </c>
      <c r="L313" s="1" t="n">
        <v>82</v>
      </c>
      <c r="M313" s="1" t="n">
        <v>24.1</v>
      </c>
      <c r="N313" s="1" t="n">
        <v>3.6</v>
      </c>
      <c r="O313" s="1" t="n">
        <v>0</v>
      </c>
      <c r="P313" s="6" t="s">
        <v>43</v>
      </c>
      <c r="Q313" s="6" t="s">
        <v>43</v>
      </c>
      <c r="R313" s="1" t="n">
        <v>1006.6</v>
      </c>
      <c r="S313" s="1" t="n">
        <v>80</v>
      </c>
      <c r="T313" s="1" t="n">
        <v>99</v>
      </c>
      <c r="U313" s="1" t="n">
        <v>141.1</v>
      </c>
      <c r="V313" s="1" t="n">
        <v>1007</v>
      </c>
      <c r="W313" s="1" t="n">
        <v>99.9</v>
      </c>
      <c r="X313" s="1" t="n">
        <v>41.5</v>
      </c>
      <c r="Y313" s="1" t="n">
        <v>0</v>
      </c>
      <c r="Z313" s="1" t="n">
        <v>76</v>
      </c>
      <c r="AA313" s="1" t="n">
        <v>145</v>
      </c>
      <c r="AB313" s="7" t="s">
        <v>81</v>
      </c>
      <c r="AC313" s="7" t="s">
        <v>82</v>
      </c>
      <c r="AD313" s="7" t="s">
        <v>83</v>
      </c>
      <c r="AE313" s="7" t="s">
        <v>84</v>
      </c>
      <c r="AF313" s="4" t="n">
        <f aca="false">IF(T313="","",IF(T313&lt;=30,(50/30)*T313,IF(T313&lt;=60,50+((100-50)/(60-30))*(T313-30),IF(T313&lt;=90,100+((200-100)/(90-60))*(T313-60),IF(T313&lt;=120,200+((300-200)/(120-90))*(T313-90),IF(T313&lt;=250,300+((400-300)/(250-120))*(T313-120),IF(T313&lt;=380,400+((500-400)/(380-250))*(T313-250),500)))))))</f>
        <v>230</v>
      </c>
      <c r="AG313" s="4" t="n">
        <f aca="false">IF(U313="","",IF(U313&lt;=50,(50/50)*U313,IF(U313&lt;=100,50+((100-50)/(100-50))*(U313-50),IF(U313&lt;=250,100+((200-100)/(250-100))*(U313-100),IF(U313&lt;=350,200+((300-200)/(350-250))*(U313-250),IF(U313&lt;=430,300+((400-300)/(430-350))*(U313-350),IF(U313&lt;=600,400+((500-400)/(600-430))*(U313-430),500)))))))</f>
        <v>127.4</v>
      </c>
      <c r="AH313" s="4" t="n">
        <f aca="false">IF(V313="","",IF((V313/1000)&lt;=1,(50/1)*(V313/1000),IF((V313/1000)&lt;=2,50+((100-50)/(2-1))*(V313/1000-1),IF((V313/1000)&lt;=10,100+((200-100)/(10-2))*(V313/1000-2),IF((V313/1000)&lt;=17,200+((300-200)/(17-10))*(V313/1000-10),IF((V313/1000)&lt;=34,300+((400-300)/(34-17))*(V313/1000-17),IF((V313/1000)&lt;=57,400+((500-400)/(57-34))*(V313/1000-34),500)))))))</f>
        <v>50.35</v>
      </c>
      <c r="AI313" s="4" t="n">
        <f aca="false">IF(W313="","",IF(W313&lt;=40,(50/40)*W313,IF(W313&lt;=80,50+((100-50)/(80-40))*(W313-40),IF(W313&lt;=180,100+((200-100)/(180-80))*(W313-80),IF(W313&lt;=280,200+((300-200)/(280-180))*(W313-180),IF(W313&lt;=400,300+((400-300)/(400-280))*(W313-280),IF(W313&lt;=800,400+((500-400)/(800-400))*(W313-400),500)))))))</f>
        <v>119.9</v>
      </c>
      <c r="AJ313" s="4" t="n">
        <f aca="false">IF(X313="","",IF(X313&lt;=40,(50/40)*X313,IF(X313&lt;=80,50+((100-50)/(80-40))*(X313-40),IF(X313&lt;=380,100+((200-100)/(380-80))*(X313-80),IF(X313&lt;=800,200+((300-200)/(800-380))*(X313-380),IF(X313&lt;=1600,300+((400-300)/(1600-800))*(X313-800),IF(X313&lt;=2100,400+((500-400)/(2100-1600))*(X313-1600),500)))))))</f>
        <v>51.875</v>
      </c>
      <c r="AK313" s="4" t="n">
        <f aca="false">IF(Y313="","",IF(Y313&lt;=50,(50/50)*Y313,IF(Y313&lt;=100,50+((100-50)/(100-50))*(Y313-50),IF(Y313&lt;=168,100+((200-100)/(168-100))*(Y313-100),IF(Y313&lt;=208,200+((300-200)/(208-168))*(Y313-168),IF(Y313&lt;=748,300+((400-300)/(748-208))*(Y313-208),IF(Y313&lt;=1000,400+((500-400)/(1000-748))*(Y313-748),500)))))))</f>
        <v>0</v>
      </c>
      <c r="AL313" s="4" t="n">
        <f aca="false">ROUND(MAX(AF313,AG313,AH313,AI313,AJ313,AK313),0)</f>
        <v>230</v>
      </c>
      <c r="AM313" s="4" t="str">
        <f aca="false">IF(AL313="","",IF(AL313&lt;=50,"Good",IF(AL313&lt;=100,"Satisfactory",IF(AL313&lt;=200,"Moderate",IF(AL313&lt;=300,"Poor",IF(AL313&lt;=400,"Very Poor","Severe"))))))</f>
        <v>Poor</v>
      </c>
    </row>
    <row r="314" customFormat="false" ht="15.75" hidden="false" customHeight="false" outlineLevel="0" collapsed="false">
      <c r="A314" s="1" t="s">
        <v>39</v>
      </c>
      <c r="B314" s="1" t="s">
        <v>40</v>
      </c>
      <c r="C314" s="1" t="n">
        <v>28.4595</v>
      </c>
      <c r="D314" s="1" t="n">
        <v>77.0266</v>
      </c>
      <c r="E314" s="5" t="n">
        <v>45914</v>
      </c>
      <c r="F314" s="6" t="s">
        <v>41</v>
      </c>
      <c r="G314" s="1" t="n">
        <v>9</v>
      </c>
      <c r="H314" s="7" t="s">
        <v>87</v>
      </c>
      <c r="I314" s="6" t="s">
        <v>46</v>
      </c>
      <c r="J314" s="7" t="s">
        <v>44</v>
      </c>
      <c r="K314" s="7" t="s">
        <v>45</v>
      </c>
      <c r="L314" s="1" t="n">
        <v>83</v>
      </c>
      <c r="M314" s="1" t="n">
        <v>23.7</v>
      </c>
      <c r="N314" s="1" t="n">
        <v>5</v>
      </c>
      <c r="O314" s="1" t="n">
        <v>0</v>
      </c>
      <c r="P314" s="6" t="s">
        <v>43</v>
      </c>
      <c r="Q314" s="6" t="s">
        <v>43</v>
      </c>
      <c r="R314" s="1" t="n">
        <v>1006.5</v>
      </c>
      <c r="S314" s="1" t="n">
        <v>5</v>
      </c>
      <c r="T314" s="1" t="n">
        <v>94.5</v>
      </c>
      <c r="U314" s="1" t="n">
        <v>136</v>
      </c>
      <c r="V314" s="1" t="n">
        <v>969</v>
      </c>
      <c r="W314" s="1" t="n">
        <v>94.9</v>
      </c>
      <c r="X314" s="1" t="n">
        <v>40.2</v>
      </c>
      <c r="Y314" s="1" t="n">
        <v>0</v>
      </c>
      <c r="Z314" s="1" t="n">
        <v>75</v>
      </c>
      <c r="AA314" s="1" t="n">
        <v>145</v>
      </c>
      <c r="AB314" s="7" t="s">
        <v>81</v>
      </c>
      <c r="AC314" s="7" t="s">
        <v>82</v>
      </c>
      <c r="AD314" s="7" t="s">
        <v>83</v>
      </c>
      <c r="AE314" s="7" t="s">
        <v>84</v>
      </c>
      <c r="AF314" s="4" t="n">
        <f aca="false">IF(T314="","",IF(T314&lt;=30,(50/30)*T314,IF(T314&lt;=60,50+((100-50)/(60-30))*(T314-30),IF(T314&lt;=90,100+((200-100)/(90-60))*(T314-60),IF(T314&lt;=120,200+((300-200)/(120-90))*(T314-90),IF(T314&lt;=250,300+((400-300)/(250-120))*(T314-120),IF(T314&lt;=380,400+((500-400)/(380-250))*(T314-250),500)))))))</f>
        <v>215</v>
      </c>
      <c r="AG314" s="4" t="n">
        <f aca="false">IF(U314="","",IF(U314&lt;=50,(50/50)*U314,IF(U314&lt;=100,50+((100-50)/(100-50))*(U314-50),IF(U314&lt;=250,100+((200-100)/(250-100))*(U314-100),IF(U314&lt;=350,200+((300-200)/(350-250))*(U314-250),IF(U314&lt;=430,300+((400-300)/(430-350))*(U314-350),IF(U314&lt;=600,400+((500-400)/(600-430))*(U314-430),500)))))))</f>
        <v>124</v>
      </c>
      <c r="AH314" s="4" t="n">
        <f aca="false">IF(V314="","",IF((V314/1000)&lt;=1,(50/1)*(V314/1000),IF((V314/1000)&lt;=2,50+((100-50)/(2-1))*(V314/1000-1),IF((V314/1000)&lt;=10,100+((200-100)/(10-2))*(V314/1000-2),IF((V314/1000)&lt;=17,200+((300-200)/(17-10))*(V314/1000-10),IF((V314/1000)&lt;=34,300+((400-300)/(34-17))*(V314/1000-17),IF((V314/1000)&lt;=57,400+((500-400)/(57-34))*(V314/1000-34),500)))))))</f>
        <v>48.45</v>
      </c>
      <c r="AI314" s="4" t="n">
        <f aca="false">IF(W314="","",IF(W314&lt;=40,(50/40)*W314,IF(W314&lt;=80,50+((100-50)/(80-40))*(W314-40),IF(W314&lt;=180,100+((200-100)/(180-80))*(W314-80),IF(W314&lt;=280,200+((300-200)/(280-180))*(W314-180),IF(W314&lt;=400,300+((400-300)/(400-280))*(W314-280),IF(W314&lt;=800,400+((500-400)/(800-400))*(W314-400),500)))))))</f>
        <v>114.9</v>
      </c>
      <c r="AJ314" s="4" t="n">
        <f aca="false">IF(X314="","",IF(X314&lt;=40,(50/40)*X314,IF(X314&lt;=80,50+((100-50)/(80-40))*(X314-40),IF(X314&lt;=380,100+((200-100)/(380-80))*(X314-80),IF(X314&lt;=800,200+((300-200)/(800-380))*(X314-380),IF(X314&lt;=1600,300+((400-300)/(1600-800))*(X314-800),IF(X314&lt;=2100,400+((500-400)/(2100-1600))*(X314-1600),500)))))))</f>
        <v>50.25</v>
      </c>
      <c r="AK314" s="4" t="n">
        <f aca="false">IF(Y314="","",IF(Y314&lt;=50,(50/50)*Y314,IF(Y314&lt;=100,50+((100-50)/(100-50))*(Y314-50),IF(Y314&lt;=168,100+((200-100)/(168-100))*(Y314-100),IF(Y314&lt;=208,200+((300-200)/(208-168))*(Y314-168),IF(Y314&lt;=748,300+((400-300)/(748-208))*(Y314-208),IF(Y314&lt;=1000,400+((500-400)/(1000-748))*(Y314-748),500)))))))</f>
        <v>0</v>
      </c>
      <c r="AL314" s="4" t="n">
        <f aca="false">ROUND(MAX(AF314,AG314,AH314,AI314,AJ314,AK314),0)</f>
        <v>215</v>
      </c>
      <c r="AM314" s="4" t="str">
        <f aca="false">IF(AL314="","",IF(AL314&lt;=50,"Good",IF(AL314&lt;=100,"Satisfactory",IF(AL314&lt;=200,"Moderate",IF(AL314&lt;=300,"Poor",IF(AL314&lt;=400,"Very Poor","Severe"))))))</f>
        <v>Poor</v>
      </c>
    </row>
    <row r="315" customFormat="false" ht="15.75" hidden="false" customHeight="false" outlineLevel="0" collapsed="false">
      <c r="A315" s="1" t="s">
        <v>39</v>
      </c>
      <c r="B315" s="1" t="s">
        <v>40</v>
      </c>
      <c r="C315" s="1" t="n">
        <v>28.4595</v>
      </c>
      <c r="D315" s="1" t="n">
        <v>77.0266</v>
      </c>
      <c r="E315" s="5" t="n">
        <v>45914</v>
      </c>
      <c r="F315" s="6" t="s">
        <v>49</v>
      </c>
      <c r="G315" s="1" t="n">
        <v>9</v>
      </c>
      <c r="H315" s="7" t="s">
        <v>87</v>
      </c>
      <c r="I315" s="6" t="s">
        <v>46</v>
      </c>
      <c r="J315" s="7" t="s">
        <v>44</v>
      </c>
      <c r="K315" s="7" t="s">
        <v>45</v>
      </c>
      <c r="L315" s="1" t="n">
        <v>85</v>
      </c>
      <c r="M315" s="1" t="n">
        <v>23.5</v>
      </c>
      <c r="N315" s="1" t="n">
        <v>8.3</v>
      </c>
      <c r="O315" s="1" t="n">
        <v>0</v>
      </c>
      <c r="P315" s="6" t="s">
        <v>43</v>
      </c>
      <c r="Q315" s="6" t="s">
        <v>43</v>
      </c>
      <c r="R315" s="1" t="n">
        <v>1006.5</v>
      </c>
      <c r="S315" s="1" t="n">
        <v>5</v>
      </c>
      <c r="T315" s="1" t="n">
        <v>94.1</v>
      </c>
      <c r="U315" s="1" t="n">
        <v>135.5</v>
      </c>
      <c r="V315" s="1" t="n">
        <v>936</v>
      </c>
      <c r="W315" s="1" t="n">
        <v>88.7</v>
      </c>
      <c r="X315" s="1" t="n">
        <v>37.1</v>
      </c>
      <c r="Y315" s="1" t="n">
        <v>0</v>
      </c>
      <c r="Z315" s="1" t="n">
        <v>75</v>
      </c>
      <c r="AA315" s="1" t="n">
        <v>145</v>
      </c>
      <c r="AB315" s="7" t="s">
        <v>81</v>
      </c>
      <c r="AC315" s="7" t="s">
        <v>82</v>
      </c>
      <c r="AD315" s="7" t="s">
        <v>83</v>
      </c>
      <c r="AE315" s="7" t="s">
        <v>84</v>
      </c>
      <c r="AF315" s="4" t="n">
        <f aca="false">IF(T315="","",IF(T315&lt;=30,(50/30)*T315,IF(T315&lt;=60,50+((100-50)/(60-30))*(T315-30),IF(T315&lt;=90,100+((200-100)/(90-60))*(T315-60),IF(T315&lt;=120,200+((300-200)/(120-90))*(T315-90),IF(T315&lt;=250,300+((400-300)/(250-120))*(T315-120),IF(T315&lt;=380,400+((500-400)/(380-250))*(T315-250),500)))))))</f>
        <v>213.666666666667</v>
      </c>
      <c r="AG315" s="4" t="n">
        <f aca="false">IF(U315="","",IF(U315&lt;=50,(50/50)*U315,IF(U315&lt;=100,50+((100-50)/(100-50))*(U315-50),IF(U315&lt;=250,100+((200-100)/(250-100))*(U315-100),IF(U315&lt;=350,200+((300-200)/(350-250))*(U315-250),IF(U315&lt;=430,300+((400-300)/(430-350))*(U315-350),IF(U315&lt;=600,400+((500-400)/(600-430))*(U315-430),500)))))))</f>
        <v>123.666666666667</v>
      </c>
      <c r="AH315" s="4" t="n">
        <f aca="false">IF(V315="","",IF((V315/1000)&lt;=1,(50/1)*(V315/1000),IF((V315/1000)&lt;=2,50+((100-50)/(2-1))*(V315/1000-1),IF((V315/1000)&lt;=10,100+((200-100)/(10-2))*(V315/1000-2),IF((V315/1000)&lt;=17,200+((300-200)/(17-10))*(V315/1000-10),IF((V315/1000)&lt;=34,300+((400-300)/(34-17))*(V315/1000-17),IF((V315/1000)&lt;=57,400+((500-400)/(57-34))*(V315/1000-34),500)))))))</f>
        <v>46.8</v>
      </c>
      <c r="AI315" s="4" t="n">
        <f aca="false">IF(W315="","",IF(W315&lt;=40,(50/40)*W315,IF(W315&lt;=80,50+((100-50)/(80-40))*(W315-40),IF(W315&lt;=180,100+((200-100)/(180-80))*(W315-80),IF(W315&lt;=280,200+((300-200)/(280-180))*(W315-180),IF(W315&lt;=400,300+((400-300)/(400-280))*(W315-280),IF(W315&lt;=800,400+((500-400)/(800-400))*(W315-400),500)))))))</f>
        <v>108.7</v>
      </c>
      <c r="AJ315" s="4" t="n">
        <f aca="false">IF(X315="","",IF(X315&lt;=40,(50/40)*X315,IF(X315&lt;=80,50+((100-50)/(80-40))*(X315-40),IF(X315&lt;=380,100+((200-100)/(380-80))*(X315-80),IF(X315&lt;=800,200+((300-200)/(800-380))*(X315-380),IF(X315&lt;=1600,300+((400-300)/(1600-800))*(X315-800),IF(X315&lt;=2100,400+((500-400)/(2100-1600))*(X315-1600),500)))))))</f>
        <v>46.375</v>
      </c>
      <c r="AK315" s="4" t="n">
        <f aca="false">IF(Y315="","",IF(Y315&lt;=50,(50/50)*Y315,IF(Y315&lt;=100,50+((100-50)/(100-50))*(Y315-50),IF(Y315&lt;=168,100+((200-100)/(168-100))*(Y315-100),IF(Y315&lt;=208,200+((300-200)/(208-168))*(Y315-168),IF(Y315&lt;=748,300+((400-300)/(748-208))*(Y315-208),IF(Y315&lt;=1000,400+((500-400)/(1000-748))*(Y315-748),500)))))))</f>
        <v>0</v>
      </c>
      <c r="AL315" s="4" t="n">
        <f aca="false">ROUND(MAX(AF315,AG315,AH315,AI315,AJ315,AK315),0)</f>
        <v>214</v>
      </c>
      <c r="AM315" s="4" t="str">
        <f aca="false">IF(AL315="","",IF(AL315&lt;=50,"Good",IF(AL315&lt;=100,"Satisfactory",IF(AL315&lt;=200,"Moderate",IF(AL315&lt;=300,"Poor",IF(AL315&lt;=400,"Very Poor","Severe"))))))</f>
        <v>Poor</v>
      </c>
    </row>
    <row r="316" customFormat="false" ht="15.75" hidden="false" customHeight="false" outlineLevel="0" collapsed="false">
      <c r="A316" s="1" t="s">
        <v>39</v>
      </c>
      <c r="B316" s="1" t="s">
        <v>40</v>
      </c>
      <c r="C316" s="1" t="n">
        <v>28.4595</v>
      </c>
      <c r="D316" s="1" t="n">
        <v>77.0266</v>
      </c>
      <c r="E316" s="5" t="n">
        <v>45914</v>
      </c>
      <c r="F316" s="6" t="s">
        <v>51</v>
      </c>
      <c r="G316" s="1" t="n">
        <v>9</v>
      </c>
      <c r="H316" s="7" t="s">
        <v>87</v>
      </c>
      <c r="I316" s="6" t="s">
        <v>46</v>
      </c>
      <c r="J316" s="7" t="s">
        <v>44</v>
      </c>
      <c r="K316" s="7" t="s">
        <v>45</v>
      </c>
      <c r="L316" s="1" t="n">
        <v>87</v>
      </c>
      <c r="M316" s="1" t="n">
        <v>23.5</v>
      </c>
      <c r="N316" s="1" t="n">
        <v>8.3</v>
      </c>
      <c r="O316" s="1" t="n">
        <v>0</v>
      </c>
      <c r="P316" s="6" t="s">
        <v>43</v>
      </c>
      <c r="Q316" s="6" t="s">
        <v>43</v>
      </c>
      <c r="R316" s="1" t="n">
        <v>1006.3</v>
      </c>
      <c r="S316" s="1" t="n">
        <v>4</v>
      </c>
      <c r="T316" s="1" t="n">
        <v>92.2</v>
      </c>
      <c r="U316" s="1" t="n">
        <v>133.2</v>
      </c>
      <c r="V316" s="1" t="n">
        <v>888</v>
      </c>
      <c r="W316" s="1" t="n">
        <v>82.8</v>
      </c>
      <c r="X316" s="1" t="n">
        <v>33.9</v>
      </c>
      <c r="Y316" s="1" t="n">
        <v>0</v>
      </c>
      <c r="Z316" s="1" t="n">
        <v>74</v>
      </c>
      <c r="AA316" s="1" t="n">
        <v>145</v>
      </c>
      <c r="AB316" s="7" t="s">
        <v>81</v>
      </c>
      <c r="AC316" s="7" t="s">
        <v>82</v>
      </c>
      <c r="AD316" s="7" t="s">
        <v>83</v>
      </c>
      <c r="AE316" s="7" t="s">
        <v>84</v>
      </c>
      <c r="AF316" s="4" t="n">
        <f aca="false">IF(T316="","",IF(T316&lt;=30,(50/30)*T316,IF(T316&lt;=60,50+((100-50)/(60-30))*(T316-30),IF(T316&lt;=90,100+((200-100)/(90-60))*(T316-60),IF(T316&lt;=120,200+((300-200)/(120-90))*(T316-90),IF(T316&lt;=250,300+((400-300)/(250-120))*(T316-120),IF(T316&lt;=380,400+((500-400)/(380-250))*(T316-250),500)))))))</f>
        <v>207.333333333333</v>
      </c>
      <c r="AG316" s="4" t="n">
        <f aca="false">IF(U316="","",IF(U316&lt;=50,(50/50)*U316,IF(U316&lt;=100,50+((100-50)/(100-50))*(U316-50),IF(U316&lt;=250,100+((200-100)/(250-100))*(U316-100),IF(U316&lt;=350,200+((300-200)/(350-250))*(U316-250),IF(U316&lt;=430,300+((400-300)/(430-350))*(U316-350),IF(U316&lt;=600,400+((500-400)/(600-430))*(U316-430),500)))))))</f>
        <v>122.133333333333</v>
      </c>
      <c r="AH316" s="4" t="n">
        <f aca="false">IF(V316="","",IF((V316/1000)&lt;=1,(50/1)*(V316/1000),IF((V316/1000)&lt;=2,50+((100-50)/(2-1))*(V316/1000-1),IF((V316/1000)&lt;=10,100+((200-100)/(10-2))*(V316/1000-2),IF((V316/1000)&lt;=17,200+((300-200)/(17-10))*(V316/1000-10),IF((V316/1000)&lt;=34,300+((400-300)/(34-17))*(V316/1000-17),IF((V316/1000)&lt;=57,400+((500-400)/(57-34))*(V316/1000-34),500)))))))</f>
        <v>44.4</v>
      </c>
      <c r="AI316" s="4" t="n">
        <f aca="false">IF(W316="","",IF(W316&lt;=40,(50/40)*W316,IF(W316&lt;=80,50+((100-50)/(80-40))*(W316-40),IF(W316&lt;=180,100+((200-100)/(180-80))*(W316-80),IF(W316&lt;=280,200+((300-200)/(280-180))*(W316-180),IF(W316&lt;=400,300+((400-300)/(400-280))*(W316-280),IF(W316&lt;=800,400+((500-400)/(800-400))*(W316-400),500)))))))</f>
        <v>102.8</v>
      </c>
      <c r="AJ316" s="4" t="n">
        <f aca="false">IF(X316="","",IF(X316&lt;=40,(50/40)*X316,IF(X316&lt;=80,50+((100-50)/(80-40))*(X316-40),IF(X316&lt;=380,100+((200-100)/(380-80))*(X316-80),IF(X316&lt;=800,200+((300-200)/(800-380))*(X316-380),IF(X316&lt;=1600,300+((400-300)/(1600-800))*(X316-800),IF(X316&lt;=2100,400+((500-400)/(2100-1600))*(X316-1600),500)))))))</f>
        <v>42.375</v>
      </c>
      <c r="AK316" s="4" t="n">
        <f aca="false">IF(Y316="","",IF(Y316&lt;=50,(50/50)*Y316,IF(Y316&lt;=100,50+((100-50)/(100-50))*(Y316-50),IF(Y316&lt;=168,100+((200-100)/(168-100))*(Y316-100),IF(Y316&lt;=208,200+((300-200)/(208-168))*(Y316-168),IF(Y316&lt;=748,300+((400-300)/(748-208))*(Y316-208),IF(Y316&lt;=1000,400+((500-400)/(1000-748))*(Y316-748),500)))))))</f>
        <v>0</v>
      </c>
      <c r="AL316" s="4" t="n">
        <f aca="false">ROUND(MAX(AF316,AG316,AH316,AI316,AJ316,AK316),0)</f>
        <v>207</v>
      </c>
      <c r="AM316" s="4" t="str">
        <f aca="false">IF(AL316="","",IF(AL316&lt;=50,"Good",IF(AL316&lt;=100,"Satisfactory",IF(AL316&lt;=200,"Moderate",IF(AL316&lt;=300,"Poor",IF(AL316&lt;=400,"Very Poor","Severe"))))))</f>
        <v>Poor</v>
      </c>
    </row>
    <row r="317" customFormat="false" ht="15.75" hidden="false" customHeight="false" outlineLevel="0" collapsed="false">
      <c r="A317" s="1" t="s">
        <v>39</v>
      </c>
      <c r="B317" s="1" t="s">
        <v>40</v>
      </c>
      <c r="C317" s="1" t="n">
        <v>28.4595</v>
      </c>
      <c r="D317" s="1" t="n">
        <v>77.0266</v>
      </c>
      <c r="E317" s="5" t="n">
        <v>45914</v>
      </c>
      <c r="F317" s="6" t="s">
        <v>52</v>
      </c>
      <c r="G317" s="1" t="n">
        <v>9</v>
      </c>
      <c r="H317" s="7" t="s">
        <v>87</v>
      </c>
      <c r="I317" s="6" t="s">
        <v>46</v>
      </c>
      <c r="J317" s="7" t="s">
        <v>44</v>
      </c>
      <c r="K317" s="7" t="s">
        <v>45</v>
      </c>
      <c r="L317" s="1" t="n">
        <v>88</v>
      </c>
      <c r="M317" s="1" t="n">
        <v>23.5</v>
      </c>
      <c r="N317" s="1" t="n">
        <v>7.2</v>
      </c>
      <c r="O317" s="1" t="n">
        <v>0</v>
      </c>
      <c r="P317" s="6" t="s">
        <v>43</v>
      </c>
      <c r="Q317" s="6" t="s">
        <v>43</v>
      </c>
      <c r="R317" s="1" t="n">
        <v>1006.3</v>
      </c>
      <c r="S317" s="1" t="n">
        <v>4</v>
      </c>
      <c r="T317" s="1" t="n">
        <v>83.8</v>
      </c>
      <c r="U317" s="1" t="n">
        <v>121.5</v>
      </c>
      <c r="V317" s="1" t="n">
        <v>807</v>
      </c>
      <c r="W317" s="1" t="n">
        <v>77.4</v>
      </c>
      <c r="X317" s="1" t="n">
        <v>30.8</v>
      </c>
      <c r="Y317" s="1" t="n">
        <v>0</v>
      </c>
      <c r="Z317" s="1" t="n">
        <v>71</v>
      </c>
      <c r="AA317" s="1" t="n">
        <v>145</v>
      </c>
      <c r="AB317" s="7" t="s">
        <v>81</v>
      </c>
      <c r="AC317" s="7" t="s">
        <v>82</v>
      </c>
      <c r="AD317" s="7" t="s">
        <v>83</v>
      </c>
      <c r="AE317" s="7" t="s">
        <v>84</v>
      </c>
      <c r="AF317" s="4" t="n">
        <f aca="false">IF(T317="","",IF(T317&lt;=30,(50/30)*T317,IF(T317&lt;=60,50+((100-50)/(60-30))*(T317-30),IF(T317&lt;=90,100+((200-100)/(90-60))*(T317-60),IF(T317&lt;=120,200+((300-200)/(120-90))*(T317-90),IF(T317&lt;=250,300+((400-300)/(250-120))*(T317-120),IF(T317&lt;=380,400+((500-400)/(380-250))*(T317-250),500)))))))</f>
        <v>179.333333333333</v>
      </c>
      <c r="AG317" s="4" t="n">
        <f aca="false">IF(U317="","",IF(U317&lt;=50,(50/50)*U317,IF(U317&lt;=100,50+((100-50)/(100-50))*(U317-50),IF(U317&lt;=250,100+((200-100)/(250-100))*(U317-100),IF(U317&lt;=350,200+((300-200)/(350-250))*(U317-250),IF(U317&lt;=430,300+((400-300)/(430-350))*(U317-350),IF(U317&lt;=600,400+((500-400)/(600-430))*(U317-430),500)))))))</f>
        <v>114.333333333333</v>
      </c>
      <c r="AH317" s="4" t="n">
        <f aca="false">IF(V317="","",IF((V317/1000)&lt;=1,(50/1)*(V317/1000),IF((V317/1000)&lt;=2,50+((100-50)/(2-1))*(V317/1000-1),IF((V317/1000)&lt;=10,100+((200-100)/(10-2))*(V317/1000-2),IF((V317/1000)&lt;=17,200+((300-200)/(17-10))*(V317/1000-10),IF((V317/1000)&lt;=34,300+((400-300)/(34-17))*(V317/1000-17),IF((V317/1000)&lt;=57,400+((500-400)/(57-34))*(V317/1000-34),500)))))))</f>
        <v>40.35</v>
      </c>
      <c r="AI317" s="4" t="n">
        <f aca="false">IF(W317="","",IF(W317&lt;=40,(50/40)*W317,IF(W317&lt;=80,50+((100-50)/(80-40))*(W317-40),IF(W317&lt;=180,100+((200-100)/(180-80))*(W317-80),IF(W317&lt;=280,200+((300-200)/(280-180))*(W317-180),IF(W317&lt;=400,300+((400-300)/(400-280))*(W317-280),IF(W317&lt;=800,400+((500-400)/(800-400))*(W317-400),500)))))))</f>
        <v>96.75</v>
      </c>
      <c r="AJ317" s="4" t="n">
        <f aca="false">IF(X317="","",IF(X317&lt;=40,(50/40)*X317,IF(X317&lt;=80,50+((100-50)/(80-40))*(X317-40),IF(X317&lt;=380,100+((200-100)/(380-80))*(X317-80),IF(X317&lt;=800,200+((300-200)/(800-380))*(X317-380),IF(X317&lt;=1600,300+((400-300)/(1600-800))*(X317-800),IF(X317&lt;=2100,400+((500-400)/(2100-1600))*(X317-1600),500)))))))</f>
        <v>38.5</v>
      </c>
      <c r="AK317" s="4" t="n">
        <f aca="false">IF(Y317="","",IF(Y317&lt;=50,(50/50)*Y317,IF(Y317&lt;=100,50+((100-50)/(100-50))*(Y317-50),IF(Y317&lt;=168,100+((200-100)/(168-100))*(Y317-100),IF(Y317&lt;=208,200+((300-200)/(208-168))*(Y317-168),IF(Y317&lt;=748,300+((400-300)/(748-208))*(Y317-208),IF(Y317&lt;=1000,400+((500-400)/(1000-748))*(Y317-748),500)))))))</f>
        <v>0</v>
      </c>
      <c r="AL317" s="4" t="n">
        <f aca="false">ROUND(MAX(AF317,AG317,AH317,AI317,AJ317,AK317),0)</f>
        <v>179</v>
      </c>
      <c r="AM317" s="4" t="str">
        <f aca="false">IF(AL317="","",IF(AL317&lt;=50,"Good",IF(AL317&lt;=100,"Satisfactory",IF(AL317&lt;=200,"Moderate",IF(AL317&lt;=300,"Poor",IF(AL317&lt;=400,"Very Poor","Severe"))))))</f>
        <v>Moderate</v>
      </c>
    </row>
    <row r="318" customFormat="false" ht="15.75" hidden="false" customHeight="false" outlineLevel="0" collapsed="false">
      <c r="A318" s="1" t="s">
        <v>39</v>
      </c>
      <c r="B318" s="1" t="s">
        <v>40</v>
      </c>
      <c r="C318" s="1" t="n">
        <v>28.4595</v>
      </c>
      <c r="D318" s="1" t="n">
        <v>77.0266</v>
      </c>
      <c r="E318" s="5" t="n">
        <v>45914</v>
      </c>
      <c r="F318" s="6" t="s">
        <v>53</v>
      </c>
      <c r="G318" s="1" t="n">
        <v>9</v>
      </c>
      <c r="H318" s="7" t="s">
        <v>87</v>
      </c>
      <c r="I318" s="6" t="s">
        <v>46</v>
      </c>
      <c r="J318" s="7" t="s">
        <v>44</v>
      </c>
      <c r="K318" s="7" t="s">
        <v>45</v>
      </c>
      <c r="L318" s="1" t="n">
        <v>89</v>
      </c>
      <c r="M318" s="1" t="n">
        <v>23.4</v>
      </c>
      <c r="N318" s="1" t="n">
        <v>8.3</v>
      </c>
      <c r="O318" s="1" t="n">
        <v>0</v>
      </c>
      <c r="P318" s="6" t="s">
        <v>43</v>
      </c>
      <c r="Q318" s="6" t="s">
        <v>43</v>
      </c>
      <c r="R318" s="1" t="n">
        <v>1006.7</v>
      </c>
      <c r="S318" s="1" t="n">
        <v>9</v>
      </c>
      <c r="T318" s="1" t="n">
        <v>76.4</v>
      </c>
      <c r="U318" s="1" t="n">
        <v>112.7</v>
      </c>
      <c r="V318" s="1" t="n">
        <v>712</v>
      </c>
      <c r="W318" s="1" t="n">
        <v>72.3</v>
      </c>
      <c r="X318" s="1" t="n">
        <v>27.7</v>
      </c>
      <c r="Y318" s="1" t="n">
        <v>0</v>
      </c>
      <c r="Z318" s="1" t="n">
        <v>68</v>
      </c>
      <c r="AA318" s="1" t="n">
        <v>144</v>
      </c>
      <c r="AB318" s="7" t="s">
        <v>81</v>
      </c>
      <c r="AC318" s="7" t="s">
        <v>82</v>
      </c>
      <c r="AD318" s="7" t="s">
        <v>83</v>
      </c>
      <c r="AE318" s="7" t="s">
        <v>84</v>
      </c>
      <c r="AF318" s="4" t="n">
        <f aca="false">IF(T318="","",IF(T318&lt;=30,(50/30)*T318,IF(T318&lt;=60,50+((100-50)/(60-30))*(T318-30),IF(T318&lt;=90,100+((200-100)/(90-60))*(T318-60),IF(T318&lt;=120,200+((300-200)/(120-90))*(T318-90),IF(T318&lt;=250,300+((400-300)/(250-120))*(T318-120),IF(T318&lt;=380,400+((500-400)/(380-250))*(T318-250),500)))))))</f>
        <v>154.666666666667</v>
      </c>
      <c r="AG318" s="4" t="n">
        <f aca="false">IF(U318="","",IF(U318&lt;=50,(50/50)*U318,IF(U318&lt;=100,50+((100-50)/(100-50))*(U318-50),IF(U318&lt;=250,100+((200-100)/(250-100))*(U318-100),IF(U318&lt;=350,200+((300-200)/(350-250))*(U318-250),IF(U318&lt;=430,300+((400-300)/(430-350))*(U318-350),IF(U318&lt;=600,400+((500-400)/(600-430))*(U318-430),500)))))))</f>
        <v>108.466666666667</v>
      </c>
      <c r="AH318" s="4" t="n">
        <f aca="false">IF(V318="","",IF((V318/1000)&lt;=1,(50/1)*(V318/1000),IF((V318/1000)&lt;=2,50+((100-50)/(2-1))*(V318/1000-1),IF((V318/1000)&lt;=10,100+((200-100)/(10-2))*(V318/1000-2),IF((V318/1000)&lt;=17,200+((300-200)/(17-10))*(V318/1000-10),IF((V318/1000)&lt;=34,300+((400-300)/(34-17))*(V318/1000-17),IF((V318/1000)&lt;=57,400+((500-400)/(57-34))*(V318/1000-34),500)))))))</f>
        <v>35.6</v>
      </c>
      <c r="AI318" s="4" t="n">
        <f aca="false">IF(W318="","",IF(W318&lt;=40,(50/40)*W318,IF(W318&lt;=80,50+((100-50)/(80-40))*(W318-40),IF(W318&lt;=180,100+((200-100)/(180-80))*(W318-80),IF(W318&lt;=280,200+((300-200)/(280-180))*(W318-180),IF(W318&lt;=400,300+((400-300)/(400-280))*(W318-280),IF(W318&lt;=800,400+((500-400)/(800-400))*(W318-400),500)))))))</f>
        <v>90.375</v>
      </c>
      <c r="AJ318" s="4" t="n">
        <f aca="false">IF(X318="","",IF(X318&lt;=40,(50/40)*X318,IF(X318&lt;=80,50+((100-50)/(80-40))*(X318-40),IF(X318&lt;=380,100+((200-100)/(380-80))*(X318-80),IF(X318&lt;=800,200+((300-200)/(800-380))*(X318-380),IF(X318&lt;=1600,300+((400-300)/(1600-800))*(X318-800),IF(X318&lt;=2100,400+((500-400)/(2100-1600))*(X318-1600),500)))))))</f>
        <v>34.625</v>
      </c>
      <c r="AK318" s="4" t="n">
        <f aca="false">IF(Y318="","",IF(Y318&lt;=50,(50/50)*Y318,IF(Y318&lt;=100,50+((100-50)/(100-50))*(Y318-50),IF(Y318&lt;=168,100+((200-100)/(168-100))*(Y318-100),IF(Y318&lt;=208,200+((300-200)/(208-168))*(Y318-168),IF(Y318&lt;=748,300+((400-300)/(748-208))*(Y318-208),IF(Y318&lt;=1000,400+((500-400)/(1000-748))*(Y318-748),500)))))))</f>
        <v>0</v>
      </c>
      <c r="AL318" s="4" t="n">
        <f aca="false">ROUND(MAX(AF318,AG318,AH318,AI318,AJ318,AK318),0)</f>
        <v>155</v>
      </c>
      <c r="AM318" s="4" t="str">
        <f aca="false">IF(AL318="","",IF(AL318&lt;=50,"Good",IF(AL318&lt;=100,"Satisfactory",IF(AL318&lt;=200,"Moderate",IF(AL318&lt;=300,"Poor",IF(AL318&lt;=400,"Very Poor","Severe"))))))</f>
        <v>Moderate</v>
      </c>
    </row>
    <row r="319" customFormat="false" ht="15.75" hidden="false" customHeight="false" outlineLevel="0" collapsed="false">
      <c r="A319" s="1" t="s">
        <v>39</v>
      </c>
      <c r="B319" s="1" t="s">
        <v>40</v>
      </c>
      <c r="C319" s="1" t="n">
        <v>28.4595</v>
      </c>
      <c r="D319" s="1" t="n">
        <v>77.0266</v>
      </c>
      <c r="E319" s="5" t="n">
        <v>45914</v>
      </c>
      <c r="F319" s="6" t="s">
        <v>54</v>
      </c>
      <c r="G319" s="1" t="n">
        <v>9</v>
      </c>
      <c r="H319" s="7" t="s">
        <v>87</v>
      </c>
      <c r="I319" s="6" t="s">
        <v>46</v>
      </c>
      <c r="J319" s="7" t="s">
        <v>44</v>
      </c>
      <c r="K319" s="7" t="s">
        <v>45</v>
      </c>
      <c r="L319" s="1" t="n">
        <v>90</v>
      </c>
      <c r="M319" s="1" t="n">
        <v>23.4</v>
      </c>
      <c r="N319" s="1" t="n">
        <v>8.6</v>
      </c>
      <c r="O319" s="1" t="n">
        <v>0</v>
      </c>
      <c r="P319" s="6" t="s">
        <v>43</v>
      </c>
      <c r="Q319" s="6" t="s">
        <v>43</v>
      </c>
      <c r="R319" s="1" t="n">
        <v>1006.8</v>
      </c>
      <c r="S319" s="1" t="n">
        <v>10</v>
      </c>
      <c r="T319" s="1" t="n">
        <v>69.8</v>
      </c>
      <c r="U319" s="1" t="n">
        <v>105</v>
      </c>
      <c r="V319" s="1" t="n">
        <v>647</v>
      </c>
      <c r="W319" s="1" t="n">
        <v>73.6</v>
      </c>
      <c r="X319" s="1" t="n">
        <v>29.7</v>
      </c>
      <c r="Y319" s="1" t="n">
        <v>0</v>
      </c>
      <c r="Z319" s="1" t="n">
        <v>63</v>
      </c>
      <c r="AA319" s="1" t="n">
        <v>143</v>
      </c>
      <c r="AB319" s="7" t="s">
        <v>81</v>
      </c>
      <c r="AC319" s="7" t="s">
        <v>82</v>
      </c>
      <c r="AD319" s="7" t="s">
        <v>83</v>
      </c>
      <c r="AE319" s="7" t="s">
        <v>84</v>
      </c>
      <c r="AF319" s="4" t="n">
        <f aca="false">IF(T319="","",IF(T319&lt;=30,(50/30)*T319,IF(T319&lt;=60,50+((100-50)/(60-30))*(T319-30),IF(T319&lt;=90,100+((200-100)/(90-60))*(T319-60),IF(T319&lt;=120,200+((300-200)/(120-90))*(T319-90),IF(T319&lt;=250,300+((400-300)/(250-120))*(T319-120),IF(T319&lt;=380,400+((500-400)/(380-250))*(T319-250),500)))))))</f>
        <v>132.666666666667</v>
      </c>
      <c r="AG319" s="4" t="n">
        <f aca="false">IF(U319="","",IF(U319&lt;=50,(50/50)*U319,IF(U319&lt;=100,50+((100-50)/(100-50))*(U319-50),IF(U319&lt;=250,100+((200-100)/(250-100))*(U319-100),IF(U319&lt;=350,200+((300-200)/(350-250))*(U319-250),IF(U319&lt;=430,300+((400-300)/(430-350))*(U319-350),IF(U319&lt;=600,400+((500-400)/(600-430))*(U319-430),500)))))))</f>
        <v>103.333333333333</v>
      </c>
      <c r="AH319" s="4" t="n">
        <f aca="false">IF(V319="","",IF((V319/1000)&lt;=1,(50/1)*(V319/1000),IF((V319/1000)&lt;=2,50+((100-50)/(2-1))*(V319/1000-1),IF((V319/1000)&lt;=10,100+((200-100)/(10-2))*(V319/1000-2),IF((V319/1000)&lt;=17,200+((300-200)/(17-10))*(V319/1000-10),IF((V319/1000)&lt;=34,300+((400-300)/(34-17))*(V319/1000-17),IF((V319/1000)&lt;=57,400+((500-400)/(57-34))*(V319/1000-34),500)))))))</f>
        <v>32.35</v>
      </c>
      <c r="AI319" s="4" t="n">
        <f aca="false">IF(W319="","",IF(W319&lt;=40,(50/40)*W319,IF(W319&lt;=80,50+((100-50)/(80-40))*(W319-40),IF(W319&lt;=180,100+((200-100)/(180-80))*(W319-80),IF(W319&lt;=280,200+((300-200)/(280-180))*(W319-180),IF(W319&lt;=400,300+((400-300)/(400-280))*(W319-280),IF(W319&lt;=800,400+((500-400)/(800-400))*(W319-400),500)))))))</f>
        <v>92</v>
      </c>
      <c r="AJ319" s="4" t="n">
        <f aca="false">IF(X319="","",IF(X319&lt;=40,(50/40)*X319,IF(X319&lt;=80,50+((100-50)/(80-40))*(X319-40),IF(X319&lt;=380,100+((200-100)/(380-80))*(X319-80),IF(X319&lt;=800,200+((300-200)/(800-380))*(X319-380),IF(X319&lt;=1600,300+((400-300)/(1600-800))*(X319-800),IF(X319&lt;=2100,400+((500-400)/(2100-1600))*(X319-1600),500)))))))</f>
        <v>37.125</v>
      </c>
      <c r="AK319" s="4" t="n">
        <f aca="false">IF(Y319="","",IF(Y319&lt;=50,(50/50)*Y319,IF(Y319&lt;=100,50+((100-50)/(100-50))*(Y319-50),IF(Y319&lt;=168,100+((200-100)/(168-100))*(Y319-100),IF(Y319&lt;=208,200+((300-200)/(208-168))*(Y319-168),IF(Y319&lt;=748,300+((400-300)/(748-208))*(Y319-208),IF(Y319&lt;=1000,400+((500-400)/(1000-748))*(Y319-748),500)))))))</f>
        <v>0</v>
      </c>
      <c r="AL319" s="4" t="n">
        <f aca="false">ROUND(MAX(AF319,AG319,AH319,AI319,AJ319,AK319),0)</f>
        <v>133</v>
      </c>
      <c r="AM319" s="4" t="str">
        <f aca="false">IF(AL319="","",IF(AL319&lt;=50,"Good",IF(AL319&lt;=100,"Satisfactory",IF(AL319&lt;=200,"Moderate",IF(AL319&lt;=300,"Poor",IF(AL319&lt;=400,"Very Poor","Severe"))))))</f>
        <v>Moderate</v>
      </c>
    </row>
    <row r="320" customFormat="false" ht="15.75" hidden="false" customHeight="false" outlineLevel="0" collapsed="false">
      <c r="A320" s="1" t="s">
        <v>39</v>
      </c>
      <c r="B320" s="1" t="s">
        <v>40</v>
      </c>
      <c r="C320" s="1" t="n">
        <v>28.4595</v>
      </c>
      <c r="D320" s="1" t="n">
        <v>77.0266</v>
      </c>
      <c r="E320" s="5" t="n">
        <v>45914</v>
      </c>
      <c r="F320" s="6" t="s">
        <v>55</v>
      </c>
      <c r="G320" s="1" t="n">
        <v>9</v>
      </c>
      <c r="H320" s="7" t="s">
        <v>87</v>
      </c>
      <c r="I320" s="6" t="s">
        <v>46</v>
      </c>
      <c r="J320" s="7" t="s">
        <v>44</v>
      </c>
      <c r="K320" s="7" t="s">
        <v>56</v>
      </c>
      <c r="L320" s="1" t="n">
        <v>87</v>
      </c>
      <c r="M320" s="1" t="n">
        <v>24</v>
      </c>
      <c r="N320" s="1" t="n">
        <v>7.6</v>
      </c>
      <c r="O320" s="1" t="n">
        <v>0</v>
      </c>
      <c r="P320" s="6" t="s">
        <v>43</v>
      </c>
      <c r="Q320" s="6" t="s">
        <v>43</v>
      </c>
      <c r="R320" s="1" t="n">
        <v>1007.2</v>
      </c>
      <c r="S320" s="1" t="n">
        <v>17</v>
      </c>
      <c r="T320" s="1" t="n">
        <v>64.5</v>
      </c>
      <c r="U320" s="1" t="n">
        <v>95.9</v>
      </c>
      <c r="V320" s="1" t="n">
        <v>653</v>
      </c>
      <c r="W320" s="1" t="n">
        <v>68</v>
      </c>
      <c r="X320" s="1" t="n">
        <v>28.8</v>
      </c>
      <c r="Y320" s="1" t="n">
        <v>14</v>
      </c>
      <c r="Z320" s="1" t="n">
        <v>63</v>
      </c>
      <c r="AA320" s="1" t="n">
        <v>147</v>
      </c>
      <c r="AB320" s="7" t="s">
        <v>81</v>
      </c>
      <c r="AC320" s="7" t="s">
        <v>82</v>
      </c>
      <c r="AD320" s="7" t="s">
        <v>83</v>
      </c>
      <c r="AE320" s="7" t="s">
        <v>84</v>
      </c>
      <c r="AF320" s="4" t="n">
        <f aca="false">IF(T320="","",IF(T320&lt;=30,(50/30)*T320,IF(T320&lt;=60,50+((100-50)/(60-30))*(T320-30),IF(T320&lt;=90,100+((200-100)/(90-60))*(T320-60),IF(T320&lt;=120,200+((300-200)/(120-90))*(T320-90),IF(T320&lt;=250,300+((400-300)/(250-120))*(T320-120),IF(T320&lt;=380,400+((500-400)/(380-250))*(T320-250),500)))))))</f>
        <v>115</v>
      </c>
      <c r="AG320" s="4" t="n">
        <f aca="false">IF(U320="","",IF(U320&lt;=50,(50/50)*U320,IF(U320&lt;=100,50+((100-50)/(100-50))*(U320-50),IF(U320&lt;=250,100+((200-100)/(250-100))*(U320-100),IF(U320&lt;=350,200+((300-200)/(350-250))*(U320-250),IF(U320&lt;=430,300+((400-300)/(430-350))*(U320-350),IF(U320&lt;=600,400+((500-400)/(600-430))*(U320-430),500)))))))</f>
        <v>95.9</v>
      </c>
      <c r="AH320" s="4" t="n">
        <f aca="false">IF(V320="","",IF((V320/1000)&lt;=1,(50/1)*(V320/1000),IF((V320/1000)&lt;=2,50+((100-50)/(2-1))*(V320/1000-1),IF((V320/1000)&lt;=10,100+((200-100)/(10-2))*(V320/1000-2),IF((V320/1000)&lt;=17,200+((300-200)/(17-10))*(V320/1000-10),IF((V320/1000)&lt;=34,300+((400-300)/(34-17))*(V320/1000-17),IF((V320/1000)&lt;=57,400+((500-400)/(57-34))*(V320/1000-34),500)))))))</f>
        <v>32.65</v>
      </c>
      <c r="AI320" s="4" t="n">
        <f aca="false">IF(W320="","",IF(W320&lt;=40,(50/40)*W320,IF(W320&lt;=80,50+((100-50)/(80-40))*(W320-40),IF(W320&lt;=180,100+((200-100)/(180-80))*(W320-80),IF(W320&lt;=280,200+((300-200)/(280-180))*(W320-180),IF(W320&lt;=400,300+((400-300)/(400-280))*(W320-280),IF(W320&lt;=800,400+((500-400)/(800-400))*(W320-400),500)))))))</f>
        <v>85</v>
      </c>
      <c r="AJ320" s="4" t="n">
        <f aca="false">IF(X320="","",IF(X320&lt;=40,(50/40)*X320,IF(X320&lt;=80,50+((100-50)/(80-40))*(X320-40),IF(X320&lt;=380,100+((200-100)/(380-80))*(X320-80),IF(X320&lt;=800,200+((300-200)/(800-380))*(X320-380),IF(X320&lt;=1600,300+((400-300)/(1600-800))*(X320-800),IF(X320&lt;=2100,400+((500-400)/(2100-1600))*(X320-1600),500)))))))</f>
        <v>36</v>
      </c>
      <c r="AK320" s="4" t="n">
        <f aca="false">IF(Y320="","",IF(Y320&lt;=50,(50/50)*Y320,IF(Y320&lt;=100,50+((100-50)/(100-50))*(Y320-50),IF(Y320&lt;=168,100+((200-100)/(168-100))*(Y320-100),IF(Y320&lt;=208,200+((300-200)/(208-168))*(Y320-168),IF(Y320&lt;=748,300+((400-300)/(748-208))*(Y320-208),IF(Y320&lt;=1000,400+((500-400)/(1000-748))*(Y320-748),500)))))))</f>
        <v>14</v>
      </c>
      <c r="AL320" s="4" t="n">
        <f aca="false">ROUND(MAX(AF320,AG320,AH320,AI320,AJ320,AK320),0)</f>
        <v>115</v>
      </c>
      <c r="AM320" s="4" t="str">
        <f aca="false">IF(AL320="","",IF(AL320&lt;=50,"Good",IF(AL320&lt;=100,"Satisfactory",IF(AL320&lt;=200,"Moderate",IF(AL320&lt;=300,"Poor",IF(AL320&lt;=400,"Very Poor","Severe"))))))</f>
        <v>Moderate</v>
      </c>
    </row>
    <row r="321" customFormat="false" ht="15.75" hidden="false" customHeight="false" outlineLevel="0" collapsed="false">
      <c r="A321" s="1" t="s">
        <v>39</v>
      </c>
      <c r="B321" s="1" t="s">
        <v>40</v>
      </c>
      <c r="C321" s="1" t="n">
        <v>28.4595</v>
      </c>
      <c r="D321" s="1" t="n">
        <v>77.0266</v>
      </c>
      <c r="E321" s="5" t="n">
        <v>45914</v>
      </c>
      <c r="F321" s="6" t="s">
        <v>57</v>
      </c>
      <c r="G321" s="1" t="n">
        <v>9</v>
      </c>
      <c r="H321" s="7" t="s">
        <v>87</v>
      </c>
      <c r="I321" s="6" t="s">
        <v>46</v>
      </c>
      <c r="J321" s="7" t="s">
        <v>44</v>
      </c>
      <c r="K321" s="7" t="s">
        <v>56</v>
      </c>
      <c r="L321" s="1" t="n">
        <v>84</v>
      </c>
      <c r="M321" s="1" t="n">
        <v>24.5</v>
      </c>
      <c r="N321" s="1" t="n">
        <v>7.9</v>
      </c>
      <c r="O321" s="1" t="n">
        <v>0</v>
      </c>
      <c r="P321" s="6" t="s">
        <v>43</v>
      </c>
      <c r="Q321" s="6" t="s">
        <v>43</v>
      </c>
      <c r="R321" s="1" t="n">
        <v>1007.8</v>
      </c>
      <c r="S321" s="1" t="n">
        <v>16</v>
      </c>
      <c r="T321" s="1" t="n">
        <v>62.2</v>
      </c>
      <c r="U321" s="1" t="n">
        <v>88.9</v>
      </c>
      <c r="V321" s="1" t="n">
        <v>688</v>
      </c>
      <c r="W321" s="1" t="n">
        <v>59.7</v>
      </c>
      <c r="X321" s="1" t="n">
        <v>27.4</v>
      </c>
      <c r="Y321" s="1" t="n">
        <v>35</v>
      </c>
      <c r="Z321" s="1" t="n">
        <v>62</v>
      </c>
      <c r="AA321" s="1" t="n">
        <v>150</v>
      </c>
      <c r="AB321" s="7" t="s">
        <v>81</v>
      </c>
      <c r="AC321" s="7" t="s">
        <v>82</v>
      </c>
      <c r="AD321" s="7" t="s">
        <v>83</v>
      </c>
      <c r="AE321" s="7" t="s">
        <v>84</v>
      </c>
      <c r="AF321" s="4" t="n">
        <f aca="false">IF(T321="","",IF(T321&lt;=30,(50/30)*T321,IF(T321&lt;=60,50+((100-50)/(60-30))*(T321-30),IF(T321&lt;=90,100+((200-100)/(90-60))*(T321-60),IF(T321&lt;=120,200+((300-200)/(120-90))*(T321-90),IF(T321&lt;=250,300+((400-300)/(250-120))*(T321-120),IF(T321&lt;=380,400+((500-400)/(380-250))*(T321-250),500)))))))</f>
        <v>107.333333333333</v>
      </c>
      <c r="AG321" s="4" t="n">
        <f aca="false">IF(U321="","",IF(U321&lt;=50,(50/50)*U321,IF(U321&lt;=100,50+((100-50)/(100-50))*(U321-50),IF(U321&lt;=250,100+((200-100)/(250-100))*(U321-100),IF(U321&lt;=350,200+((300-200)/(350-250))*(U321-250),IF(U321&lt;=430,300+((400-300)/(430-350))*(U321-350),IF(U321&lt;=600,400+((500-400)/(600-430))*(U321-430),500)))))))</f>
        <v>88.9</v>
      </c>
      <c r="AH321" s="4" t="n">
        <f aca="false">IF(V321="","",IF((V321/1000)&lt;=1,(50/1)*(V321/1000),IF((V321/1000)&lt;=2,50+((100-50)/(2-1))*(V321/1000-1),IF((V321/1000)&lt;=10,100+((200-100)/(10-2))*(V321/1000-2),IF((V321/1000)&lt;=17,200+((300-200)/(17-10))*(V321/1000-10),IF((V321/1000)&lt;=34,300+((400-300)/(34-17))*(V321/1000-17),IF((V321/1000)&lt;=57,400+((500-400)/(57-34))*(V321/1000-34),500)))))))</f>
        <v>34.4</v>
      </c>
      <c r="AI321" s="4" t="n">
        <f aca="false">IF(W321="","",IF(W321&lt;=40,(50/40)*W321,IF(W321&lt;=80,50+((100-50)/(80-40))*(W321-40),IF(W321&lt;=180,100+((200-100)/(180-80))*(W321-80),IF(W321&lt;=280,200+((300-200)/(280-180))*(W321-180),IF(W321&lt;=400,300+((400-300)/(400-280))*(W321-280),IF(W321&lt;=800,400+((500-400)/(800-400))*(W321-400),500)))))))</f>
        <v>74.625</v>
      </c>
      <c r="AJ321" s="4" t="n">
        <f aca="false">IF(X321="","",IF(X321&lt;=40,(50/40)*X321,IF(X321&lt;=80,50+((100-50)/(80-40))*(X321-40),IF(X321&lt;=380,100+((200-100)/(380-80))*(X321-80),IF(X321&lt;=800,200+((300-200)/(800-380))*(X321-380),IF(X321&lt;=1600,300+((400-300)/(1600-800))*(X321-800),IF(X321&lt;=2100,400+((500-400)/(2100-1600))*(X321-1600),500)))))))</f>
        <v>34.25</v>
      </c>
      <c r="AK321" s="4" t="n">
        <f aca="false">IF(Y321="","",IF(Y321&lt;=50,(50/50)*Y321,IF(Y321&lt;=100,50+((100-50)/(100-50))*(Y321-50),IF(Y321&lt;=168,100+((200-100)/(168-100))*(Y321-100),IF(Y321&lt;=208,200+((300-200)/(208-168))*(Y321-168),IF(Y321&lt;=748,300+((400-300)/(748-208))*(Y321-208),IF(Y321&lt;=1000,400+((500-400)/(1000-748))*(Y321-748),500)))))))</f>
        <v>35</v>
      </c>
      <c r="AL321" s="4" t="n">
        <f aca="false">ROUND(MAX(AF321,AG321,AH321,AI321,AJ321,AK321),0)</f>
        <v>107</v>
      </c>
      <c r="AM321" s="4" t="str">
        <f aca="false">IF(AL321="","",IF(AL321&lt;=50,"Good",IF(AL321&lt;=100,"Satisfactory",IF(AL321&lt;=200,"Moderate",IF(AL321&lt;=300,"Poor",IF(AL321&lt;=400,"Very Poor","Severe"))))))</f>
        <v>Moderate</v>
      </c>
    </row>
    <row r="322" customFormat="false" ht="15.75" hidden="false" customHeight="false" outlineLevel="0" collapsed="false">
      <c r="A322" s="1" t="s">
        <v>39</v>
      </c>
      <c r="B322" s="1" t="s">
        <v>40</v>
      </c>
      <c r="C322" s="1" t="n">
        <v>28.4595</v>
      </c>
      <c r="D322" s="1" t="n">
        <v>77.0266</v>
      </c>
      <c r="E322" s="5" t="n">
        <v>45914</v>
      </c>
      <c r="F322" s="6" t="s">
        <v>58</v>
      </c>
      <c r="G322" s="1" t="n">
        <v>9</v>
      </c>
      <c r="H322" s="7" t="s">
        <v>87</v>
      </c>
      <c r="I322" s="6" t="s">
        <v>46</v>
      </c>
      <c r="J322" s="7" t="s">
        <v>44</v>
      </c>
      <c r="K322" s="7" t="s">
        <v>56</v>
      </c>
      <c r="L322" s="1" t="n">
        <v>72</v>
      </c>
      <c r="M322" s="1" t="n">
        <v>24.1</v>
      </c>
      <c r="N322" s="1" t="n">
        <v>9.7</v>
      </c>
      <c r="O322" s="1" t="n">
        <v>0</v>
      </c>
      <c r="P322" s="6" t="s">
        <v>43</v>
      </c>
      <c r="Q322" s="6" t="s">
        <v>43</v>
      </c>
      <c r="R322" s="1" t="n">
        <v>1008.1</v>
      </c>
      <c r="S322" s="1" t="n">
        <v>0</v>
      </c>
      <c r="T322" s="1" t="n">
        <v>53.3</v>
      </c>
      <c r="U322" s="1" t="n">
        <v>87.8</v>
      </c>
      <c r="V322" s="1" t="n">
        <v>669</v>
      </c>
      <c r="W322" s="1" t="n">
        <v>49.4</v>
      </c>
      <c r="X322" s="1" t="n">
        <v>25.7</v>
      </c>
      <c r="Y322" s="1" t="n">
        <v>59</v>
      </c>
      <c r="Z322" s="1" t="n">
        <v>63</v>
      </c>
      <c r="AA322" s="1" t="n">
        <v>151</v>
      </c>
      <c r="AB322" s="7" t="s">
        <v>81</v>
      </c>
      <c r="AC322" s="7" t="s">
        <v>48</v>
      </c>
      <c r="AD322" s="6" t="s">
        <v>43</v>
      </c>
      <c r="AE322" s="6" t="s">
        <v>43</v>
      </c>
      <c r="AF322" s="4" t="n">
        <f aca="false">IF(T322="","",IF(T322&lt;=30,(50/30)*T322,IF(T322&lt;=60,50+((100-50)/(60-30))*(T322-30),IF(T322&lt;=90,100+((200-100)/(90-60))*(T322-60),IF(T322&lt;=120,200+((300-200)/(120-90))*(T322-90),IF(T322&lt;=250,300+((400-300)/(250-120))*(T322-120),IF(T322&lt;=380,400+((500-400)/(380-250))*(T322-250),500)))))))</f>
        <v>88.8333333333333</v>
      </c>
      <c r="AG322" s="4" t="n">
        <f aca="false">IF(U322="","",IF(U322&lt;=50,(50/50)*U322,IF(U322&lt;=100,50+((100-50)/(100-50))*(U322-50),IF(U322&lt;=250,100+((200-100)/(250-100))*(U322-100),IF(U322&lt;=350,200+((300-200)/(350-250))*(U322-250),IF(U322&lt;=430,300+((400-300)/(430-350))*(U322-350),IF(U322&lt;=600,400+((500-400)/(600-430))*(U322-430),500)))))))</f>
        <v>87.8</v>
      </c>
      <c r="AH322" s="4" t="n">
        <f aca="false">IF(V322="","",IF((V322/1000)&lt;=1,(50/1)*(V322/1000),IF((V322/1000)&lt;=2,50+((100-50)/(2-1))*(V322/1000-1),IF((V322/1000)&lt;=10,100+((200-100)/(10-2))*(V322/1000-2),IF((V322/1000)&lt;=17,200+((300-200)/(17-10))*(V322/1000-10),IF((V322/1000)&lt;=34,300+((400-300)/(34-17))*(V322/1000-17),IF((V322/1000)&lt;=57,400+((500-400)/(57-34))*(V322/1000-34),500)))))))</f>
        <v>33.45</v>
      </c>
      <c r="AI322" s="4" t="n">
        <f aca="false">IF(W322="","",IF(W322&lt;=40,(50/40)*W322,IF(W322&lt;=80,50+((100-50)/(80-40))*(W322-40),IF(W322&lt;=180,100+((200-100)/(180-80))*(W322-80),IF(W322&lt;=280,200+((300-200)/(280-180))*(W322-180),IF(W322&lt;=400,300+((400-300)/(400-280))*(W322-280),IF(W322&lt;=800,400+((500-400)/(800-400))*(W322-400),500)))))))</f>
        <v>61.75</v>
      </c>
      <c r="AJ322" s="4" t="n">
        <f aca="false">IF(X322="","",IF(X322&lt;=40,(50/40)*X322,IF(X322&lt;=80,50+((100-50)/(80-40))*(X322-40),IF(X322&lt;=380,100+((200-100)/(380-80))*(X322-80),IF(X322&lt;=800,200+((300-200)/(800-380))*(X322-380),IF(X322&lt;=1600,300+((400-300)/(1600-800))*(X322-800),IF(X322&lt;=2100,400+((500-400)/(2100-1600))*(X322-1600),500)))))))</f>
        <v>32.125</v>
      </c>
      <c r="AK322" s="4" t="n">
        <f aca="false">IF(Y322="","",IF(Y322&lt;=50,(50/50)*Y322,IF(Y322&lt;=100,50+((100-50)/(100-50))*(Y322-50),IF(Y322&lt;=168,100+((200-100)/(168-100))*(Y322-100),IF(Y322&lt;=208,200+((300-200)/(208-168))*(Y322-168),IF(Y322&lt;=748,300+((400-300)/(748-208))*(Y322-208),IF(Y322&lt;=1000,400+((500-400)/(1000-748))*(Y322-748),500)))))))</f>
        <v>59</v>
      </c>
      <c r="AL322" s="4" t="n">
        <f aca="false">ROUND(MAX(AF322,AG322,AH322,AI322,AJ322,AK322),0)</f>
        <v>89</v>
      </c>
      <c r="AM322" s="4" t="str">
        <f aca="false">IF(AL322="","",IF(AL322&lt;=50,"Good",IF(AL322&lt;=100,"Satisfactory",IF(AL322&lt;=200,"Moderate",IF(AL322&lt;=300,"Poor",IF(AL322&lt;=400,"Very Poor","Severe"))))))</f>
        <v>Satisfactory</v>
      </c>
    </row>
    <row r="323" customFormat="false" ht="15.75" hidden="false" customHeight="false" outlineLevel="0" collapsed="false">
      <c r="A323" s="1" t="s">
        <v>39</v>
      </c>
      <c r="B323" s="1" t="s">
        <v>40</v>
      </c>
      <c r="C323" s="1" t="n">
        <v>28.4595</v>
      </c>
      <c r="D323" s="1" t="n">
        <v>77.0266</v>
      </c>
      <c r="E323" s="5" t="n">
        <v>45914</v>
      </c>
      <c r="F323" s="6" t="s">
        <v>59</v>
      </c>
      <c r="G323" s="1" t="n">
        <v>9</v>
      </c>
      <c r="H323" s="7" t="s">
        <v>87</v>
      </c>
      <c r="I323" s="6" t="s">
        <v>46</v>
      </c>
      <c r="J323" s="7" t="s">
        <v>44</v>
      </c>
      <c r="K323" s="7" t="s">
        <v>60</v>
      </c>
      <c r="L323" s="1" t="n">
        <v>61</v>
      </c>
      <c r="M323" s="1" t="n">
        <v>22.9</v>
      </c>
      <c r="N323" s="1" t="n">
        <v>13.7</v>
      </c>
      <c r="O323" s="1" t="n">
        <v>0</v>
      </c>
      <c r="P323" s="6" t="s">
        <v>43</v>
      </c>
      <c r="Q323" s="6" t="s">
        <v>43</v>
      </c>
      <c r="R323" s="1" t="n">
        <v>1008.4</v>
      </c>
      <c r="S323" s="1" t="n">
        <v>0</v>
      </c>
      <c r="T323" s="1" t="n">
        <v>32.7</v>
      </c>
      <c r="U323" s="1" t="n">
        <v>76.1</v>
      </c>
      <c r="V323" s="1" t="n">
        <v>534</v>
      </c>
      <c r="W323" s="1" t="n">
        <v>35.1</v>
      </c>
      <c r="X323" s="1" t="n">
        <v>23.7</v>
      </c>
      <c r="Y323" s="1" t="n">
        <v>87</v>
      </c>
      <c r="Z323" s="1" t="n">
        <v>66</v>
      </c>
      <c r="AA323" s="1" t="n">
        <v>151</v>
      </c>
      <c r="AB323" s="7" t="s">
        <v>81</v>
      </c>
      <c r="AC323" s="7" t="s">
        <v>48</v>
      </c>
      <c r="AD323" s="6" t="s">
        <v>43</v>
      </c>
      <c r="AE323" s="6" t="s">
        <v>43</v>
      </c>
      <c r="AF323" s="4" t="n">
        <f aca="false">IF(T323="","",IF(T323&lt;=30,(50/30)*T323,IF(T323&lt;=60,50+((100-50)/(60-30))*(T323-30),IF(T323&lt;=90,100+((200-100)/(90-60))*(T323-60),IF(T323&lt;=120,200+((300-200)/(120-90))*(T323-90),IF(T323&lt;=250,300+((400-300)/(250-120))*(T323-120),IF(T323&lt;=380,400+((500-400)/(380-250))*(T323-250),500)))))))</f>
        <v>54.5</v>
      </c>
      <c r="AG323" s="4" t="n">
        <f aca="false">IF(U323="","",IF(U323&lt;=50,(50/50)*U323,IF(U323&lt;=100,50+((100-50)/(100-50))*(U323-50),IF(U323&lt;=250,100+((200-100)/(250-100))*(U323-100),IF(U323&lt;=350,200+((300-200)/(350-250))*(U323-250),IF(U323&lt;=430,300+((400-300)/(430-350))*(U323-350),IF(U323&lt;=600,400+((500-400)/(600-430))*(U323-430),500)))))))</f>
        <v>76.1</v>
      </c>
      <c r="AH323" s="4" t="n">
        <f aca="false">IF(V323="","",IF((V323/1000)&lt;=1,(50/1)*(V323/1000),IF((V323/1000)&lt;=2,50+((100-50)/(2-1))*(V323/1000-1),IF((V323/1000)&lt;=10,100+((200-100)/(10-2))*(V323/1000-2),IF((V323/1000)&lt;=17,200+((300-200)/(17-10))*(V323/1000-10),IF((V323/1000)&lt;=34,300+((400-300)/(34-17))*(V323/1000-17),IF((V323/1000)&lt;=57,400+((500-400)/(57-34))*(V323/1000-34),500)))))))</f>
        <v>26.7</v>
      </c>
      <c r="AI323" s="4" t="n">
        <f aca="false">IF(W323="","",IF(W323&lt;=40,(50/40)*W323,IF(W323&lt;=80,50+((100-50)/(80-40))*(W323-40),IF(W323&lt;=180,100+((200-100)/(180-80))*(W323-80),IF(W323&lt;=280,200+((300-200)/(280-180))*(W323-180),IF(W323&lt;=400,300+((400-300)/(400-280))*(W323-280),IF(W323&lt;=800,400+((500-400)/(800-400))*(W323-400),500)))))))</f>
        <v>43.875</v>
      </c>
      <c r="AJ323" s="4" t="n">
        <f aca="false">IF(X323="","",IF(X323&lt;=40,(50/40)*X323,IF(X323&lt;=80,50+((100-50)/(80-40))*(X323-40),IF(X323&lt;=380,100+((200-100)/(380-80))*(X323-80),IF(X323&lt;=800,200+((300-200)/(800-380))*(X323-380),IF(X323&lt;=1600,300+((400-300)/(1600-800))*(X323-800),IF(X323&lt;=2100,400+((500-400)/(2100-1600))*(X323-1600),500)))))))</f>
        <v>29.625</v>
      </c>
      <c r="AK323" s="4" t="n">
        <f aca="false">IF(Y323="","",IF(Y323&lt;=50,(50/50)*Y323,IF(Y323&lt;=100,50+((100-50)/(100-50))*(Y323-50),IF(Y323&lt;=168,100+((200-100)/(168-100))*(Y323-100),IF(Y323&lt;=208,200+((300-200)/(208-168))*(Y323-168),IF(Y323&lt;=748,300+((400-300)/(748-208))*(Y323-208),IF(Y323&lt;=1000,400+((500-400)/(1000-748))*(Y323-748),500)))))))</f>
        <v>87</v>
      </c>
      <c r="AL323" s="4" t="n">
        <f aca="false">ROUND(MAX(AF323,AG323,AH323,AI323,AJ323,AK323),0)</f>
        <v>87</v>
      </c>
      <c r="AM323" s="4" t="str">
        <f aca="false">IF(AL323="","",IF(AL323&lt;=50,"Good",IF(AL323&lt;=100,"Satisfactory",IF(AL323&lt;=200,"Moderate",IF(AL323&lt;=300,"Poor",IF(AL323&lt;=400,"Very Poor","Severe"))))))</f>
        <v>Satisfactory</v>
      </c>
    </row>
    <row r="324" customFormat="false" ht="15.75" hidden="false" customHeight="false" outlineLevel="0" collapsed="false">
      <c r="A324" s="1" t="s">
        <v>39</v>
      </c>
      <c r="B324" s="1" t="s">
        <v>40</v>
      </c>
      <c r="C324" s="1" t="n">
        <v>28.4595</v>
      </c>
      <c r="D324" s="1" t="n">
        <v>77.0266</v>
      </c>
      <c r="E324" s="5" t="n">
        <v>45914</v>
      </c>
      <c r="F324" s="6" t="s">
        <v>61</v>
      </c>
      <c r="G324" s="1" t="n">
        <v>9</v>
      </c>
      <c r="H324" s="7" t="s">
        <v>87</v>
      </c>
      <c r="I324" s="6" t="s">
        <v>46</v>
      </c>
      <c r="J324" s="7" t="s">
        <v>44</v>
      </c>
      <c r="K324" s="7" t="s">
        <v>60</v>
      </c>
      <c r="L324" s="1" t="n">
        <v>54</v>
      </c>
      <c r="M324" s="1" t="n">
        <v>22.1</v>
      </c>
      <c r="N324" s="1" t="n">
        <v>18</v>
      </c>
      <c r="O324" s="1" t="n">
        <v>0</v>
      </c>
      <c r="P324" s="6" t="s">
        <v>43</v>
      </c>
      <c r="Q324" s="6" t="s">
        <v>43</v>
      </c>
      <c r="R324" s="1" t="n">
        <v>1008.3</v>
      </c>
      <c r="S324" s="1" t="n">
        <v>4</v>
      </c>
      <c r="T324" s="1" t="n">
        <v>27.8</v>
      </c>
      <c r="U324" s="1" t="n">
        <v>83.6</v>
      </c>
      <c r="V324" s="1" t="n">
        <v>345</v>
      </c>
      <c r="W324" s="1" t="n">
        <v>18.8</v>
      </c>
      <c r="X324" s="1" t="n">
        <v>21.4</v>
      </c>
      <c r="Y324" s="1" t="n">
        <v>119</v>
      </c>
      <c r="Z324" s="1" t="n">
        <v>69</v>
      </c>
      <c r="AA324" s="1" t="n">
        <v>151</v>
      </c>
      <c r="AB324" s="7" t="s">
        <v>81</v>
      </c>
      <c r="AC324" s="7" t="s">
        <v>50</v>
      </c>
      <c r="AD324" s="6" t="s">
        <v>43</v>
      </c>
      <c r="AE324" s="6" t="s">
        <v>43</v>
      </c>
      <c r="AF324" s="4" t="n">
        <f aca="false">IF(T324="","",IF(T324&lt;=30,(50/30)*T324,IF(T324&lt;=60,50+((100-50)/(60-30))*(T324-30),IF(T324&lt;=90,100+((200-100)/(90-60))*(T324-60),IF(T324&lt;=120,200+((300-200)/(120-90))*(T324-90),IF(T324&lt;=250,300+((400-300)/(250-120))*(T324-120),IF(T324&lt;=380,400+((500-400)/(380-250))*(T324-250),500)))))))</f>
        <v>46.3333333333333</v>
      </c>
      <c r="AG324" s="4" t="n">
        <f aca="false">IF(U324="","",IF(U324&lt;=50,(50/50)*U324,IF(U324&lt;=100,50+((100-50)/(100-50))*(U324-50),IF(U324&lt;=250,100+((200-100)/(250-100))*(U324-100),IF(U324&lt;=350,200+((300-200)/(350-250))*(U324-250),IF(U324&lt;=430,300+((400-300)/(430-350))*(U324-350),IF(U324&lt;=600,400+((500-400)/(600-430))*(U324-430),500)))))))</f>
        <v>83.6</v>
      </c>
      <c r="AH324" s="4" t="n">
        <f aca="false">IF(V324="","",IF((V324/1000)&lt;=1,(50/1)*(V324/1000),IF((V324/1000)&lt;=2,50+((100-50)/(2-1))*(V324/1000-1),IF((V324/1000)&lt;=10,100+((200-100)/(10-2))*(V324/1000-2),IF((V324/1000)&lt;=17,200+((300-200)/(17-10))*(V324/1000-10),IF((V324/1000)&lt;=34,300+((400-300)/(34-17))*(V324/1000-17),IF((V324/1000)&lt;=57,400+((500-400)/(57-34))*(V324/1000-34),500)))))))</f>
        <v>17.25</v>
      </c>
      <c r="AI324" s="4" t="n">
        <f aca="false">IF(W324="","",IF(W324&lt;=40,(50/40)*W324,IF(W324&lt;=80,50+((100-50)/(80-40))*(W324-40),IF(W324&lt;=180,100+((200-100)/(180-80))*(W324-80),IF(W324&lt;=280,200+((300-200)/(280-180))*(W324-180),IF(W324&lt;=400,300+((400-300)/(400-280))*(W324-280),IF(W324&lt;=800,400+((500-400)/(800-400))*(W324-400),500)))))))</f>
        <v>23.5</v>
      </c>
      <c r="AJ324" s="4" t="n">
        <f aca="false">IF(X324="","",IF(X324&lt;=40,(50/40)*X324,IF(X324&lt;=80,50+((100-50)/(80-40))*(X324-40),IF(X324&lt;=380,100+((200-100)/(380-80))*(X324-80),IF(X324&lt;=800,200+((300-200)/(800-380))*(X324-380),IF(X324&lt;=1600,300+((400-300)/(1600-800))*(X324-800),IF(X324&lt;=2100,400+((500-400)/(2100-1600))*(X324-1600),500)))))))</f>
        <v>26.75</v>
      </c>
      <c r="AK324" s="4" t="n">
        <f aca="false">IF(Y324="","",IF(Y324&lt;=50,(50/50)*Y324,IF(Y324&lt;=100,50+((100-50)/(100-50))*(Y324-50),IF(Y324&lt;=168,100+((200-100)/(168-100))*(Y324-100),IF(Y324&lt;=208,200+((300-200)/(208-168))*(Y324-168),IF(Y324&lt;=748,300+((400-300)/(748-208))*(Y324-208),IF(Y324&lt;=1000,400+((500-400)/(1000-748))*(Y324-748),500)))))))</f>
        <v>127.941176470588</v>
      </c>
      <c r="AL324" s="4" t="n">
        <f aca="false">ROUND(MAX(AF324,AG324,AH324,AI324,AJ324,AK324),0)</f>
        <v>128</v>
      </c>
      <c r="AM324" s="4" t="str">
        <f aca="false">IF(AL324="","",IF(AL324&lt;=50,"Good",IF(AL324&lt;=100,"Satisfactory",IF(AL324&lt;=200,"Moderate",IF(AL324&lt;=300,"Poor",IF(AL324&lt;=400,"Very Poor","Severe"))))))</f>
        <v>Moderate</v>
      </c>
    </row>
    <row r="325" customFormat="false" ht="15.75" hidden="false" customHeight="false" outlineLevel="0" collapsed="false">
      <c r="A325" s="1" t="s">
        <v>39</v>
      </c>
      <c r="B325" s="1" t="s">
        <v>40</v>
      </c>
      <c r="C325" s="1" t="n">
        <v>28.4595</v>
      </c>
      <c r="D325" s="1" t="n">
        <v>77.0266</v>
      </c>
      <c r="E325" s="5" t="n">
        <v>45914</v>
      </c>
      <c r="F325" s="6" t="s">
        <v>62</v>
      </c>
      <c r="G325" s="1" t="n">
        <v>9</v>
      </c>
      <c r="H325" s="7" t="s">
        <v>87</v>
      </c>
      <c r="I325" s="6" t="s">
        <v>46</v>
      </c>
      <c r="J325" s="7" t="s">
        <v>44</v>
      </c>
      <c r="K325" s="7" t="s">
        <v>60</v>
      </c>
      <c r="L325" s="1" t="n">
        <v>50</v>
      </c>
      <c r="M325" s="1" t="n">
        <v>21.3</v>
      </c>
      <c r="N325" s="1" t="n">
        <v>23</v>
      </c>
      <c r="O325" s="1" t="n">
        <v>0</v>
      </c>
      <c r="P325" s="6" t="s">
        <v>43</v>
      </c>
      <c r="Q325" s="6" t="s">
        <v>43</v>
      </c>
      <c r="R325" s="1" t="n">
        <v>1007.7</v>
      </c>
      <c r="S325" s="1" t="n">
        <v>11</v>
      </c>
      <c r="T325" s="1" t="n">
        <v>23.3</v>
      </c>
      <c r="U325" s="1" t="n">
        <v>60.1</v>
      </c>
      <c r="V325" s="1" t="n">
        <v>207</v>
      </c>
      <c r="W325" s="1" t="n">
        <v>7.1</v>
      </c>
      <c r="X325" s="1" t="n">
        <v>19.3</v>
      </c>
      <c r="Y325" s="1" t="n">
        <v>142</v>
      </c>
      <c r="Z325" s="1" t="n">
        <v>72</v>
      </c>
      <c r="AA325" s="1" t="n">
        <v>151</v>
      </c>
      <c r="AB325" s="7" t="s">
        <v>81</v>
      </c>
      <c r="AC325" s="7" t="s">
        <v>50</v>
      </c>
      <c r="AD325" s="6" t="s">
        <v>43</v>
      </c>
      <c r="AE325" s="6" t="s">
        <v>43</v>
      </c>
      <c r="AF325" s="4" t="n">
        <f aca="false">IF(T325="","",IF(T325&lt;=30,(50/30)*T325,IF(T325&lt;=60,50+((100-50)/(60-30))*(T325-30),IF(T325&lt;=90,100+((200-100)/(90-60))*(T325-60),IF(T325&lt;=120,200+((300-200)/(120-90))*(T325-90),IF(T325&lt;=250,300+((400-300)/(250-120))*(T325-120),IF(T325&lt;=380,400+((500-400)/(380-250))*(T325-250),500)))))))</f>
        <v>38.8333333333333</v>
      </c>
      <c r="AG325" s="4" t="n">
        <f aca="false">IF(U325="","",IF(U325&lt;=50,(50/50)*U325,IF(U325&lt;=100,50+((100-50)/(100-50))*(U325-50),IF(U325&lt;=250,100+((200-100)/(250-100))*(U325-100),IF(U325&lt;=350,200+((300-200)/(350-250))*(U325-250),IF(U325&lt;=430,300+((400-300)/(430-350))*(U325-350),IF(U325&lt;=600,400+((500-400)/(600-430))*(U325-430),500)))))))</f>
        <v>60.1</v>
      </c>
      <c r="AH325" s="4" t="n">
        <f aca="false">IF(V325="","",IF((V325/1000)&lt;=1,(50/1)*(V325/1000),IF((V325/1000)&lt;=2,50+((100-50)/(2-1))*(V325/1000-1),IF((V325/1000)&lt;=10,100+((200-100)/(10-2))*(V325/1000-2),IF((V325/1000)&lt;=17,200+((300-200)/(17-10))*(V325/1000-10),IF((V325/1000)&lt;=34,300+((400-300)/(34-17))*(V325/1000-17),IF((V325/1000)&lt;=57,400+((500-400)/(57-34))*(V325/1000-34),500)))))))</f>
        <v>10.35</v>
      </c>
      <c r="AI325" s="4" t="n">
        <f aca="false">IF(W325="","",IF(W325&lt;=40,(50/40)*W325,IF(W325&lt;=80,50+((100-50)/(80-40))*(W325-40),IF(W325&lt;=180,100+((200-100)/(180-80))*(W325-80),IF(W325&lt;=280,200+((300-200)/(280-180))*(W325-180),IF(W325&lt;=400,300+((400-300)/(400-280))*(W325-280),IF(W325&lt;=800,400+((500-400)/(800-400))*(W325-400),500)))))))</f>
        <v>8.875</v>
      </c>
      <c r="AJ325" s="4" t="n">
        <f aca="false">IF(X325="","",IF(X325&lt;=40,(50/40)*X325,IF(X325&lt;=80,50+((100-50)/(80-40))*(X325-40),IF(X325&lt;=380,100+((200-100)/(380-80))*(X325-80),IF(X325&lt;=800,200+((300-200)/(800-380))*(X325-380),IF(X325&lt;=1600,300+((400-300)/(1600-800))*(X325-800),IF(X325&lt;=2100,400+((500-400)/(2100-1600))*(X325-1600),500)))))))</f>
        <v>24.125</v>
      </c>
      <c r="AK325" s="4" t="n">
        <f aca="false">IF(Y325="","",IF(Y325&lt;=50,(50/50)*Y325,IF(Y325&lt;=100,50+((100-50)/(100-50))*(Y325-50),IF(Y325&lt;=168,100+((200-100)/(168-100))*(Y325-100),IF(Y325&lt;=208,200+((300-200)/(208-168))*(Y325-168),IF(Y325&lt;=748,300+((400-300)/(748-208))*(Y325-208),IF(Y325&lt;=1000,400+((500-400)/(1000-748))*(Y325-748),500)))))))</f>
        <v>161.764705882353</v>
      </c>
      <c r="AL325" s="4" t="n">
        <f aca="false">ROUND(MAX(AF325,AG325,AH325,AI325,AJ325,AK325),0)</f>
        <v>162</v>
      </c>
      <c r="AM325" s="4" t="str">
        <f aca="false">IF(AL325="","",IF(AL325&lt;=50,"Good",IF(AL325&lt;=100,"Satisfactory",IF(AL325&lt;=200,"Moderate",IF(AL325&lt;=300,"Poor",IF(AL325&lt;=400,"Very Poor","Severe"))))))</f>
        <v>Moderate</v>
      </c>
    </row>
    <row r="326" customFormat="false" ht="15.75" hidden="false" customHeight="false" outlineLevel="0" collapsed="false">
      <c r="A326" s="1" t="s">
        <v>39</v>
      </c>
      <c r="B326" s="1" t="s">
        <v>40</v>
      </c>
      <c r="C326" s="1" t="n">
        <v>28.4595</v>
      </c>
      <c r="D326" s="1" t="n">
        <v>77.0266</v>
      </c>
      <c r="E326" s="5" t="n">
        <v>45914</v>
      </c>
      <c r="F326" s="6" t="s">
        <v>63</v>
      </c>
      <c r="G326" s="1" t="n">
        <v>9</v>
      </c>
      <c r="H326" s="7" t="s">
        <v>87</v>
      </c>
      <c r="I326" s="6" t="s">
        <v>46</v>
      </c>
      <c r="J326" s="7" t="s">
        <v>44</v>
      </c>
      <c r="K326" s="7" t="s">
        <v>60</v>
      </c>
      <c r="L326" s="1" t="n">
        <v>48</v>
      </c>
      <c r="M326" s="1" t="n">
        <v>21.1</v>
      </c>
      <c r="N326" s="1" t="n">
        <v>23.8</v>
      </c>
      <c r="O326" s="1" t="n">
        <v>0</v>
      </c>
      <c r="P326" s="6" t="s">
        <v>43</v>
      </c>
      <c r="Q326" s="6" t="s">
        <v>43</v>
      </c>
      <c r="R326" s="1" t="n">
        <v>1006.8</v>
      </c>
      <c r="S326" s="1" t="n">
        <v>48</v>
      </c>
      <c r="T326" s="1" t="n">
        <v>23.2</v>
      </c>
      <c r="U326" s="1" t="n">
        <v>54.7</v>
      </c>
      <c r="V326" s="1" t="n">
        <v>165</v>
      </c>
      <c r="W326" s="1" t="n">
        <v>2.9</v>
      </c>
      <c r="X326" s="1" t="n">
        <v>17.6</v>
      </c>
      <c r="Y326" s="1" t="n">
        <v>154</v>
      </c>
      <c r="Z326" s="1" t="n">
        <v>74</v>
      </c>
      <c r="AA326" s="1" t="n">
        <v>151</v>
      </c>
      <c r="AB326" s="7" t="s">
        <v>81</v>
      </c>
      <c r="AC326" s="7" t="s">
        <v>50</v>
      </c>
      <c r="AD326" s="6" t="s">
        <v>43</v>
      </c>
      <c r="AE326" s="6" t="s">
        <v>43</v>
      </c>
      <c r="AF326" s="4" t="n">
        <f aca="false">IF(T326="","",IF(T326&lt;=30,(50/30)*T326,IF(T326&lt;=60,50+((100-50)/(60-30))*(T326-30),IF(T326&lt;=90,100+((200-100)/(90-60))*(T326-60),IF(T326&lt;=120,200+((300-200)/(120-90))*(T326-90),IF(T326&lt;=250,300+((400-300)/(250-120))*(T326-120),IF(T326&lt;=380,400+((500-400)/(380-250))*(T326-250),500)))))))</f>
        <v>38.6666666666667</v>
      </c>
      <c r="AG326" s="4" t="n">
        <f aca="false">IF(U326="","",IF(U326&lt;=50,(50/50)*U326,IF(U326&lt;=100,50+((100-50)/(100-50))*(U326-50),IF(U326&lt;=250,100+((200-100)/(250-100))*(U326-100),IF(U326&lt;=350,200+((300-200)/(350-250))*(U326-250),IF(U326&lt;=430,300+((400-300)/(430-350))*(U326-350),IF(U326&lt;=600,400+((500-400)/(600-430))*(U326-430),500)))))))</f>
        <v>54.7</v>
      </c>
      <c r="AH326" s="4" t="n">
        <f aca="false">IF(V326="","",IF((V326/1000)&lt;=1,(50/1)*(V326/1000),IF((V326/1000)&lt;=2,50+((100-50)/(2-1))*(V326/1000-1),IF((V326/1000)&lt;=10,100+((200-100)/(10-2))*(V326/1000-2),IF((V326/1000)&lt;=17,200+((300-200)/(17-10))*(V326/1000-10),IF((V326/1000)&lt;=34,300+((400-300)/(34-17))*(V326/1000-17),IF((V326/1000)&lt;=57,400+((500-400)/(57-34))*(V326/1000-34),500)))))))</f>
        <v>8.25</v>
      </c>
      <c r="AI326" s="4" t="n">
        <f aca="false">IF(W326="","",IF(W326&lt;=40,(50/40)*W326,IF(W326&lt;=80,50+((100-50)/(80-40))*(W326-40),IF(W326&lt;=180,100+((200-100)/(180-80))*(W326-80),IF(W326&lt;=280,200+((300-200)/(280-180))*(W326-180),IF(W326&lt;=400,300+((400-300)/(400-280))*(W326-280),IF(W326&lt;=800,400+((500-400)/(800-400))*(W326-400),500)))))))</f>
        <v>3.625</v>
      </c>
      <c r="AJ326" s="4" t="n">
        <f aca="false">IF(X326="","",IF(X326&lt;=40,(50/40)*X326,IF(X326&lt;=80,50+((100-50)/(80-40))*(X326-40),IF(X326&lt;=380,100+((200-100)/(380-80))*(X326-80),IF(X326&lt;=800,200+((300-200)/(800-380))*(X326-380),IF(X326&lt;=1600,300+((400-300)/(1600-800))*(X326-800),IF(X326&lt;=2100,400+((500-400)/(2100-1600))*(X326-1600),500)))))))</f>
        <v>22</v>
      </c>
      <c r="AK326" s="4" t="n">
        <f aca="false">IF(Y326="","",IF(Y326&lt;=50,(50/50)*Y326,IF(Y326&lt;=100,50+((100-50)/(100-50))*(Y326-50),IF(Y326&lt;=168,100+((200-100)/(168-100))*(Y326-100),IF(Y326&lt;=208,200+((300-200)/(208-168))*(Y326-168),IF(Y326&lt;=748,300+((400-300)/(748-208))*(Y326-208),IF(Y326&lt;=1000,400+((500-400)/(1000-748))*(Y326-748),500)))))))</f>
        <v>179.411764705882</v>
      </c>
      <c r="AL326" s="4" t="n">
        <f aca="false">ROUND(MAX(AF326,AG326,AH326,AI326,AJ326,AK326),0)</f>
        <v>179</v>
      </c>
      <c r="AM326" s="4" t="str">
        <f aca="false">IF(AL326="","",IF(AL326&lt;=50,"Good",IF(AL326&lt;=100,"Satisfactory",IF(AL326&lt;=200,"Moderate",IF(AL326&lt;=300,"Poor",IF(AL326&lt;=400,"Very Poor","Severe"))))))</f>
        <v>Moderate</v>
      </c>
    </row>
    <row r="327" customFormat="false" ht="15.75" hidden="false" customHeight="false" outlineLevel="0" collapsed="false">
      <c r="A327" s="1" t="s">
        <v>39</v>
      </c>
      <c r="B327" s="1" t="s">
        <v>40</v>
      </c>
      <c r="C327" s="1" t="n">
        <v>28.4595</v>
      </c>
      <c r="D327" s="1" t="n">
        <v>77.0266</v>
      </c>
      <c r="E327" s="5" t="n">
        <v>45914</v>
      </c>
      <c r="F327" s="6" t="s">
        <v>64</v>
      </c>
      <c r="G327" s="1" t="n">
        <v>9</v>
      </c>
      <c r="H327" s="7" t="s">
        <v>87</v>
      </c>
      <c r="I327" s="6" t="s">
        <v>46</v>
      </c>
      <c r="J327" s="7" t="s">
        <v>44</v>
      </c>
      <c r="K327" s="7" t="s">
        <v>65</v>
      </c>
      <c r="L327" s="1" t="n">
        <v>48</v>
      </c>
      <c r="M327" s="1" t="n">
        <v>21.4</v>
      </c>
      <c r="N327" s="1" t="n">
        <v>23.8</v>
      </c>
      <c r="O327" s="1" t="n">
        <v>0</v>
      </c>
      <c r="P327" s="6" t="s">
        <v>43</v>
      </c>
      <c r="Q327" s="6" t="s">
        <v>43</v>
      </c>
      <c r="R327" s="1" t="n">
        <v>1005.8</v>
      </c>
      <c r="S327" s="1" t="n">
        <v>72</v>
      </c>
      <c r="T327" s="1" t="n">
        <v>23.8</v>
      </c>
      <c r="U327" s="1" t="n">
        <v>54.8</v>
      </c>
      <c r="V327" s="1" t="n">
        <v>175</v>
      </c>
      <c r="W327" s="1" t="n">
        <v>3.2</v>
      </c>
      <c r="X327" s="1" t="n">
        <v>16.2</v>
      </c>
      <c r="Y327" s="1" t="n">
        <v>158</v>
      </c>
      <c r="Z327" s="1" t="n">
        <v>75</v>
      </c>
      <c r="AA327" s="1" t="n">
        <v>151</v>
      </c>
      <c r="AB327" s="7" t="s">
        <v>81</v>
      </c>
      <c r="AC327" s="7" t="s">
        <v>50</v>
      </c>
      <c r="AD327" s="6" t="s">
        <v>43</v>
      </c>
      <c r="AE327" s="6" t="s">
        <v>43</v>
      </c>
      <c r="AF327" s="4" t="n">
        <f aca="false">IF(T327="","",IF(T327&lt;=30,(50/30)*T327,IF(T327&lt;=60,50+((100-50)/(60-30))*(T327-30),IF(T327&lt;=90,100+((200-100)/(90-60))*(T327-60),IF(T327&lt;=120,200+((300-200)/(120-90))*(T327-90),IF(T327&lt;=250,300+((400-300)/(250-120))*(T327-120),IF(T327&lt;=380,400+((500-400)/(380-250))*(T327-250),500)))))))</f>
        <v>39.6666666666667</v>
      </c>
      <c r="AG327" s="4" t="n">
        <f aca="false">IF(U327="","",IF(U327&lt;=50,(50/50)*U327,IF(U327&lt;=100,50+((100-50)/(100-50))*(U327-50),IF(U327&lt;=250,100+((200-100)/(250-100))*(U327-100),IF(U327&lt;=350,200+((300-200)/(350-250))*(U327-250),IF(U327&lt;=430,300+((400-300)/(430-350))*(U327-350),IF(U327&lt;=600,400+((500-400)/(600-430))*(U327-430),500)))))))</f>
        <v>54.8</v>
      </c>
      <c r="AH327" s="4" t="n">
        <f aca="false">IF(V327="","",IF((V327/1000)&lt;=1,(50/1)*(V327/1000),IF((V327/1000)&lt;=2,50+((100-50)/(2-1))*(V327/1000-1),IF((V327/1000)&lt;=10,100+((200-100)/(10-2))*(V327/1000-2),IF((V327/1000)&lt;=17,200+((300-200)/(17-10))*(V327/1000-10),IF((V327/1000)&lt;=34,300+((400-300)/(34-17))*(V327/1000-17),IF((V327/1000)&lt;=57,400+((500-400)/(57-34))*(V327/1000-34),500)))))))</f>
        <v>8.75</v>
      </c>
      <c r="AI327" s="4" t="n">
        <f aca="false">IF(W327="","",IF(W327&lt;=40,(50/40)*W327,IF(W327&lt;=80,50+((100-50)/(80-40))*(W327-40),IF(W327&lt;=180,100+((200-100)/(180-80))*(W327-80),IF(W327&lt;=280,200+((300-200)/(280-180))*(W327-180),IF(W327&lt;=400,300+((400-300)/(400-280))*(W327-280),IF(W327&lt;=800,400+((500-400)/(800-400))*(W327-400),500)))))))</f>
        <v>4</v>
      </c>
      <c r="AJ327" s="4" t="n">
        <f aca="false">IF(X327="","",IF(X327&lt;=40,(50/40)*X327,IF(X327&lt;=80,50+((100-50)/(80-40))*(X327-40),IF(X327&lt;=380,100+((200-100)/(380-80))*(X327-80),IF(X327&lt;=800,200+((300-200)/(800-380))*(X327-380),IF(X327&lt;=1600,300+((400-300)/(1600-800))*(X327-800),IF(X327&lt;=2100,400+((500-400)/(2100-1600))*(X327-1600),500)))))))</f>
        <v>20.25</v>
      </c>
      <c r="AK327" s="4" t="n">
        <f aca="false">IF(Y327="","",IF(Y327&lt;=50,(50/50)*Y327,IF(Y327&lt;=100,50+((100-50)/(100-50))*(Y327-50),IF(Y327&lt;=168,100+((200-100)/(168-100))*(Y327-100),IF(Y327&lt;=208,200+((300-200)/(208-168))*(Y327-168),IF(Y327&lt;=748,300+((400-300)/(748-208))*(Y327-208),IF(Y327&lt;=1000,400+((500-400)/(1000-748))*(Y327-748),500)))))))</f>
        <v>185.294117647059</v>
      </c>
      <c r="AL327" s="4" t="n">
        <f aca="false">ROUND(MAX(AF327,AG327,AH327,AI327,AJ327,AK327),0)</f>
        <v>185</v>
      </c>
      <c r="AM327" s="4" t="str">
        <f aca="false">IF(AL327="","",IF(AL327&lt;=50,"Good",IF(AL327&lt;=100,"Satisfactory",IF(AL327&lt;=200,"Moderate",IF(AL327&lt;=300,"Poor",IF(AL327&lt;=400,"Very Poor","Severe"))))))</f>
        <v>Moderate</v>
      </c>
    </row>
    <row r="328" customFormat="false" ht="15.75" hidden="false" customHeight="false" outlineLevel="0" collapsed="false">
      <c r="A328" s="1" t="s">
        <v>39</v>
      </c>
      <c r="B328" s="1" t="s">
        <v>40</v>
      </c>
      <c r="C328" s="1" t="n">
        <v>28.4595</v>
      </c>
      <c r="D328" s="1" t="n">
        <v>77.0266</v>
      </c>
      <c r="E328" s="5" t="n">
        <v>45914</v>
      </c>
      <c r="F328" s="6" t="s">
        <v>66</v>
      </c>
      <c r="G328" s="1" t="n">
        <v>9</v>
      </c>
      <c r="H328" s="7" t="s">
        <v>87</v>
      </c>
      <c r="I328" s="6" t="s">
        <v>46</v>
      </c>
      <c r="J328" s="7" t="s">
        <v>44</v>
      </c>
      <c r="K328" s="7" t="s">
        <v>65</v>
      </c>
      <c r="L328" s="1" t="n">
        <v>48</v>
      </c>
      <c r="M328" s="1" t="n">
        <v>21.5</v>
      </c>
      <c r="N328" s="1" t="n">
        <v>23.8</v>
      </c>
      <c r="O328" s="1" t="n">
        <v>0</v>
      </c>
      <c r="P328" s="6" t="s">
        <v>43</v>
      </c>
      <c r="Q328" s="6" t="s">
        <v>43</v>
      </c>
      <c r="R328" s="1" t="n">
        <v>1004.7</v>
      </c>
      <c r="S328" s="1" t="n">
        <v>77</v>
      </c>
      <c r="T328" s="1" t="n">
        <v>23.6</v>
      </c>
      <c r="U328" s="1" t="n">
        <v>61.2</v>
      </c>
      <c r="V328" s="1" t="n">
        <v>203</v>
      </c>
      <c r="W328" s="1" t="n">
        <v>5.6</v>
      </c>
      <c r="X328" s="1" t="n">
        <v>15.2</v>
      </c>
      <c r="Y328" s="1" t="n">
        <v>156</v>
      </c>
      <c r="Z328" s="1" t="n">
        <v>74</v>
      </c>
      <c r="AA328" s="1" t="n">
        <v>151</v>
      </c>
      <c r="AB328" s="7" t="s">
        <v>81</v>
      </c>
      <c r="AC328" s="7" t="s">
        <v>50</v>
      </c>
      <c r="AD328" s="6" t="s">
        <v>43</v>
      </c>
      <c r="AE328" s="6" t="s">
        <v>43</v>
      </c>
      <c r="AF328" s="4" t="n">
        <f aca="false">IF(T328="","",IF(T328&lt;=30,(50/30)*T328,IF(T328&lt;=60,50+((100-50)/(60-30))*(T328-30),IF(T328&lt;=90,100+((200-100)/(90-60))*(T328-60),IF(T328&lt;=120,200+((300-200)/(120-90))*(T328-90),IF(T328&lt;=250,300+((400-300)/(250-120))*(T328-120),IF(T328&lt;=380,400+((500-400)/(380-250))*(T328-250),500)))))))</f>
        <v>39.3333333333333</v>
      </c>
      <c r="AG328" s="4" t="n">
        <f aca="false">IF(U328="","",IF(U328&lt;=50,(50/50)*U328,IF(U328&lt;=100,50+((100-50)/(100-50))*(U328-50),IF(U328&lt;=250,100+((200-100)/(250-100))*(U328-100),IF(U328&lt;=350,200+((300-200)/(350-250))*(U328-250),IF(U328&lt;=430,300+((400-300)/(430-350))*(U328-350),IF(U328&lt;=600,400+((500-400)/(600-430))*(U328-430),500)))))))</f>
        <v>61.2</v>
      </c>
      <c r="AH328" s="4" t="n">
        <f aca="false">IF(V328="","",IF((V328/1000)&lt;=1,(50/1)*(V328/1000),IF((V328/1000)&lt;=2,50+((100-50)/(2-1))*(V328/1000-1),IF((V328/1000)&lt;=10,100+((200-100)/(10-2))*(V328/1000-2),IF((V328/1000)&lt;=17,200+((300-200)/(17-10))*(V328/1000-10),IF((V328/1000)&lt;=34,300+((400-300)/(34-17))*(V328/1000-17),IF((V328/1000)&lt;=57,400+((500-400)/(57-34))*(V328/1000-34),500)))))))</f>
        <v>10.15</v>
      </c>
      <c r="AI328" s="4" t="n">
        <f aca="false">IF(W328="","",IF(W328&lt;=40,(50/40)*W328,IF(W328&lt;=80,50+((100-50)/(80-40))*(W328-40),IF(W328&lt;=180,100+((200-100)/(180-80))*(W328-80),IF(W328&lt;=280,200+((300-200)/(280-180))*(W328-180),IF(W328&lt;=400,300+((400-300)/(400-280))*(W328-280),IF(W328&lt;=800,400+((500-400)/(800-400))*(W328-400),500)))))))</f>
        <v>7</v>
      </c>
      <c r="AJ328" s="4" t="n">
        <f aca="false">IF(X328="","",IF(X328&lt;=40,(50/40)*X328,IF(X328&lt;=80,50+((100-50)/(80-40))*(X328-40),IF(X328&lt;=380,100+((200-100)/(380-80))*(X328-80),IF(X328&lt;=800,200+((300-200)/(800-380))*(X328-380),IF(X328&lt;=1600,300+((400-300)/(1600-800))*(X328-800),IF(X328&lt;=2100,400+((500-400)/(2100-1600))*(X328-1600),500)))))))</f>
        <v>19</v>
      </c>
      <c r="AK328" s="4" t="n">
        <f aca="false">IF(Y328="","",IF(Y328&lt;=50,(50/50)*Y328,IF(Y328&lt;=100,50+((100-50)/(100-50))*(Y328-50),IF(Y328&lt;=168,100+((200-100)/(168-100))*(Y328-100),IF(Y328&lt;=208,200+((300-200)/(208-168))*(Y328-168),IF(Y328&lt;=748,300+((400-300)/(748-208))*(Y328-208),IF(Y328&lt;=1000,400+((500-400)/(1000-748))*(Y328-748),500)))))))</f>
        <v>182.352941176471</v>
      </c>
      <c r="AL328" s="4" t="n">
        <f aca="false">ROUND(MAX(AF328,AG328,AH328,AI328,AJ328,AK328),0)</f>
        <v>182</v>
      </c>
      <c r="AM328" s="4" t="str">
        <f aca="false">IF(AL328="","",IF(AL328&lt;=50,"Good",IF(AL328&lt;=100,"Satisfactory",IF(AL328&lt;=200,"Moderate",IF(AL328&lt;=300,"Poor",IF(AL328&lt;=400,"Very Poor","Severe"))))))</f>
        <v>Moderate</v>
      </c>
    </row>
    <row r="329" customFormat="false" ht="15.75" hidden="false" customHeight="false" outlineLevel="0" collapsed="false">
      <c r="A329" s="1" t="s">
        <v>39</v>
      </c>
      <c r="B329" s="1" t="s">
        <v>40</v>
      </c>
      <c r="C329" s="1" t="n">
        <v>28.4595</v>
      </c>
      <c r="D329" s="1" t="n">
        <v>77.0266</v>
      </c>
      <c r="E329" s="5" t="n">
        <v>45914</v>
      </c>
      <c r="F329" s="6" t="s">
        <v>67</v>
      </c>
      <c r="G329" s="1" t="n">
        <v>9</v>
      </c>
      <c r="H329" s="7" t="s">
        <v>87</v>
      </c>
      <c r="I329" s="6" t="s">
        <v>46</v>
      </c>
      <c r="J329" s="7" t="s">
        <v>44</v>
      </c>
      <c r="K329" s="7" t="s">
        <v>65</v>
      </c>
      <c r="L329" s="1" t="n">
        <v>49</v>
      </c>
      <c r="M329" s="1" t="n">
        <v>21.7</v>
      </c>
      <c r="N329" s="1" t="n">
        <v>23.4</v>
      </c>
      <c r="O329" s="1" t="n">
        <v>0</v>
      </c>
      <c r="P329" s="6" t="s">
        <v>43</v>
      </c>
      <c r="Q329" s="6" t="s">
        <v>43</v>
      </c>
      <c r="R329" s="1" t="n">
        <v>1003.7</v>
      </c>
      <c r="S329" s="1" t="n">
        <v>92</v>
      </c>
      <c r="T329" s="1" t="n">
        <v>24.4</v>
      </c>
      <c r="U329" s="1" t="n">
        <v>68.2</v>
      </c>
      <c r="V329" s="1" t="n">
        <v>203</v>
      </c>
      <c r="W329" s="1" t="n">
        <v>7</v>
      </c>
      <c r="X329" s="1" t="n">
        <v>14</v>
      </c>
      <c r="Y329" s="1" t="n">
        <v>148</v>
      </c>
      <c r="Z329" s="1" t="n">
        <v>71</v>
      </c>
      <c r="AA329" s="1" t="n">
        <v>151</v>
      </c>
      <c r="AB329" s="7" t="s">
        <v>81</v>
      </c>
      <c r="AC329" s="7" t="s">
        <v>50</v>
      </c>
      <c r="AD329" s="6" t="s">
        <v>43</v>
      </c>
      <c r="AE329" s="6" t="s">
        <v>43</v>
      </c>
      <c r="AF329" s="4" t="n">
        <f aca="false">IF(T329="","",IF(T329&lt;=30,(50/30)*T329,IF(T329&lt;=60,50+((100-50)/(60-30))*(T329-30),IF(T329&lt;=90,100+((200-100)/(90-60))*(T329-60),IF(T329&lt;=120,200+((300-200)/(120-90))*(T329-90),IF(T329&lt;=250,300+((400-300)/(250-120))*(T329-120),IF(T329&lt;=380,400+((500-400)/(380-250))*(T329-250),500)))))))</f>
        <v>40.6666666666667</v>
      </c>
      <c r="AG329" s="4" t="n">
        <f aca="false">IF(U329="","",IF(U329&lt;=50,(50/50)*U329,IF(U329&lt;=100,50+((100-50)/(100-50))*(U329-50),IF(U329&lt;=250,100+((200-100)/(250-100))*(U329-100),IF(U329&lt;=350,200+((300-200)/(350-250))*(U329-250),IF(U329&lt;=430,300+((400-300)/(430-350))*(U329-350),IF(U329&lt;=600,400+((500-400)/(600-430))*(U329-430),500)))))))</f>
        <v>68.2</v>
      </c>
      <c r="AH329" s="4" t="n">
        <f aca="false">IF(V329="","",IF((V329/1000)&lt;=1,(50/1)*(V329/1000),IF((V329/1000)&lt;=2,50+((100-50)/(2-1))*(V329/1000-1),IF((V329/1000)&lt;=10,100+((200-100)/(10-2))*(V329/1000-2),IF((V329/1000)&lt;=17,200+((300-200)/(17-10))*(V329/1000-10),IF((V329/1000)&lt;=34,300+((400-300)/(34-17))*(V329/1000-17),IF((V329/1000)&lt;=57,400+((500-400)/(57-34))*(V329/1000-34),500)))))))</f>
        <v>10.15</v>
      </c>
      <c r="AI329" s="4" t="n">
        <f aca="false">IF(W329="","",IF(W329&lt;=40,(50/40)*W329,IF(W329&lt;=80,50+((100-50)/(80-40))*(W329-40),IF(W329&lt;=180,100+((200-100)/(180-80))*(W329-80),IF(W329&lt;=280,200+((300-200)/(280-180))*(W329-180),IF(W329&lt;=400,300+((400-300)/(400-280))*(W329-280),IF(W329&lt;=800,400+((500-400)/(800-400))*(W329-400),500)))))))</f>
        <v>8.75</v>
      </c>
      <c r="AJ329" s="4" t="n">
        <f aca="false">IF(X329="","",IF(X329&lt;=40,(50/40)*X329,IF(X329&lt;=80,50+((100-50)/(80-40))*(X329-40),IF(X329&lt;=380,100+((200-100)/(380-80))*(X329-80),IF(X329&lt;=800,200+((300-200)/(800-380))*(X329-380),IF(X329&lt;=1600,300+((400-300)/(1600-800))*(X329-800),IF(X329&lt;=2100,400+((500-400)/(2100-1600))*(X329-1600),500)))))))</f>
        <v>17.5</v>
      </c>
      <c r="AK329" s="4" t="n">
        <f aca="false">IF(Y329="","",IF(Y329&lt;=50,(50/50)*Y329,IF(Y329&lt;=100,50+((100-50)/(100-50))*(Y329-50),IF(Y329&lt;=168,100+((200-100)/(168-100))*(Y329-100),IF(Y329&lt;=208,200+((300-200)/(208-168))*(Y329-168),IF(Y329&lt;=748,300+((400-300)/(748-208))*(Y329-208),IF(Y329&lt;=1000,400+((500-400)/(1000-748))*(Y329-748),500)))))))</f>
        <v>170.588235294118</v>
      </c>
      <c r="AL329" s="4" t="n">
        <f aca="false">ROUND(MAX(AF329,AG329,AH329,AI329,AJ329,AK329),0)</f>
        <v>171</v>
      </c>
      <c r="AM329" s="4" t="str">
        <f aca="false">IF(AL329="","",IF(AL329&lt;=50,"Good",IF(AL329&lt;=100,"Satisfactory",IF(AL329&lt;=200,"Moderate",IF(AL329&lt;=300,"Poor",IF(AL329&lt;=400,"Very Poor","Severe"))))))</f>
        <v>Moderate</v>
      </c>
    </row>
    <row r="330" customFormat="false" ht="15.75" hidden="false" customHeight="false" outlineLevel="0" collapsed="false">
      <c r="A330" s="1" t="s">
        <v>39</v>
      </c>
      <c r="B330" s="1" t="s">
        <v>40</v>
      </c>
      <c r="C330" s="1" t="n">
        <v>28.4595</v>
      </c>
      <c r="D330" s="1" t="n">
        <v>77.0266</v>
      </c>
      <c r="E330" s="5" t="n">
        <v>45914</v>
      </c>
      <c r="F330" s="6" t="s">
        <v>68</v>
      </c>
      <c r="G330" s="1" t="n">
        <v>9</v>
      </c>
      <c r="H330" s="7" t="s">
        <v>87</v>
      </c>
      <c r="I330" s="6" t="s">
        <v>46</v>
      </c>
      <c r="J330" s="7" t="s">
        <v>44</v>
      </c>
      <c r="K330" s="7" t="s">
        <v>65</v>
      </c>
      <c r="L330" s="1" t="n">
        <v>51</v>
      </c>
      <c r="M330" s="1" t="n">
        <v>21.8</v>
      </c>
      <c r="N330" s="1" t="n">
        <v>23.4</v>
      </c>
      <c r="O330" s="1" t="n">
        <v>0</v>
      </c>
      <c r="P330" s="6" t="s">
        <v>43</v>
      </c>
      <c r="Q330" s="6" t="s">
        <v>43</v>
      </c>
      <c r="R330" s="1" t="n">
        <v>1003.2</v>
      </c>
      <c r="S330" s="1" t="n">
        <v>92</v>
      </c>
      <c r="T330" s="1" t="n">
        <v>23.1</v>
      </c>
      <c r="U330" s="1" t="n">
        <v>53.9</v>
      </c>
      <c r="V330" s="1" t="n">
        <v>222</v>
      </c>
      <c r="W330" s="1" t="n">
        <v>10.4</v>
      </c>
      <c r="X330" s="1" t="n">
        <v>13.2</v>
      </c>
      <c r="Y330" s="1" t="n">
        <v>133</v>
      </c>
      <c r="Z330" s="1" t="n">
        <v>66</v>
      </c>
      <c r="AA330" s="1" t="n">
        <v>151</v>
      </c>
      <c r="AB330" s="7" t="s">
        <v>81</v>
      </c>
      <c r="AC330" s="7" t="s">
        <v>50</v>
      </c>
      <c r="AD330" s="6" t="s">
        <v>43</v>
      </c>
      <c r="AE330" s="6" t="s">
        <v>43</v>
      </c>
      <c r="AF330" s="4" t="n">
        <f aca="false">IF(T330="","",IF(T330&lt;=30,(50/30)*T330,IF(T330&lt;=60,50+((100-50)/(60-30))*(T330-30),IF(T330&lt;=90,100+((200-100)/(90-60))*(T330-60),IF(T330&lt;=120,200+((300-200)/(120-90))*(T330-90),IF(T330&lt;=250,300+((400-300)/(250-120))*(T330-120),IF(T330&lt;=380,400+((500-400)/(380-250))*(T330-250),500)))))))</f>
        <v>38.5</v>
      </c>
      <c r="AG330" s="4" t="n">
        <f aca="false">IF(U330="","",IF(U330&lt;=50,(50/50)*U330,IF(U330&lt;=100,50+((100-50)/(100-50))*(U330-50),IF(U330&lt;=250,100+((200-100)/(250-100))*(U330-100),IF(U330&lt;=350,200+((300-200)/(350-250))*(U330-250),IF(U330&lt;=430,300+((400-300)/(430-350))*(U330-350),IF(U330&lt;=600,400+((500-400)/(600-430))*(U330-430),500)))))))</f>
        <v>53.9</v>
      </c>
      <c r="AH330" s="4" t="n">
        <f aca="false">IF(V330="","",IF((V330/1000)&lt;=1,(50/1)*(V330/1000),IF((V330/1000)&lt;=2,50+((100-50)/(2-1))*(V330/1000-1),IF((V330/1000)&lt;=10,100+((200-100)/(10-2))*(V330/1000-2),IF((V330/1000)&lt;=17,200+((300-200)/(17-10))*(V330/1000-10),IF((V330/1000)&lt;=34,300+((400-300)/(34-17))*(V330/1000-17),IF((V330/1000)&lt;=57,400+((500-400)/(57-34))*(V330/1000-34),500)))))))</f>
        <v>11.1</v>
      </c>
      <c r="AI330" s="4" t="n">
        <f aca="false">IF(W330="","",IF(W330&lt;=40,(50/40)*W330,IF(W330&lt;=80,50+((100-50)/(80-40))*(W330-40),IF(W330&lt;=180,100+((200-100)/(180-80))*(W330-80),IF(W330&lt;=280,200+((300-200)/(280-180))*(W330-180),IF(W330&lt;=400,300+((400-300)/(400-280))*(W330-280),IF(W330&lt;=800,400+((500-400)/(800-400))*(W330-400),500)))))))</f>
        <v>13</v>
      </c>
      <c r="AJ330" s="4" t="n">
        <f aca="false">IF(X330="","",IF(X330&lt;=40,(50/40)*X330,IF(X330&lt;=80,50+((100-50)/(80-40))*(X330-40),IF(X330&lt;=380,100+((200-100)/(380-80))*(X330-80),IF(X330&lt;=800,200+((300-200)/(800-380))*(X330-380),IF(X330&lt;=1600,300+((400-300)/(1600-800))*(X330-800),IF(X330&lt;=2100,400+((500-400)/(2100-1600))*(X330-1600),500)))))))</f>
        <v>16.5</v>
      </c>
      <c r="AK330" s="4" t="n">
        <f aca="false">IF(Y330="","",IF(Y330&lt;=50,(50/50)*Y330,IF(Y330&lt;=100,50+((100-50)/(100-50))*(Y330-50),IF(Y330&lt;=168,100+((200-100)/(168-100))*(Y330-100),IF(Y330&lt;=208,200+((300-200)/(208-168))*(Y330-168),IF(Y330&lt;=748,300+((400-300)/(748-208))*(Y330-208),IF(Y330&lt;=1000,400+((500-400)/(1000-748))*(Y330-748),500)))))))</f>
        <v>148.529411764706</v>
      </c>
      <c r="AL330" s="4" t="n">
        <f aca="false">ROUND(MAX(AF330,AG330,AH330,AI330,AJ330,AK330),0)</f>
        <v>149</v>
      </c>
      <c r="AM330" s="4" t="str">
        <f aca="false">IF(AL330="","",IF(AL330&lt;=50,"Good",IF(AL330&lt;=100,"Satisfactory",IF(AL330&lt;=200,"Moderate",IF(AL330&lt;=300,"Poor",IF(AL330&lt;=400,"Very Poor","Severe"))))))</f>
        <v>Moderate</v>
      </c>
    </row>
    <row r="331" customFormat="false" ht="15.75" hidden="false" customHeight="false" outlineLevel="0" collapsed="false">
      <c r="A331" s="1" t="s">
        <v>39</v>
      </c>
      <c r="B331" s="1" t="s">
        <v>40</v>
      </c>
      <c r="C331" s="1" t="n">
        <v>28.4595</v>
      </c>
      <c r="D331" s="1" t="n">
        <v>77.0266</v>
      </c>
      <c r="E331" s="5" t="n">
        <v>45914</v>
      </c>
      <c r="F331" s="6" t="s">
        <v>69</v>
      </c>
      <c r="G331" s="1" t="n">
        <v>9</v>
      </c>
      <c r="H331" s="7" t="s">
        <v>87</v>
      </c>
      <c r="I331" s="6" t="s">
        <v>46</v>
      </c>
      <c r="J331" s="7" t="s">
        <v>44</v>
      </c>
      <c r="K331" s="7" t="s">
        <v>65</v>
      </c>
      <c r="L331" s="1" t="n">
        <v>57</v>
      </c>
      <c r="M331" s="1" t="n">
        <v>22.8</v>
      </c>
      <c r="N331" s="1" t="n">
        <v>21.6</v>
      </c>
      <c r="O331" s="1" t="n">
        <v>0</v>
      </c>
      <c r="P331" s="6" t="s">
        <v>43</v>
      </c>
      <c r="Q331" s="6" t="s">
        <v>43</v>
      </c>
      <c r="R331" s="1" t="n">
        <v>1003.2</v>
      </c>
      <c r="S331" s="1" t="n">
        <v>95</v>
      </c>
      <c r="T331" s="1" t="n">
        <v>23.9</v>
      </c>
      <c r="U331" s="1" t="n">
        <v>58</v>
      </c>
      <c r="V331" s="1" t="n">
        <v>370</v>
      </c>
      <c r="W331" s="1" t="n">
        <v>20.9</v>
      </c>
      <c r="X331" s="1" t="n">
        <v>14.2</v>
      </c>
      <c r="Y331" s="1" t="n">
        <v>106</v>
      </c>
      <c r="Z331" s="1" t="n">
        <v>67</v>
      </c>
      <c r="AA331" s="1" t="n">
        <v>151</v>
      </c>
      <c r="AB331" s="7" t="s">
        <v>81</v>
      </c>
      <c r="AC331" s="7" t="s">
        <v>50</v>
      </c>
      <c r="AD331" s="6" t="s">
        <v>43</v>
      </c>
      <c r="AE331" s="6" t="s">
        <v>43</v>
      </c>
      <c r="AF331" s="4" t="n">
        <f aca="false">IF(T331="","",IF(T331&lt;=30,(50/30)*T331,IF(T331&lt;=60,50+((100-50)/(60-30))*(T331-30),IF(T331&lt;=90,100+((200-100)/(90-60))*(T331-60),IF(T331&lt;=120,200+((300-200)/(120-90))*(T331-90),IF(T331&lt;=250,300+((400-300)/(250-120))*(T331-120),IF(T331&lt;=380,400+((500-400)/(380-250))*(T331-250),500)))))))</f>
        <v>39.8333333333333</v>
      </c>
      <c r="AG331" s="4" t="n">
        <f aca="false">IF(U331="","",IF(U331&lt;=50,(50/50)*U331,IF(U331&lt;=100,50+((100-50)/(100-50))*(U331-50),IF(U331&lt;=250,100+((200-100)/(250-100))*(U331-100),IF(U331&lt;=350,200+((300-200)/(350-250))*(U331-250),IF(U331&lt;=430,300+((400-300)/(430-350))*(U331-350),IF(U331&lt;=600,400+((500-400)/(600-430))*(U331-430),500)))))))</f>
        <v>58</v>
      </c>
      <c r="AH331" s="4" t="n">
        <f aca="false">IF(V331="","",IF((V331/1000)&lt;=1,(50/1)*(V331/1000),IF((V331/1000)&lt;=2,50+((100-50)/(2-1))*(V331/1000-1),IF((V331/1000)&lt;=10,100+((200-100)/(10-2))*(V331/1000-2),IF((V331/1000)&lt;=17,200+((300-200)/(17-10))*(V331/1000-10),IF((V331/1000)&lt;=34,300+((400-300)/(34-17))*(V331/1000-17),IF((V331/1000)&lt;=57,400+((500-400)/(57-34))*(V331/1000-34),500)))))))</f>
        <v>18.5</v>
      </c>
      <c r="AI331" s="4" t="n">
        <f aca="false">IF(W331="","",IF(W331&lt;=40,(50/40)*W331,IF(W331&lt;=80,50+((100-50)/(80-40))*(W331-40),IF(W331&lt;=180,100+((200-100)/(180-80))*(W331-80),IF(W331&lt;=280,200+((300-200)/(280-180))*(W331-180),IF(W331&lt;=400,300+((400-300)/(400-280))*(W331-280),IF(W331&lt;=800,400+((500-400)/(800-400))*(W331-400),500)))))))</f>
        <v>26.125</v>
      </c>
      <c r="AJ331" s="4" t="n">
        <f aca="false">IF(X331="","",IF(X331&lt;=40,(50/40)*X331,IF(X331&lt;=80,50+((100-50)/(80-40))*(X331-40),IF(X331&lt;=380,100+((200-100)/(380-80))*(X331-80),IF(X331&lt;=800,200+((300-200)/(800-380))*(X331-380),IF(X331&lt;=1600,300+((400-300)/(1600-800))*(X331-800),IF(X331&lt;=2100,400+((500-400)/(2100-1600))*(X331-1600),500)))))))</f>
        <v>17.75</v>
      </c>
      <c r="AK331" s="4" t="n">
        <f aca="false">IF(Y331="","",IF(Y331&lt;=50,(50/50)*Y331,IF(Y331&lt;=100,50+((100-50)/(100-50))*(Y331-50),IF(Y331&lt;=168,100+((200-100)/(168-100))*(Y331-100),IF(Y331&lt;=208,200+((300-200)/(208-168))*(Y331-168),IF(Y331&lt;=748,300+((400-300)/(748-208))*(Y331-208),IF(Y331&lt;=1000,400+((500-400)/(1000-748))*(Y331-748),500)))))))</f>
        <v>108.823529411765</v>
      </c>
      <c r="AL331" s="4" t="n">
        <f aca="false">ROUND(MAX(AF331,AG331,AH331,AI331,AJ331,AK331),0)</f>
        <v>109</v>
      </c>
      <c r="AM331" s="4" t="str">
        <f aca="false">IF(AL331="","",IF(AL331&lt;=50,"Good",IF(AL331&lt;=100,"Satisfactory",IF(AL331&lt;=200,"Moderate",IF(AL331&lt;=300,"Poor",IF(AL331&lt;=400,"Very Poor","Severe"))))))</f>
        <v>Moderate</v>
      </c>
    </row>
    <row r="332" customFormat="false" ht="15.75" hidden="false" customHeight="false" outlineLevel="0" collapsed="false">
      <c r="A332" s="1" t="s">
        <v>39</v>
      </c>
      <c r="B332" s="1" t="s">
        <v>40</v>
      </c>
      <c r="C332" s="1" t="n">
        <v>28.4595</v>
      </c>
      <c r="D332" s="1" t="n">
        <v>77.0266</v>
      </c>
      <c r="E332" s="5" t="n">
        <v>45914</v>
      </c>
      <c r="F332" s="6" t="s">
        <v>70</v>
      </c>
      <c r="G332" s="1" t="n">
        <v>9</v>
      </c>
      <c r="H332" s="7" t="s">
        <v>87</v>
      </c>
      <c r="I332" s="6" t="s">
        <v>46</v>
      </c>
      <c r="J332" s="7" t="s">
        <v>44</v>
      </c>
      <c r="K332" s="7" t="s">
        <v>71</v>
      </c>
      <c r="L332" s="1" t="n">
        <v>67</v>
      </c>
      <c r="M332" s="1" t="n">
        <v>23.7</v>
      </c>
      <c r="N332" s="1" t="n">
        <v>16.6</v>
      </c>
      <c r="O332" s="1" t="n">
        <v>0</v>
      </c>
      <c r="P332" s="6" t="s">
        <v>43</v>
      </c>
      <c r="Q332" s="6" t="s">
        <v>43</v>
      </c>
      <c r="R332" s="1" t="n">
        <v>1004.2</v>
      </c>
      <c r="S332" s="1" t="n">
        <v>94</v>
      </c>
      <c r="T332" s="1" t="n">
        <v>34</v>
      </c>
      <c r="U332" s="1" t="n">
        <v>60.8</v>
      </c>
      <c r="V332" s="1" t="n">
        <v>801</v>
      </c>
      <c r="W332" s="1" t="n">
        <v>46.8</v>
      </c>
      <c r="X332" s="1" t="n">
        <v>20.1</v>
      </c>
      <c r="Y332" s="1" t="n">
        <v>78</v>
      </c>
      <c r="Z332" s="1" t="n">
        <v>63</v>
      </c>
      <c r="AA332" s="1" t="n">
        <v>151</v>
      </c>
      <c r="AB332" s="7" t="s">
        <v>81</v>
      </c>
      <c r="AC332" s="7" t="s">
        <v>48</v>
      </c>
      <c r="AD332" s="6" t="s">
        <v>43</v>
      </c>
      <c r="AE332" s="6" t="s">
        <v>43</v>
      </c>
      <c r="AF332" s="4" t="n">
        <f aca="false">IF(T332="","",IF(T332&lt;=30,(50/30)*T332,IF(T332&lt;=60,50+((100-50)/(60-30))*(T332-30),IF(T332&lt;=90,100+((200-100)/(90-60))*(T332-60),IF(T332&lt;=120,200+((300-200)/(120-90))*(T332-90),IF(T332&lt;=250,300+((400-300)/(250-120))*(T332-120),IF(T332&lt;=380,400+((500-400)/(380-250))*(T332-250),500)))))))</f>
        <v>56.6666666666667</v>
      </c>
      <c r="AG332" s="4" t="n">
        <f aca="false">IF(U332="","",IF(U332&lt;=50,(50/50)*U332,IF(U332&lt;=100,50+((100-50)/(100-50))*(U332-50),IF(U332&lt;=250,100+((200-100)/(250-100))*(U332-100),IF(U332&lt;=350,200+((300-200)/(350-250))*(U332-250),IF(U332&lt;=430,300+((400-300)/(430-350))*(U332-350),IF(U332&lt;=600,400+((500-400)/(600-430))*(U332-430),500)))))))</f>
        <v>60.8</v>
      </c>
      <c r="AH332" s="4" t="n">
        <f aca="false">IF(V332="","",IF((V332/1000)&lt;=1,(50/1)*(V332/1000),IF((V332/1000)&lt;=2,50+((100-50)/(2-1))*(V332/1000-1),IF((V332/1000)&lt;=10,100+((200-100)/(10-2))*(V332/1000-2),IF((V332/1000)&lt;=17,200+((300-200)/(17-10))*(V332/1000-10),IF((V332/1000)&lt;=34,300+((400-300)/(34-17))*(V332/1000-17),IF((V332/1000)&lt;=57,400+((500-400)/(57-34))*(V332/1000-34),500)))))))</f>
        <v>40.05</v>
      </c>
      <c r="AI332" s="4" t="n">
        <f aca="false">IF(W332="","",IF(W332&lt;=40,(50/40)*W332,IF(W332&lt;=80,50+((100-50)/(80-40))*(W332-40),IF(W332&lt;=180,100+((200-100)/(180-80))*(W332-80),IF(W332&lt;=280,200+((300-200)/(280-180))*(W332-180),IF(W332&lt;=400,300+((400-300)/(400-280))*(W332-280),IF(W332&lt;=800,400+((500-400)/(800-400))*(W332-400),500)))))))</f>
        <v>58.5</v>
      </c>
      <c r="AJ332" s="4" t="n">
        <f aca="false">IF(X332="","",IF(X332&lt;=40,(50/40)*X332,IF(X332&lt;=80,50+((100-50)/(80-40))*(X332-40),IF(X332&lt;=380,100+((200-100)/(380-80))*(X332-80),IF(X332&lt;=800,200+((300-200)/(800-380))*(X332-380),IF(X332&lt;=1600,300+((400-300)/(1600-800))*(X332-800),IF(X332&lt;=2100,400+((500-400)/(2100-1600))*(X332-1600),500)))))))</f>
        <v>25.125</v>
      </c>
      <c r="AK332" s="4" t="n">
        <f aca="false">IF(Y332="","",IF(Y332&lt;=50,(50/50)*Y332,IF(Y332&lt;=100,50+((100-50)/(100-50))*(Y332-50),IF(Y332&lt;=168,100+((200-100)/(168-100))*(Y332-100),IF(Y332&lt;=208,200+((300-200)/(208-168))*(Y332-168),IF(Y332&lt;=748,300+((400-300)/(748-208))*(Y332-208),IF(Y332&lt;=1000,400+((500-400)/(1000-748))*(Y332-748),500)))))))</f>
        <v>78</v>
      </c>
      <c r="AL332" s="4" t="n">
        <f aca="false">ROUND(MAX(AF332,AG332,AH332,AI332,AJ332,AK332),0)</f>
        <v>78</v>
      </c>
      <c r="AM332" s="4" t="str">
        <f aca="false">IF(AL332="","",IF(AL332&lt;=50,"Good",IF(AL332&lt;=100,"Satisfactory",IF(AL332&lt;=200,"Moderate",IF(AL332&lt;=300,"Poor",IF(AL332&lt;=400,"Very Poor","Severe"))))))</f>
        <v>Satisfactory</v>
      </c>
    </row>
    <row r="333" customFormat="false" ht="15.75" hidden="false" customHeight="false" outlineLevel="0" collapsed="false">
      <c r="A333" s="1" t="s">
        <v>39</v>
      </c>
      <c r="B333" s="1" t="s">
        <v>40</v>
      </c>
      <c r="C333" s="1" t="n">
        <v>28.4595</v>
      </c>
      <c r="D333" s="1" t="n">
        <v>77.0266</v>
      </c>
      <c r="E333" s="5" t="n">
        <v>45914</v>
      </c>
      <c r="F333" s="6" t="s">
        <v>72</v>
      </c>
      <c r="G333" s="1" t="n">
        <v>9</v>
      </c>
      <c r="H333" s="7" t="s">
        <v>87</v>
      </c>
      <c r="I333" s="6" t="s">
        <v>46</v>
      </c>
      <c r="J333" s="7" t="s">
        <v>44</v>
      </c>
      <c r="K333" s="7" t="s">
        <v>71</v>
      </c>
      <c r="L333" s="1" t="n">
        <v>75</v>
      </c>
      <c r="M333" s="1" t="n">
        <v>25</v>
      </c>
      <c r="N333" s="1" t="n">
        <v>12.2</v>
      </c>
      <c r="O333" s="1" t="n">
        <v>0</v>
      </c>
      <c r="P333" s="6" t="s">
        <v>43</v>
      </c>
      <c r="Q333" s="6" t="s">
        <v>43</v>
      </c>
      <c r="R333" s="1" t="n">
        <v>1005</v>
      </c>
      <c r="S333" s="1" t="n">
        <v>18</v>
      </c>
      <c r="T333" s="1" t="n">
        <v>47.7</v>
      </c>
      <c r="U333" s="1" t="n">
        <v>74</v>
      </c>
      <c r="V333" s="1" t="n">
        <v>1361</v>
      </c>
      <c r="W333" s="1" t="n">
        <v>82.3</v>
      </c>
      <c r="X333" s="1" t="n">
        <v>28.3</v>
      </c>
      <c r="Y333" s="1" t="n">
        <v>38</v>
      </c>
      <c r="Z333" s="1" t="n">
        <v>57</v>
      </c>
      <c r="AA333" s="1" t="n">
        <v>150</v>
      </c>
      <c r="AB333" s="7" t="s">
        <v>81</v>
      </c>
      <c r="AC333" s="7" t="s">
        <v>82</v>
      </c>
      <c r="AD333" s="7" t="s">
        <v>83</v>
      </c>
      <c r="AE333" s="7" t="s">
        <v>84</v>
      </c>
      <c r="AF333" s="4" t="n">
        <f aca="false">IF(T333="","",IF(T333&lt;=30,(50/30)*T333,IF(T333&lt;=60,50+((100-50)/(60-30))*(T333-30),IF(T333&lt;=90,100+((200-100)/(90-60))*(T333-60),IF(T333&lt;=120,200+((300-200)/(120-90))*(T333-90),IF(T333&lt;=250,300+((400-300)/(250-120))*(T333-120),IF(T333&lt;=380,400+((500-400)/(380-250))*(T333-250),500)))))))</f>
        <v>79.5</v>
      </c>
      <c r="AG333" s="4" t="n">
        <f aca="false">IF(U333="","",IF(U333&lt;=50,(50/50)*U333,IF(U333&lt;=100,50+((100-50)/(100-50))*(U333-50),IF(U333&lt;=250,100+((200-100)/(250-100))*(U333-100),IF(U333&lt;=350,200+((300-200)/(350-250))*(U333-250),IF(U333&lt;=430,300+((400-300)/(430-350))*(U333-350),IF(U333&lt;=600,400+((500-400)/(600-430))*(U333-430),500)))))))</f>
        <v>74</v>
      </c>
      <c r="AH333" s="4" t="n">
        <f aca="false">IF(V333="","",IF((V333/1000)&lt;=1,(50/1)*(V333/1000),IF((V333/1000)&lt;=2,50+((100-50)/(2-1))*(V333/1000-1),IF((V333/1000)&lt;=10,100+((200-100)/(10-2))*(V333/1000-2),IF((V333/1000)&lt;=17,200+((300-200)/(17-10))*(V333/1000-10),IF((V333/1000)&lt;=34,300+((400-300)/(34-17))*(V333/1000-17),IF((V333/1000)&lt;=57,400+((500-400)/(57-34))*(V333/1000-34),500)))))))</f>
        <v>68.05</v>
      </c>
      <c r="AI333" s="4" t="n">
        <f aca="false">IF(W333="","",IF(W333&lt;=40,(50/40)*W333,IF(W333&lt;=80,50+((100-50)/(80-40))*(W333-40),IF(W333&lt;=180,100+((200-100)/(180-80))*(W333-80),IF(W333&lt;=280,200+((300-200)/(280-180))*(W333-180),IF(W333&lt;=400,300+((400-300)/(400-280))*(W333-280),IF(W333&lt;=800,400+((500-400)/(800-400))*(W333-400),500)))))))</f>
        <v>102.3</v>
      </c>
      <c r="AJ333" s="4" t="n">
        <f aca="false">IF(X333="","",IF(X333&lt;=40,(50/40)*X333,IF(X333&lt;=80,50+((100-50)/(80-40))*(X333-40),IF(X333&lt;=380,100+((200-100)/(380-80))*(X333-80),IF(X333&lt;=800,200+((300-200)/(800-380))*(X333-380),IF(X333&lt;=1600,300+((400-300)/(1600-800))*(X333-800),IF(X333&lt;=2100,400+((500-400)/(2100-1600))*(X333-1600),500)))))))</f>
        <v>35.375</v>
      </c>
      <c r="AK333" s="4" t="n">
        <f aca="false">IF(Y333="","",IF(Y333&lt;=50,(50/50)*Y333,IF(Y333&lt;=100,50+((100-50)/(100-50))*(Y333-50),IF(Y333&lt;=168,100+((200-100)/(168-100))*(Y333-100),IF(Y333&lt;=208,200+((300-200)/(208-168))*(Y333-168),IF(Y333&lt;=748,300+((400-300)/(748-208))*(Y333-208),IF(Y333&lt;=1000,400+((500-400)/(1000-748))*(Y333-748),500)))))))</f>
        <v>38</v>
      </c>
      <c r="AL333" s="4" t="n">
        <f aca="false">ROUND(MAX(AF333,AG333,AH333,AI333,AJ333,AK333),0)</f>
        <v>102</v>
      </c>
      <c r="AM333" s="4" t="str">
        <f aca="false">IF(AL333="","",IF(AL333&lt;=50,"Good",IF(AL333&lt;=100,"Satisfactory",IF(AL333&lt;=200,"Moderate",IF(AL333&lt;=300,"Poor",IF(AL333&lt;=400,"Very Poor","Severe"))))))</f>
        <v>Moderate</v>
      </c>
    </row>
    <row r="334" customFormat="false" ht="15.75" hidden="false" customHeight="false" outlineLevel="0" collapsed="false">
      <c r="A334" s="1" t="s">
        <v>39</v>
      </c>
      <c r="B334" s="1" t="s">
        <v>40</v>
      </c>
      <c r="C334" s="1" t="n">
        <v>28.4595</v>
      </c>
      <c r="D334" s="1" t="n">
        <v>77.0266</v>
      </c>
      <c r="E334" s="5" t="n">
        <v>45914</v>
      </c>
      <c r="F334" s="6" t="s">
        <v>73</v>
      </c>
      <c r="G334" s="1" t="n">
        <v>9</v>
      </c>
      <c r="H334" s="7" t="s">
        <v>87</v>
      </c>
      <c r="I334" s="6" t="s">
        <v>46</v>
      </c>
      <c r="J334" s="7" t="s">
        <v>44</v>
      </c>
      <c r="K334" s="7" t="s">
        <v>71</v>
      </c>
      <c r="L334" s="1" t="n">
        <v>74</v>
      </c>
      <c r="M334" s="1" t="n">
        <v>24.6</v>
      </c>
      <c r="N334" s="1" t="n">
        <v>4.7</v>
      </c>
      <c r="O334" s="1" t="n">
        <v>0</v>
      </c>
      <c r="P334" s="6" t="s">
        <v>43</v>
      </c>
      <c r="Q334" s="6" t="s">
        <v>43</v>
      </c>
      <c r="R334" s="1" t="n">
        <v>1005.6</v>
      </c>
      <c r="S334" s="1" t="n">
        <v>2</v>
      </c>
      <c r="T334" s="1" t="n">
        <v>64.5</v>
      </c>
      <c r="U334" s="1" t="n">
        <v>92.7</v>
      </c>
      <c r="V334" s="1" t="n">
        <v>1700</v>
      </c>
      <c r="W334" s="1" t="n">
        <v>107.3</v>
      </c>
      <c r="X334" s="1" t="n">
        <v>34.6</v>
      </c>
      <c r="Y334" s="1" t="n">
        <v>9</v>
      </c>
      <c r="Z334" s="1" t="n">
        <v>52</v>
      </c>
      <c r="AA334" s="1" t="n">
        <v>150</v>
      </c>
      <c r="AB334" s="7" t="s">
        <v>81</v>
      </c>
      <c r="AC334" s="7" t="s">
        <v>82</v>
      </c>
      <c r="AD334" s="7" t="s">
        <v>83</v>
      </c>
      <c r="AE334" s="7" t="s">
        <v>84</v>
      </c>
      <c r="AF334" s="4" t="n">
        <f aca="false">IF(T334="","",IF(T334&lt;=30,(50/30)*T334,IF(T334&lt;=60,50+((100-50)/(60-30))*(T334-30),IF(T334&lt;=90,100+((200-100)/(90-60))*(T334-60),IF(T334&lt;=120,200+((300-200)/(120-90))*(T334-90),IF(T334&lt;=250,300+((400-300)/(250-120))*(T334-120),IF(T334&lt;=380,400+((500-400)/(380-250))*(T334-250),500)))))))</f>
        <v>115</v>
      </c>
      <c r="AG334" s="4" t="n">
        <f aca="false">IF(U334="","",IF(U334&lt;=50,(50/50)*U334,IF(U334&lt;=100,50+((100-50)/(100-50))*(U334-50),IF(U334&lt;=250,100+((200-100)/(250-100))*(U334-100),IF(U334&lt;=350,200+((300-200)/(350-250))*(U334-250),IF(U334&lt;=430,300+((400-300)/(430-350))*(U334-350),IF(U334&lt;=600,400+((500-400)/(600-430))*(U334-430),500)))))))</f>
        <v>92.7</v>
      </c>
      <c r="AH334" s="4" t="n">
        <f aca="false">IF(V334="","",IF((V334/1000)&lt;=1,(50/1)*(V334/1000),IF((V334/1000)&lt;=2,50+((100-50)/(2-1))*(V334/1000-1),IF((V334/1000)&lt;=10,100+((200-100)/(10-2))*(V334/1000-2),IF((V334/1000)&lt;=17,200+((300-200)/(17-10))*(V334/1000-10),IF((V334/1000)&lt;=34,300+((400-300)/(34-17))*(V334/1000-17),IF((V334/1000)&lt;=57,400+((500-400)/(57-34))*(V334/1000-34),500)))))))</f>
        <v>85</v>
      </c>
      <c r="AI334" s="4" t="n">
        <f aca="false">IF(W334="","",IF(W334&lt;=40,(50/40)*W334,IF(W334&lt;=80,50+((100-50)/(80-40))*(W334-40),IF(W334&lt;=180,100+((200-100)/(180-80))*(W334-80),IF(W334&lt;=280,200+((300-200)/(280-180))*(W334-180),IF(W334&lt;=400,300+((400-300)/(400-280))*(W334-280),IF(W334&lt;=800,400+((500-400)/(800-400))*(W334-400),500)))))))</f>
        <v>127.3</v>
      </c>
      <c r="AJ334" s="4" t="n">
        <f aca="false">IF(X334="","",IF(X334&lt;=40,(50/40)*X334,IF(X334&lt;=80,50+((100-50)/(80-40))*(X334-40),IF(X334&lt;=380,100+((200-100)/(380-80))*(X334-80),IF(X334&lt;=800,200+((300-200)/(800-380))*(X334-380),IF(X334&lt;=1600,300+((400-300)/(1600-800))*(X334-800),IF(X334&lt;=2100,400+((500-400)/(2100-1600))*(X334-1600),500)))))))</f>
        <v>43.25</v>
      </c>
      <c r="AK334" s="4" t="n">
        <f aca="false">IF(Y334="","",IF(Y334&lt;=50,(50/50)*Y334,IF(Y334&lt;=100,50+((100-50)/(100-50))*(Y334-50),IF(Y334&lt;=168,100+((200-100)/(168-100))*(Y334-100),IF(Y334&lt;=208,200+((300-200)/(208-168))*(Y334-168),IF(Y334&lt;=748,300+((400-300)/(748-208))*(Y334-208),IF(Y334&lt;=1000,400+((500-400)/(1000-748))*(Y334-748),500)))))))</f>
        <v>9</v>
      </c>
      <c r="AL334" s="4" t="n">
        <f aca="false">ROUND(MAX(AF334,AG334,AH334,AI334,AJ334,AK334),0)</f>
        <v>127</v>
      </c>
      <c r="AM334" s="4" t="str">
        <f aca="false">IF(AL334="","",IF(AL334&lt;=50,"Good",IF(AL334&lt;=100,"Satisfactory",IF(AL334&lt;=200,"Moderate",IF(AL334&lt;=300,"Poor",IF(AL334&lt;=400,"Very Poor","Severe"))))))</f>
        <v>Moderate</v>
      </c>
    </row>
    <row r="335" customFormat="false" ht="15.75" hidden="false" customHeight="false" outlineLevel="0" collapsed="false">
      <c r="A335" s="1" t="s">
        <v>39</v>
      </c>
      <c r="B335" s="1" t="s">
        <v>40</v>
      </c>
      <c r="C335" s="1" t="n">
        <v>28.4595</v>
      </c>
      <c r="D335" s="1" t="n">
        <v>77.0266</v>
      </c>
      <c r="E335" s="5" t="n">
        <v>45914</v>
      </c>
      <c r="F335" s="6" t="s">
        <v>74</v>
      </c>
      <c r="G335" s="1" t="n">
        <v>9</v>
      </c>
      <c r="H335" s="7" t="s">
        <v>87</v>
      </c>
      <c r="I335" s="6" t="s">
        <v>46</v>
      </c>
      <c r="J335" s="7" t="s">
        <v>44</v>
      </c>
      <c r="K335" s="7" t="s">
        <v>75</v>
      </c>
      <c r="L335" s="1" t="n">
        <v>75</v>
      </c>
      <c r="M335" s="1" t="n">
        <v>24.1</v>
      </c>
      <c r="N335" s="1" t="n">
        <v>3.2</v>
      </c>
      <c r="O335" s="1" t="n">
        <v>0</v>
      </c>
      <c r="P335" s="6" t="s">
        <v>43</v>
      </c>
      <c r="Q335" s="6" t="s">
        <v>43</v>
      </c>
      <c r="R335" s="1" t="n">
        <v>1006</v>
      </c>
      <c r="S335" s="1" t="n">
        <v>0</v>
      </c>
      <c r="T335" s="1" t="n">
        <v>81.5</v>
      </c>
      <c r="U335" s="1" t="n">
        <v>110.4</v>
      </c>
      <c r="V335" s="1" t="n">
        <v>1626</v>
      </c>
      <c r="W335" s="1" t="n">
        <v>112.2</v>
      </c>
      <c r="X335" s="1" t="n">
        <v>37.5</v>
      </c>
      <c r="Y335" s="1" t="n">
        <v>0</v>
      </c>
      <c r="Z335" s="1" t="n">
        <v>49</v>
      </c>
      <c r="AA335" s="1" t="n">
        <v>150</v>
      </c>
      <c r="AB335" s="7" t="s">
        <v>81</v>
      </c>
      <c r="AC335" s="7" t="s">
        <v>82</v>
      </c>
      <c r="AD335" s="7" t="s">
        <v>83</v>
      </c>
      <c r="AE335" s="7" t="s">
        <v>84</v>
      </c>
      <c r="AF335" s="4" t="n">
        <f aca="false">IF(T335="","",IF(T335&lt;=30,(50/30)*T335,IF(T335&lt;=60,50+((100-50)/(60-30))*(T335-30),IF(T335&lt;=90,100+((200-100)/(90-60))*(T335-60),IF(T335&lt;=120,200+((300-200)/(120-90))*(T335-90),IF(T335&lt;=250,300+((400-300)/(250-120))*(T335-120),IF(T335&lt;=380,400+((500-400)/(380-250))*(T335-250),500)))))))</f>
        <v>171.666666666667</v>
      </c>
      <c r="AG335" s="4" t="n">
        <f aca="false">IF(U335="","",IF(U335&lt;=50,(50/50)*U335,IF(U335&lt;=100,50+((100-50)/(100-50))*(U335-50),IF(U335&lt;=250,100+((200-100)/(250-100))*(U335-100),IF(U335&lt;=350,200+((300-200)/(350-250))*(U335-250),IF(U335&lt;=430,300+((400-300)/(430-350))*(U335-350),IF(U335&lt;=600,400+((500-400)/(600-430))*(U335-430),500)))))))</f>
        <v>106.933333333333</v>
      </c>
      <c r="AH335" s="4" t="n">
        <f aca="false">IF(V335="","",IF((V335/1000)&lt;=1,(50/1)*(V335/1000),IF((V335/1000)&lt;=2,50+((100-50)/(2-1))*(V335/1000-1),IF((V335/1000)&lt;=10,100+((200-100)/(10-2))*(V335/1000-2),IF((V335/1000)&lt;=17,200+((300-200)/(17-10))*(V335/1000-10),IF((V335/1000)&lt;=34,300+((400-300)/(34-17))*(V335/1000-17),IF((V335/1000)&lt;=57,400+((500-400)/(57-34))*(V335/1000-34),500)))))))</f>
        <v>81.3</v>
      </c>
      <c r="AI335" s="4" t="n">
        <f aca="false">IF(W335="","",IF(W335&lt;=40,(50/40)*W335,IF(W335&lt;=80,50+((100-50)/(80-40))*(W335-40),IF(W335&lt;=180,100+((200-100)/(180-80))*(W335-80),IF(W335&lt;=280,200+((300-200)/(280-180))*(W335-180),IF(W335&lt;=400,300+((400-300)/(400-280))*(W335-280),IF(W335&lt;=800,400+((500-400)/(800-400))*(W335-400),500)))))))</f>
        <v>132.2</v>
      </c>
      <c r="AJ335" s="4" t="n">
        <f aca="false">IF(X335="","",IF(X335&lt;=40,(50/40)*X335,IF(X335&lt;=80,50+((100-50)/(80-40))*(X335-40),IF(X335&lt;=380,100+((200-100)/(380-80))*(X335-80),IF(X335&lt;=800,200+((300-200)/(800-380))*(X335-380),IF(X335&lt;=1600,300+((400-300)/(1600-800))*(X335-800),IF(X335&lt;=2100,400+((500-400)/(2100-1600))*(X335-1600),500)))))))</f>
        <v>46.875</v>
      </c>
      <c r="AK335" s="4" t="n">
        <f aca="false">IF(Y335="","",IF(Y335&lt;=50,(50/50)*Y335,IF(Y335&lt;=100,50+((100-50)/(100-50))*(Y335-50),IF(Y335&lt;=168,100+((200-100)/(168-100))*(Y335-100),IF(Y335&lt;=208,200+((300-200)/(208-168))*(Y335-168),IF(Y335&lt;=748,300+((400-300)/(748-208))*(Y335-208),IF(Y335&lt;=1000,400+((500-400)/(1000-748))*(Y335-748),500)))))))</f>
        <v>0</v>
      </c>
      <c r="AL335" s="4" t="n">
        <f aca="false">ROUND(MAX(AF335,AG335,AH335,AI335,AJ335,AK335),0)</f>
        <v>172</v>
      </c>
      <c r="AM335" s="4" t="str">
        <f aca="false">IF(AL335="","",IF(AL335&lt;=50,"Good",IF(AL335&lt;=100,"Satisfactory",IF(AL335&lt;=200,"Moderate",IF(AL335&lt;=300,"Poor",IF(AL335&lt;=400,"Very Poor","Severe"))))))</f>
        <v>Moderate</v>
      </c>
    </row>
    <row r="336" customFormat="false" ht="15.75" hidden="false" customHeight="false" outlineLevel="0" collapsed="false">
      <c r="A336" s="1" t="s">
        <v>39</v>
      </c>
      <c r="B336" s="1" t="s">
        <v>40</v>
      </c>
      <c r="C336" s="1" t="n">
        <v>28.4595</v>
      </c>
      <c r="D336" s="1" t="n">
        <v>77.0266</v>
      </c>
      <c r="E336" s="5" t="n">
        <v>45914</v>
      </c>
      <c r="F336" s="6" t="s">
        <v>76</v>
      </c>
      <c r="G336" s="1" t="n">
        <v>9</v>
      </c>
      <c r="H336" s="7" t="s">
        <v>87</v>
      </c>
      <c r="I336" s="6" t="s">
        <v>46</v>
      </c>
      <c r="J336" s="7" t="s">
        <v>44</v>
      </c>
      <c r="K336" s="7" t="s">
        <v>75</v>
      </c>
      <c r="L336" s="1" t="n">
        <v>78</v>
      </c>
      <c r="M336" s="1" t="n">
        <v>23.9</v>
      </c>
      <c r="N336" s="1" t="n">
        <v>9</v>
      </c>
      <c r="O336" s="1" t="n">
        <v>0</v>
      </c>
      <c r="P336" s="6" t="s">
        <v>43</v>
      </c>
      <c r="Q336" s="6" t="s">
        <v>43</v>
      </c>
      <c r="R336" s="1" t="n">
        <v>1006</v>
      </c>
      <c r="S336" s="1" t="n">
        <v>0</v>
      </c>
      <c r="T336" s="1" t="n">
        <v>91.5</v>
      </c>
      <c r="U336" s="1" t="n">
        <v>118.3</v>
      </c>
      <c r="V336" s="1" t="n">
        <v>1331</v>
      </c>
      <c r="W336" s="1" t="n">
        <v>106.6</v>
      </c>
      <c r="X336" s="1" t="n">
        <v>38.4</v>
      </c>
      <c r="Y336" s="1" t="n">
        <v>0</v>
      </c>
      <c r="Z336" s="1" t="n">
        <v>46</v>
      </c>
      <c r="AA336" s="1" t="n">
        <v>150</v>
      </c>
      <c r="AB336" s="7" t="s">
        <v>81</v>
      </c>
      <c r="AC336" s="7" t="s">
        <v>82</v>
      </c>
      <c r="AD336" s="7" t="s">
        <v>83</v>
      </c>
      <c r="AE336" s="7" t="s">
        <v>84</v>
      </c>
      <c r="AF336" s="4" t="n">
        <f aca="false">IF(T336="","",IF(T336&lt;=30,(50/30)*T336,IF(T336&lt;=60,50+((100-50)/(60-30))*(T336-30),IF(T336&lt;=90,100+((200-100)/(90-60))*(T336-60),IF(T336&lt;=120,200+((300-200)/(120-90))*(T336-90),IF(T336&lt;=250,300+((400-300)/(250-120))*(T336-120),IF(T336&lt;=380,400+((500-400)/(380-250))*(T336-250),500)))))))</f>
        <v>205</v>
      </c>
      <c r="AG336" s="4" t="n">
        <f aca="false">IF(U336="","",IF(U336&lt;=50,(50/50)*U336,IF(U336&lt;=100,50+((100-50)/(100-50))*(U336-50),IF(U336&lt;=250,100+((200-100)/(250-100))*(U336-100),IF(U336&lt;=350,200+((300-200)/(350-250))*(U336-250),IF(U336&lt;=430,300+((400-300)/(430-350))*(U336-350),IF(U336&lt;=600,400+((500-400)/(600-430))*(U336-430),500)))))))</f>
        <v>112.2</v>
      </c>
      <c r="AH336" s="4" t="n">
        <f aca="false">IF(V336="","",IF((V336/1000)&lt;=1,(50/1)*(V336/1000),IF((V336/1000)&lt;=2,50+((100-50)/(2-1))*(V336/1000-1),IF((V336/1000)&lt;=10,100+((200-100)/(10-2))*(V336/1000-2),IF((V336/1000)&lt;=17,200+((300-200)/(17-10))*(V336/1000-10),IF((V336/1000)&lt;=34,300+((400-300)/(34-17))*(V336/1000-17),IF((V336/1000)&lt;=57,400+((500-400)/(57-34))*(V336/1000-34),500)))))))</f>
        <v>66.55</v>
      </c>
      <c r="AI336" s="4" t="n">
        <f aca="false">IF(W336="","",IF(W336&lt;=40,(50/40)*W336,IF(W336&lt;=80,50+((100-50)/(80-40))*(W336-40),IF(W336&lt;=180,100+((200-100)/(180-80))*(W336-80),IF(W336&lt;=280,200+((300-200)/(280-180))*(W336-180),IF(W336&lt;=400,300+((400-300)/(400-280))*(W336-280),IF(W336&lt;=800,400+((500-400)/(800-400))*(W336-400),500)))))))</f>
        <v>126.6</v>
      </c>
      <c r="AJ336" s="4" t="n">
        <f aca="false">IF(X336="","",IF(X336&lt;=40,(50/40)*X336,IF(X336&lt;=80,50+((100-50)/(80-40))*(X336-40),IF(X336&lt;=380,100+((200-100)/(380-80))*(X336-80),IF(X336&lt;=800,200+((300-200)/(800-380))*(X336-380),IF(X336&lt;=1600,300+((400-300)/(1600-800))*(X336-800),IF(X336&lt;=2100,400+((500-400)/(2100-1600))*(X336-1600),500)))))))</f>
        <v>48</v>
      </c>
      <c r="AK336" s="4" t="n">
        <f aca="false">IF(Y336="","",IF(Y336&lt;=50,(50/50)*Y336,IF(Y336&lt;=100,50+((100-50)/(100-50))*(Y336-50),IF(Y336&lt;=168,100+((200-100)/(168-100))*(Y336-100),IF(Y336&lt;=208,200+((300-200)/(208-168))*(Y336-168),IF(Y336&lt;=748,300+((400-300)/(748-208))*(Y336-208),IF(Y336&lt;=1000,400+((500-400)/(1000-748))*(Y336-748),500)))))))</f>
        <v>0</v>
      </c>
      <c r="AL336" s="4" t="n">
        <f aca="false">ROUND(MAX(AF336,AG336,AH336,AI336,AJ336,AK336),0)</f>
        <v>205</v>
      </c>
      <c r="AM336" s="4" t="str">
        <f aca="false">IF(AL336="","",IF(AL336&lt;=50,"Good",IF(AL336&lt;=100,"Satisfactory",IF(AL336&lt;=200,"Moderate",IF(AL336&lt;=300,"Poor",IF(AL336&lt;=400,"Very Poor","Severe"))))))</f>
        <v>Poor</v>
      </c>
    </row>
    <row r="337" customFormat="false" ht="15.75" hidden="false" customHeight="false" outlineLevel="0" collapsed="false">
      <c r="A337" s="1" t="s">
        <v>39</v>
      </c>
      <c r="B337" s="1" t="s">
        <v>40</v>
      </c>
      <c r="C337" s="1" t="n">
        <v>28.4595</v>
      </c>
      <c r="D337" s="1" t="n">
        <v>77.0266</v>
      </c>
      <c r="E337" s="5" t="n">
        <v>45914</v>
      </c>
      <c r="F337" s="6" t="s">
        <v>77</v>
      </c>
      <c r="G337" s="1" t="n">
        <v>9</v>
      </c>
      <c r="H337" s="7" t="s">
        <v>87</v>
      </c>
      <c r="I337" s="6" t="s">
        <v>46</v>
      </c>
      <c r="J337" s="7" t="s">
        <v>44</v>
      </c>
      <c r="K337" s="7" t="s">
        <v>75</v>
      </c>
      <c r="L337" s="1" t="n">
        <v>81</v>
      </c>
      <c r="M337" s="1" t="n">
        <v>23.8</v>
      </c>
      <c r="N337" s="1" t="n">
        <v>11.2</v>
      </c>
      <c r="O337" s="1" t="n">
        <v>0</v>
      </c>
      <c r="P337" s="6" t="s">
        <v>43</v>
      </c>
      <c r="Q337" s="6" t="s">
        <v>43</v>
      </c>
      <c r="R337" s="1" t="n">
        <v>1006</v>
      </c>
      <c r="S337" s="1" t="n">
        <v>0</v>
      </c>
      <c r="T337" s="1" t="n">
        <v>88.7</v>
      </c>
      <c r="U337" s="1" t="n">
        <v>113.9</v>
      </c>
      <c r="V337" s="1" t="n">
        <v>1038</v>
      </c>
      <c r="W337" s="1" t="n">
        <v>99.6</v>
      </c>
      <c r="X337" s="1" t="n">
        <v>37.7</v>
      </c>
      <c r="Y337" s="1" t="n">
        <v>0</v>
      </c>
      <c r="Z337" s="1" t="n">
        <v>45</v>
      </c>
      <c r="AA337" s="1" t="n">
        <v>150</v>
      </c>
      <c r="AB337" s="7" t="s">
        <v>81</v>
      </c>
      <c r="AC337" s="7" t="s">
        <v>82</v>
      </c>
      <c r="AD337" s="7" t="s">
        <v>83</v>
      </c>
      <c r="AE337" s="7" t="s">
        <v>84</v>
      </c>
      <c r="AF337" s="4" t="n">
        <f aca="false">IF(T337="","",IF(T337&lt;=30,(50/30)*T337,IF(T337&lt;=60,50+((100-50)/(60-30))*(T337-30),IF(T337&lt;=90,100+((200-100)/(90-60))*(T337-60),IF(T337&lt;=120,200+((300-200)/(120-90))*(T337-90),IF(T337&lt;=250,300+((400-300)/(250-120))*(T337-120),IF(T337&lt;=380,400+((500-400)/(380-250))*(T337-250),500)))))))</f>
        <v>195.666666666667</v>
      </c>
      <c r="AG337" s="4" t="n">
        <f aca="false">IF(U337="","",IF(U337&lt;=50,(50/50)*U337,IF(U337&lt;=100,50+((100-50)/(100-50))*(U337-50),IF(U337&lt;=250,100+((200-100)/(250-100))*(U337-100),IF(U337&lt;=350,200+((300-200)/(350-250))*(U337-250),IF(U337&lt;=430,300+((400-300)/(430-350))*(U337-350),IF(U337&lt;=600,400+((500-400)/(600-430))*(U337-430),500)))))))</f>
        <v>109.266666666667</v>
      </c>
      <c r="AH337" s="4" t="n">
        <f aca="false">IF(V337="","",IF((V337/1000)&lt;=1,(50/1)*(V337/1000),IF((V337/1000)&lt;=2,50+((100-50)/(2-1))*(V337/1000-1),IF((V337/1000)&lt;=10,100+((200-100)/(10-2))*(V337/1000-2),IF((V337/1000)&lt;=17,200+((300-200)/(17-10))*(V337/1000-10),IF((V337/1000)&lt;=34,300+((400-300)/(34-17))*(V337/1000-17),IF((V337/1000)&lt;=57,400+((500-400)/(57-34))*(V337/1000-34),500)))))))</f>
        <v>51.9</v>
      </c>
      <c r="AI337" s="4" t="n">
        <f aca="false">IF(W337="","",IF(W337&lt;=40,(50/40)*W337,IF(W337&lt;=80,50+((100-50)/(80-40))*(W337-40),IF(W337&lt;=180,100+((200-100)/(180-80))*(W337-80),IF(W337&lt;=280,200+((300-200)/(280-180))*(W337-180),IF(W337&lt;=400,300+((400-300)/(400-280))*(W337-280),IF(W337&lt;=800,400+((500-400)/(800-400))*(W337-400),500)))))))</f>
        <v>119.6</v>
      </c>
      <c r="AJ337" s="4" t="n">
        <f aca="false">IF(X337="","",IF(X337&lt;=40,(50/40)*X337,IF(X337&lt;=80,50+((100-50)/(80-40))*(X337-40),IF(X337&lt;=380,100+((200-100)/(380-80))*(X337-80),IF(X337&lt;=800,200+((300-200)/(800-380))*(X337-380),IF(X337&lt;=1600,300+((400-300)/(1600-800))*(X337-800),IF(X337&lt;=2100,400+((500-400)/(2100-1600))*(X337-1600),500)))))))</f>
        <v>47.125</v>
      </c>
      <c r="AK337" s="4" t="n">
        <f aca="false">IF(Y337="","",IF(Y337&lt;=50,(50/50)*Y337,IF(Y337&lt;=100,50+((100-50)/(100-50))*(Y337-50),IF(Y337&lt;=168,100+((200-100)/(168-100))*(Y337-100),IF(Y337&lt;=208,200+((300-200)/(208-168))*(Y337-168),IF(Y337&lt;=748,300+((400-300)/(748-208))*(Y337-208),IF(Y337&lt;=1000,400+((500-400)/(1000-748))*(Y337-748),500)))))))</f>
        <v>0</v>
      </c>
      <c r="AL337" s="4" t="n">
        <f aca="false">ROUND(MAX(AF337,AG337,AH337,AI337,AJ337,AK337),0)</f>
        <v>196</v>
      </c>
      <c r="AM337" s="4" t="str">
        <f aca="false">IF(AL337="","",IF(AL337&lt;=50,"Good",IF(AL337&lt;=100,"Satisfactory",IF(AL337&lt;=200,"Moderate",IF(AL337&lt;=300,"Poor",IF(AL337&lt;=400,"Very Poor","Severe"))))))</f>
        <v>Moderate</v>
      </c>
    </row>
    <row r="338" customFormat="false" ht="15.75" hidden="false" customHeight="false" outlineLevel="0" collapsed="false">
      <c r="A338" s="1" t="s">
        <v>39</v>
      </c>
      <c r="B338" s="1" t="s">
        <v>40</v>
      </c>
      <c r="C338" s="1" t="n">
        <v>28.4595</v>
      </c>
      <c r="D338" s="1" t="n">
        <v>77.0266</v>
      </c>
      <c r="E338" s="5" t="n">
        <v>45915</v>
      </c>
      <c r="F338" s="6" t="s">
        <v>41</v>
      </c>
      <c r="G338" s="1" t="n">
        <v>9</v>
      </c>
      <c r="H338" s="7" t="s">
        <v>42</v>
      </c>
      <c r="I338" s="6" t="s">
        <v>43</v>
      </c>
      <c r="J338" s="7" t="s">
        <v>44</v>
      </c>
      <c r="K338" s="7" t="s">
        <v>45</v>
      </c>
      <c r="L338" s="1" t="n">
        <v>82</v>
      </c>
      <c r="M338" s="1" t="n">
        <v>23.7</v>
      </c>
      <c r="N338" s="1" t="n">
        <v>13.7</v>
      </c>
      <c r="O338" s="1" t="n">
        <v>0</v>
      </c>
      <c r="P338" s="6" t="s">
        <v>43</v>
      </c>
      <c r="Q338" s="6" t="s">
        <v>43</v>
      </c>
      <c r="R338" s="1" t="n">
        <v>1005.7</v>
      </c>
      <c r="S338" s="1" t="n">
        <v>0</v>
      </c>
      <c r="T338" s="1" t="n">
        <v>80.6</v>
      </c>
      <c r="U338" s="1" t="n">
        <v>105.5</v>
      </c>
      <c r="V338" s="1" t="n">
        <v>802</v>
      </c>
      <c r="W338" s="1" t="n">
        <v>93.6</v>
      </c>
      <c r="X338" s="1" t="n">
        <v>34.7</v>
      </c>
      <c r="Y338" s="1" t="n">
        <v>0</v>
      </c>
      <c r="Z338" s="1" t="n">
        <v>45</v>
      </c>
      <c r="AA338" s="1" t="n">
        <v>149</v>
      </c>
      <c r="AB338" s="7" t="s">
        <v>81</v>
      </c>
      <c r="AC338" s="7" t="s">
        <v>82</v>
      </c>
      <c r="AD338" s="7" t="s">
        <v>83</v>
      </c>
      <c r="AE338" s="7" t="s">
        <v>84</v>
      </c>
      <c r="AF338" s="4" t="n">
        <f aca="false">IF(T338="","",IF(T338&lt;=30,(50/30)*T338,IF(T338&lt;=60,50+((100-50)/(60-30))*(T338-30),IF(T338&lt;=90,100+((200-100)/(90-60))*(T338-60),IF(T338&lt;=120,200+((300-200)/(120-90))*(T338-90),IF(T338&lt;=250,300+((400-300)/(250-120))*(T338-120),IF(T338&lt;=380,400+((500-400)/(380-250))*(T338-250),500)))))))</f>
        <v>168.666666666667</v>
      </c>
      <c r="AG338" s="4" t="n">
        <f aca="false">IF(U338="","",IF(U338&lt;=50,(50/50)*U338,IF(U338&lt;=100,50+((100-50)/(100-50))*(U338-50),IF(U338&lt;=250,100+((200-100)/(250-100))*(U338-100),IF(U338&lt;=350,200+((300-200)/(350-250))*(U338-250),IF(U338&lt;=430,300+((400-300)/(430-350))*(U338-350),IF(U338&lt;=600,400+((500-400)/(600-430))*(U338-430),500)))))))</f>
        <v>103.666666666667</v>
      </c>
      <c r="AH338" s="4" t="n">
        <f aca="false">IF(V338="","",IF((V338/1000)&lt;=1,(50/1)*(V338/1000),IF((V338/1000)&lt;=2,50+((100-50)/(2-1))*(V338/1000-1),IF((V338/1000)&lt;=10,100+((200-100)/(10-2))*(V338/1000-2),IF((V338/1000)&lt;=17,200+((300-200)/(17-10))*(V338/1000-10),IF((V338/1000)&lt;=34,300+((400-300)/(34-17))*(V338/1000-17),IF((V338/1000)&lt;=57,400+((500-400)/(57-34))*(V338/1000-34),500)))))))</f>
        <v>40.1</v>
      </c>
      <c r="AI338" s="4" t="n">
        <f aca="false">IF(W338="","",IF(W338&lt;=40,(50/40)*W338,IF(W338&lt;=80,50+((100-50)/(80-40))*(W338-40),IF(W338&lt;=180,100+((200-100)/(180-80))*(W338-80),IF(W338&lt;=280,200+((300-200)/(280-180))*(W338-180),IF(W338&lt;=400,300+((400-300)/(400-280))*(W338-280),IF(W338&lt;=800,400+((500-400)/(800-400))*(W338-400),500)))))))</f>
        <v>113.6</v>
      </c>
      <c r="AJ338" s="4" t="n">
        <f aca="false">IF(X338="","",IF(X338&lt;=40,(50/40)*X338,IF(X338&lt;=80,50+((100-50)/(80-40))*(X338-40),IF(X338&lt;=380,100+((200-100)/(380-80))*(X338-80),IF(X338&lt;=800,200+((300-200)/(800-380))*(X338-380),IF(X338&lt;=1600,300+((400-300)/(1600-800))*(X338-800),IF(X338&lt;=2100,400+((500-400)/(2100-1600))*(X338-1600),500)))))))</f>
        <v>43.375</v>
      </c>
      <c r="AK338" s="4" t="n">
        <f aca="false">IF(Y338="","",IF(Y338&lt;=50,(50/50)*Y338,IF(Y338&lt;=100,50+((100-50)/(100-50))*(Y338-50),IF(Y338&lt;=168,100+((200-100)/(168-100))*(Y338-100),IF(Y338&lt;=208,200+((300-200)/(208-168))*(Y338-168),IF(Y338&lt;=748,300+((400-300)/(748-208))*(Y338-208),IF(Y338&lt;=1000,400+((500-400)/(1000-748))*(Y338-748),500)))))))</f>
        <v>0</v>
      </c>
      <c r="AL338" s="4" t="n">
        <f aca="false">ROUND(MAX(AF338,AG338,AH338,AI338,AJ338,AK338),0)</f>
        <v>169</v>
      </c>
      <c r="AM338" s="4" t="str">
        <f aca="false">IF(AL338="","",IF(AL338&lt;=50,"Good",IF(AL338&lt;=100,"Satisfactory",IF(AL338&lt;=200,"Moderate",IF(AL338&lt;=300,"Poor",IF(AL338&lt;=400,"Very Poor","Severe"))))))</f>
        <v>Moderate</v>
      </c>
    </row>
    <row r="339" customFormat="false" ht="15.75" hidden="false" customHeight="false" outlineLevel="0" collapsed="false">
      <c r="A339" s="1" t="s">
        <v>39</v>
      </c>
      <c r="B339" s="1" t="s">
        <v>40</v>
      </c>
      <c r="C339" s="1" t="n">
        <v>28.4595</v>
      </c>
      <c r="D339" s="1" t="n">
        <v>77.0266</v>
      </c>
      <c r="E339" s="5" t="n">
        <v>45915</v>
      </c>
      <c r="F339" s="6" t="s">
        <v>49</v>
      </c>
      <c r="G339" s="1" t="n">
        <v>9</v>
      </c>
      <c r="H339" s="7" t="s">
        <v>42</v>
      </c>
      <c r="I339" s="6" t="s">
        <v>43</v>
      </c>
      <c r="J339" s="7" t="s">
        <v>44</v>
      </c>
      <c r="K339" s="7" t="s">
        <v>45</v>
      </c>
      <c r="L339" s="1" t="n">
        <v>83</v>
      </c>
      <c r="M339" s="1" t="n">
        <v>23.7</v>
      </c>
      <c r="N339" s="1" t="n">
        <v>13.7</v>
      </c>
      <c r="O339" s="1" t="n">
        <v>0</v>
      </c>
      <c r="P339" s="6" t="s">
        <v>43</v>
      </c>
      <c r="Q339" s="6" t="s">
        <v>43</v>
      </c>
      <c r="R339" s="1" t="n">
        <v>1005.4</v>
      </c>
      <c r="S339" s="1" t="n">
        <v>2</v>
      </c>
      <c r="T339" s="1" t="n">
        <v>74</v>
      </c>
      <c r="U339" s="1" t="n">
        <v>99.9</v>
      </c>
      <c r="V339" s="1" t="n">
        <v>570</v>
      </c>
      <c r="W339" s="1" t="n">
        <v>86.2</v>
      </c>
      <c r="X339" s="1" t="n">
        <v>29.9</v>
      </c>
      <c r="Y339" s="1" t="n">
        <v>0</v>
      </c>
      <c r="Z339" s="1" t="n">
        <v>47</v>
      </c>
      <c r="AA339" s="1" t="n">
        <v>148</v>
      </c>
      <c r="AB339" s="7" t="s">
        <v>81</v>
      </c>
      <c r="AC339" s="7" t="s">
        <v>82</v>
      </c>
      <c r="AD339" s="7" t="s">
        <v>83</v>
      </c>
      <c r="AE339" s="7" t="s">
        <v>84</v>
      </c>
      <c r="AF339" s="4" t="n">
        <f aca="false">IF(T339="","",IF(T339&lt;=30,(50/30)*T339,IF(T339&lt;=60,50+((100-50)/(60-30))*(T339-30),IF(T339&lt;=90,100+((200-100)/(90-60))*(T339-60),IF(T339&lt;=120,200+((300-200)/(120-90))*(T339-90),IF(T339&lt;=250,300+((400-300)/(250-120))*(T339-120),IF(T339&lt;=380,400+((500-400)/(380-250))*(T339-250),500)))))))</f>
        <v>146.666666666667</v>
      </c>
      <c r="AG339" s="4" t="n">
        <f aca="false">IF(U339="","",IF(U339&lt;=50,(50/50)*U339,IF(U339&lt;=100,50+((100-50)/(100-50))*(U339-50),IF(U339&lt;=250,100+((200-100)/(250-100))*(U339-100),IF(U339&lt;=350,200+((300-200)/(350-250))*(U339-250),IF(U339&lt;=430,300+((400-300)/(430-350))*(U339-350),IF(U339&lt;=600,400+((500-400)/(600-430))*(U339-430),500)))))))</f>
        <v>99.9</v>
      </c>
      <c r="AH339" s="4" t="n">
        <f aca="false">IF(V339="","",IF((V339/1000)&lt;=1,(50/1)*(V339/1000),IF((V339/1000)&lt;=2,50+((100-50)/(2-1))*(V339/1000-1),IF((V339/1000)&lt;=10,100+((200-100)/(10-2))*(V339/1000-2),IF((V339/1000)&lt;=17,200+((300-200)/(17-10))*(V339/1000-10),IF((V339/1000)&lt;=34,300+((400-300)/(34-17))*(V339/1000-17),IF((V339/1000)&lt;=57,400+((500-400)/(57-34))*(V339/1000-34),500)))))))</f>
        <v>28.5</v>
      </c>
      <c r="AI339" s="4" t="n">
        <f aca="false">IF(W339="","",IF(W339&lt;=40,(50/40)*W339,IF(W339&lt;=80,50+((100-50)/(80-40))*(W339-40),IF(W339&lt;=180,100+((200-100)/(180-80))*(W339-80),IF(W339&lt;=280,200+((300-200)/(280-180))*(W339-180),IF(W339&lt;=400,300+((400-300)/(400-280))*(W339-280),IF(W339&lt;=800,400+((500-400)/(800-400))*(W339-400),500)))))))</f>
        <v>106.2</v>
      </c>
      <c r="AJ339" s="4" t="n">
        <f aca="false">IF(X339="","",IF(X339&lt;=40,(50/40)*X339,IF(X339&lt;=80,50+((100-50)/(80-40))*(X339-40),IF(X339&lt;=380,100+((200-100)/(380-80))*(X339-80),IF(X339&lt;=800,200+((300-200)/(800-380))*(X339-380),IF(X339&lt;=1600,300+((400-300)/(1600-800))*(X339-800),IF(X339&lt;=2100,400+((500-400)/(2100-1600))*(X339-1600),500)))))))</f>
        <v>37.375</v>
      </c>
      <c r="AK339" s="4" t="n">
        <f aca="false">IF(Y339="","",IF(Y339&lt;=50,(50/50)*Y339,IF(Y339&lt;=100,50+((100-50)/(100-50))*(Y339-50),IF(Y339&lt;=168,100+((200-100)/(168-100))*(Y339-100),IF(Y339&lt;=208,200+((300-200)/(208-168))*(Y339-168),IF(Y339&lt;=748,300+((400-300)/(748-208))*(Y339-208),IF(Y339&lt;=1000,400+((500-400)/(1000-748))*(Y339-748),500)))))))</f>
        <v>0</v>
      </c>
      <c r="AL339" s="4" t="n">
        <f aca="false">ROUND(MAX(AF339,AG339,AH339,AI339,AJ339,AK339),0)</f>
        <v>147</v>
      </c>
      <c r="AM339" s="4" t="str">
        <f aca="false">IF(AL339="","",IF(AL339&lt;=50,"Good",IF(AL339&lt;=100,"Satisfactory",IF(AL339&lt;=200,"Moderate",IF(AL339&lt;=300,"Poor",IF(AL339&lt;=400,"Very Poor","Severe"))))))</f>
        <v>Moderate</v>
      </c>
    </row>
    <row r="340" customFormat="false" ht="15.75" hidden="false" customHeight="false" outlineLevel="0" collapsed="false">
      <c r="A340" s="1" t="s">
        <v>39</v>
      </c>
      <c r="B340" s="1" t="s">
        <v>40</v>
      </c>
      <c r="C340" s="1" t="n">
        <v>28.4595</v>
      </c>
      <c r="D340" s="1" t="n">
        <v>77.0266</v>
      </c>
      <c r="E340" s="5" t="n">
        <v>45915</v>
      </c>
      <c r="F340" s="6" t="s">
        <v>51</v>
      </c>
      <c r="G340" s="1" t="n">
        <v>9</v>
      </c>
      <c r="H340" s="7" t="s">
        <v>42</v>
      </c>
      <c r="I340" s="6" t="s">
        <v>43</v>
      </c>
      <c r="J340" s="7" t="s">
        <v>44</v>
      </c>
      <c r="K340" s="7" t="s">
        <v>45</v>
      </c>
      <c r="L340" s="1" t="n">
        <v>84</v>
      </c>
      <c r="M340" s="1" t="n">
        <v>23.6</v>
      </c>
      <c r="N340" s="1" t="n">
        <v>10.4</v>
      </c>
      <c r="O340" s="1" t="n">
        <v>0</v>
      </c>
      <c r="P340" s="6" t="s">
        <v>43</v>
      </c>
      <c r="Q340" s="6" t="s">
        <v>43</v>
      </c>
      <c r="R340" s="1" t="n">
        <v>1005</v>
      </c>
      <c r="S340" s="1" t="n">
        <v>4</v>
      </c>
      <c r="T340" s="1" t="n">
        <v>71</v>
      </c>
      <c r="U340" s="1" t="n">
        <v>98</v>
      </c>
      <c r="V340" s="1" t="n">
        <v>400</v>
      </c>
      <c r="W340" s="1" t="n">
        <v>79.2</v>
      </c>
      <c r="X340" s="1" t="n">
        <v>25.9</v>
      </c>
      <c r="Y340" s="1" t="n">
        <v>0</v>
      </c>
      <c r="Z340" s="1" t="n">
        <v>48</v>
      </c>
      <c r="AA340" s="1" t="n">
        <v>146</v>
      </c>
      <c r="AB340" s="7" t="s">
        <v>81</v>
      </c>
      <c r="AC340" s="7" t="s">
        <v>82</v>
      </c>
      <c r="AD340" s="7" t="s">
        <v>83</v>
      </c>
      <c r="AE340" s="7" t="s">
        <v>84</v>
      </c>
      <c r="AF340" s="4" t="n">
        <f aca="false">IF(T340="","",IF(T340&lt;=30,(50/30)*T340,IF(T340&lt;=60,50+((100-50)/(60-30))*(T340-30),IF(T340&lt;=90,100+((200-100)/(90-60))*(T340-60),IF(T340&lt;=120,200+((300-200)/(120-90))*(T340-90),IF(T340&lt;=250,300+((400-300)/(250-120))*(T340-120),IF(T340&lt;=380,400+((500-400)/(380-250))*(T340-250),500)))))))</f>
        <v>136.666666666667</v>
      </c>
      <c r="AG340" s="4" t="n">
        <f aca="false">IF(U340="","",IF(U340&lt;=50,(50/50)*U340,IF(U340&lt;=100,50+((100-50)/(100-50))*(U340-50),IF(U340&lt;=250,100+((200-100)/(250-100))*(U340-100),IF(U340&lt;=350,200+((300-200)/(350-250))*(U340-250),IF(U340&lt;=430,300+((400-300)/(430-350))*(U340-350),IF(U340&lt;=600,400+((500-400)/(600-430))*(U340-430),500)))))))</f>
        <v>98</v>
      </c>
      <c r="AH340" s="4" t="n">
        <f aca="false">IF(V340="","",IF((V340/1000)&lt;=1,(50/1)*(V340/1000),IF((V340/1000)&lt;=2,50+((100-50)/(2-1))*(V340/1000-1),IF((V340/1000)&lt;=10,100+((200-100)/(10-2))*(V340/1000-2),IF((V340/1000)&lt;=17,200+((300-200)/(17-10))*(V340/1000-10),IF((V340/1000)&lt;=34,300+((400-300)/(34-17))*(V340/1000-17),IF((V340/1000)&lt;=57,400+((500-400)/(57-34))*(V340/1000-34),500)))))))</f>
        <v>20</v>
      </c>
      <c r="AI340" s="4" t="n">
        <f aca="false">IF(W340="","",IF(W340&lt;=40,(50/40)*W340,IF(W340&lt;=80,50+((100-50)/(80-40))*(W340-40),IF(W340&lt;=180,100+((200-100)/(180-80))*(W340-80),IF(W340&lt;=280,200+((300-200)/(280-180))*(W340-180),IF(W340&lt;=400,300+((400-300)/(400-280))*(W340-280),IF(W340&lt;=800,400+((500-400)/(800-400))*(W340-400),500)))))))</f>
        <v>99</v>
      </c>
      <c r="AJ340" s="4" t="n">
        <f aca="false">IF(X340="","",IF(X340&lt;=40,(50/40)*X340,IF(X340&lt;=80,50+((100-50)/(80-40))*(X340-40),IF(X340&lt;=380,100+((200-100)/(380-80))*(X340-80),IF(X340&lt;=800,200+((300-200)/(800-380))*(X340-380),IF(X340&lt;=1600,300+((400-300)/(1600-800))*(X340-800),IF(X340&lt;=2100,400+((500-400)/(2100-1600))*(X340-1600),500)))))))</f>
        <v>32.375</v>
      </c>
      <c r="AK340" s="4" t="n">
        <f aca="false">IF(Y340="","",IF(Y340&lt;=50,(50/50)*Y340,IF(Y340&lt;=100,50+((100-50)/(100-50))*(Y340-50),IF(Y340&lt;=168,100+((200-100)/(168-100))*(Y340-100),IF(Y340&lt;=208,200+((300-200)/(208-168))*(Y340-168),IF(Y340&lt;=748,300+((400-300)/(748-208))*(Y340-208),IF(Y340&lt;=1000,400+((500-400)/(1000-748))*(Y340-748),500)))))))</f>
        <v>0</v>
      </c>
      <c r="AL340" s="4" t="n">
        <f aca="false">ROUND(MAX(AF340,AG340,AH340,AI340,AJ340,AK340),0)</f>
        <v>137</v>
      </c>
      <c r="AM340" s="4" t="str">
        <f aca="false">IF(AL340="","",IF(AL340&lt;=50,"Good",IF(AL340&lt;=100,"Satisfactory",IF(AL340&lt;=200,"Moderate",IF(AL340&lt;=300,"Poor",IF(AL340&lt;=400,"Very Poor","Severe"))))))</f>
        <v>Moderate</v>
      </c>
    </row>
    <row r="341" customFormat="false" ht="15.75" hidden="false" customHeight="false" outlineLevel="0" collapsed="false">
      <c r="A341" s="1" t="s">
        <v>39</v>
      </c>
      <c r="B341" s="1" t="s">
        <v>40</v>
      </c>
      <c r="C341" s="1" t="n">
        <v>28.4595</v>
      </c>
      <c r="D341" s="1" t="n">
        <v>77.0266</v>
      </c>
      <c r="E341" s="5" t="n">
        <v>45915</v>
      </c>
      <c r="F341" s="6" t="s">
        <v>52</v>
      </c>
      <c r="G341" s="1" t="n">
        <v>9</v>
      </c>
      <c r="H341" s="7" t="s">
        <v>42</v>
      </c>
      <c r="I341" s="6" t="s">
        <v>43</v>
      </c>
      <c r="J341" s="7" t="s">
        <v>44</v>
      </c>
      <c r="K341" s="7" t="s">
        <v>45</v>
      </c>
      <c r="L341" s="1" t="n">
        <v>83</v>
      </c>
      <c r="M341" s="1" t="n">
        <v>23.2</v>
      </c>
      <c r="N341" s="1" t="n">
        <v>11.2</v>
      </c>
      <c r="O341" s="1" t="n">
        <v>0</v>
      </c>
      <c r="P341" s="6" t="s">
        <v>43</v>
      </c>
      <c r="Q341" s="6" t="s">
        <v>43</v>
      </c>
      <c r="R341" s="1" t="n">
        <v>1004.9</v>
      </c>
      <c r="S341" s="1" t="n">
        <v>0</v>
      </c>
      <c r="T341" s="1" t="n">
        <v>67.8</v>
      </c>
      <c r="U341" s="1" t="n">
        <v>95.9</v>
      </c>
      <c r="V341" s="1" t="n">
        <v>329</v>
      </c>
      <c r="W341" s="1" t="n">
        <v>73.6</v>
      </c>
      <c r="X341" s="1" t="n">
        <v>23.4</v>
      </c>
      <c r="Y341" s="1" t="n">
        <v>0</v>
      </c>
      <c r="Z341" s="1" t="n">
        <v>47</v>
      </c>
      <c r="AA341" s="1" t="n">
        <v>143</v>
      </c>
      <c r="AB341" s="7" t="s">
        <v>81</v>
      </c>
      <c r="AC341" s="7" t="s">
        <v>82</v>
      </c>
      <c r="AD341" s="7" t="s">
        <v>83</v>
      </c>
      <c r="AE341" s="7" t="s">
        <v>84</v>
      </c>
      <c r="AF341" s="4" t="n">
        <f aca="false">IF(T341="","",IF(T341&lt;=30,(50/30)*T341,IF(T341&lt;=60,50+((100-50)/(60-30))*(T341-30),IF(T341&lt;=90,100+((200-100)/(90-60))*(T341-60),IF(T341&lt;=120,200+((300-200)/(120-90))*(T341-90),IF(T341&lt;=250,300+((400-300)/(250-120))*(T341-120),IF(T341&lt;=380,400+((500-400)/(380-250))*(T341-250),500)))))))</f>
        <v>126</v>
      </c>
      <c r="AG341" s="4" t="n">
        <f aca="false">IF(U341="","",IF(U341&lt;=50,(50/50)*U341,IF(U341&lt;=100,50+((100-50)/(100-50))*(U341-50),IF(U341&lt;=250,100+((200-100)/(250-100))*(U341-100),IF(U341&lt;=350,200+((300-200)/(350-250))*(U341-250),IF(U341&lt;=430,300+((400-300)/(430-350))*(U341-350),IF(U341&lt;=600,400+((500-400)/(600-430))*(U341-430),500)))))))</f>
        <v>95.9</v>
      </c>
      <c r="AH341" s="4" t="n">
        <f aca="false">IF(V341="","",IF((V341/1000)&lt;=1,(50/1)*(V341/1000),IF((V341/1000)&lt;=2,50+((100-50)/(2-1))*(V341/1000-1),IF((V341/1000)&lt;=10,100+((200-100)/(10-2))*(V341/1000-2),IF((V341/1000)&lt;=17,200+((300-200)/(17-10))*(V341/1000-10),IF((V341/1000)&lt;=34,300+((400-300)/(34-17))*(V341/1000-17),IF((V341/1000)&lt;=57,400+((500-400)/(57-34))*(V341/1000-34),500)))))))</f>
        <v>16.45</v>
      </c>
      <c r="AI341" s="4" t="n">
        <f aca="false">IF(W341="","",IF(W341&lt;=40,(50/40)*W341,IF(W341&lt;=80,50+((100-50)/(80-40))*(W341-40),IF(W341&lt;=180,100+((200-100)/(180-80))*(W341-80),IF(W341&lt;=280,200+((300-200)/(280-180))*(W341-180),IF(W341&lt;=400,300+((400-300)/(400-280))*(W341-280),IF(W341&lt;=800,400+((500-400)/(800-400))*(W341-400),500)))))))</f>
        <v>92</v>
      </c>
      <c r="AJ341" s="4" t="n">
        <f aca="false">IF(X341="","",IF(X341&lt;=40,(50/40)*X341,IF(X341&lt;=80,50+((100-50)/(80-40))*(X341-40),IF(X341&lt;=380,100+((200-100)/(380-80))*(X341-80),IF(X341&lt;=800,200+((300-200)/(800-380))*(X341-380),IF(X341&lt;=1600,300+((400-300)/(1600-800))*(X341-800),IF(X341&lt;=2100,400+((500-400)/(2100-1600))*(X341-1600),500)))))))</f>
        <v>29.25</v>
      </c>
      <c r="AK341" s="4" t="n">
        <f aca="false">IF(Y341="","",IF(Y341&lt;=50,(50/50)*Y341,IF(Y341&lt;=100,50+((100-50)/(100-50))*(Y341-50),IF(Y341&lt;=168,100+((200-100)/(168-100))*(Y341-100),IF(Y341&lt;=208,200+((300-200)/(208-168))*(Y341-168),IF(Y341&lt;=748,300+((400-300)/(748-208))*(Y341-208),IF(Y341&lt;=1000,400+((500-400)/(1000-748))*(Y341-748),500)))))))</f>
        <v>0</v>
      </c>
      <c r="AL341" s="4" t="n">
        <f aca="false">ROUND(MAX(AF341,AG341,AH341,AI341,AJ341,AK341),0)</f>
        <v>126</v>
      </c>
      <c r="AM341" s="4" t="str">
        <f aca="false">IF(AL341="","",IF(AL341&lt;=50,"Good",IF(AL341&lt;=100,"Satisfactory",IF(AL341&lt;=200,"Moderate",IF(AL341&lt;=300,"Poor",IF(AL341&lt;=400,"Very Poor","Severe"))))))</f>
        <v>Moderate</v>
      </c>
    </row>
    <row r="342" customFormat="false" ht="15.75" hidden="false" customHeight="false" outlineLevel="0" collapsed="false">
      <c r="A342" s="1" t="s">
        <v>39</v>
      </c>
      <c r="B342" s="1" t="s">
        <v>40</v>
      </c>
      <c r="C342" s="1" t="n">
        <v>28.4595</v>
      </c>
      <c r="D342" s="1" t="n">
        <v>77.0266</v>
      </c>
      <c r="E342" s="5" t="n">
        <v>45915</v>
      </c>
      <c r="F342" s="6" t="s">
        <v>53</v>
      </c>
      <c r="G342" s="1" t="n">
        <v>9</v>
      </c>
      <c r="H342" s="7" t="s">
        <v>42</v>
      </c>
      <c r="I342" s="6" t="s">
        <v>43</v>
      </c>
      <c r="J342" s="7" t="s">
        <v>44</v>
      </c>
      <c r="K342" s="7" t="s">
        <v>45</v>
      </c>
      <c r="L342" s="1" t="n">
        <v>81</v>
      </c>
      <c r="M342" s="1" t="n">
        <v>22.4</v>
      </c>
      <c r="N342" s="1" t="n">
        <v>15.5</v>
      </c>
      <c r="O342" s="1" t="n">
        <v>0</v>
      </c>
      <c r="P342" s="6" t="s">
        <v>43</v>
      </c>
      <c r="Q342" s="6" t="s">
        <v>43</v>
      </c>
      <c r="R342" s="1" t="n">
        <v>1005.1</v>
      </c>
      <c r="S342" s="1" t="n">
        <v>0</v>
      </c>
      <c r="T342" s="1" t="n">
        <v>61.7</v>
      </c>
      <c r="U342" s="1" t="n">
        <v>89.4</v>
      </c>
      <c r="V342" s="1" t="n">
        <v>321</v>
      </c>
      <c r="W342" s="1" t="n">
        <v>68.4</v>
      </c>
      <c r="X342" s="1" t="n">
        <v>21.5</v>
      </c>
      <c r="Y342" s="1" t="n">
        <v>0</v>
      </c>
      <c r="Z342" s="1" t="n">
        <v>46</v>
      </c>
      <c r="AA342" s="1" t="n">
        <v>142</v>
      </c>
      <c r="AB342" s="7" t="s">
        <v>81</v>
      </c>
      <c r="AC342" s="7" t="s">
        <v>82</v>
      </c>
      <c r="AD342" s="7" t="s">
        <v>83</v>
      </c>
      <c r="AE342" s="7" t="s">
        <v>84</v>
      </c>
      <c r="AF342" s="4" t="n">
        <f aca="false">IF(T342="","",IF(T342&lt;=30,(50/30)*T342,IF(T342&lt;=60,50+((100-50)/(60-30))*(T342-30),IF(T342&lt;=90,100+((200-100)/(90-60))*(T342-60),IF(T342&lt;=120,200+((300-200)/(120-90))*(T342-90),IF(T342&lt;=250,300+((400-300)/(250-120))*(T342-120),IF(T342&lt;=380,400+((500-400)/(380-250))*(T342-250),500)))))))</f>
        <v>105.666666666667</v>
      </c>
      <c r="AG342" s="4" t="n">
        <f aca="false">IF(U342="","",IF(U342&lt;=50,(50/50)*U342,IF(U342&lt;=100,50+((100-50)/(100-50))*(U342-50),IF(U342&lt;=250,100+((200-100)/(250-100))*(U342-100),IF(U342&lt;=350,200+((300-200)/(350-250))*(U342-250),IF(U342&lt;=430,300+((400-300)/(430-350))*(U342-350),IF(U342&lt;=600,400+((500-400)/(600-430))*(U342-430),500)))))))</f>
        <v>89.4</v>
      </c>
      <c r="AH342" s="4" t="n">
        <f aca="false">IF(V342="","",IF((V342/1000)&lt;=1,(50/1)*(V342/1000),IF((V342/1000)&lt;=2,50+((100-50)/(2-1))*(V342/1000-1),IF((V342/1000)&lt;=10,100+((200-100)/(10-2))*(V342/1000-2),IF((V342/1000)&lt;=17,200+((300-200)/(17-10))*(V342/1000-10),IF((V342/1000)&lt;=34,300+((400-300)/(34-17))*(V342/1000-17),IF((V342/1000)&lt;=57,400+((500-400)/(57-34))*(V342/1000-34),500)))))))</f>
        <v>16.05</v>
      </c>
      <c r="AI342" s="4" t="n">
        <f aca="false">IF(W342="","",IF(W342&lt;=40,(50/40)*W342,IF(W342&lt;=80,50+((100-50)/(80-40))*(W342-40),IF(W342&lt;=180,100+((200-100)/(180-80))*(W342-80),IF(W342&lt;=280,200+((300-200)/(280-180))*(W342-180),IF(W342&lt;=400,300+((400-300)/(400-280))*(W342-280),IF(W342&lt;=800,400+((500-400)/(800-400))*(W342-400),500)))))))</f>
        <v>85.5</v>
      </c>
      <c r="AJ342" s="4" t="n">
        <f aca="false">IF(X342="","",IF(X342&lt;=40,(50/40)*X342,IF(X342&lt;=80,50+((100-50)/(80-40))*(X342-40),IF(X342&lt;=380,100+((200-100)/(380-80))*(X342-80),IF(X342&lt;=800,200+((300-200)/(800-380))*(X342-380),IF(X342&lt;=1600,300+((400-300)/(1600-800))*(X342-800),IF(X342&lt;=2100,400+((500-400)/(2100-1600))*(X342-1600),500)))))))</f>
        <v>26.875</v>
      </c>
      <c r="AK342" s="4" t="n">
        <f aca="false">IF(Y342="","",IF(Y342&lt;=50,(50/50)*Y342,IF(Y342&lt;=100,50+((100-50)/(100-50))*(Y342-50),IF(Y342&lt;=168,100+((200-100)/(168-100))*(Y342-100),IF(Y342&lt;=208,200+((300-200)/(208-168))*(Y342-168),IF(Y342&lt;=748,300+((400-300)/(748-208))*(Y342-208),IF(Y342&lt;=1000,400+((500-400)/(1000-748))*(Y342-748),500)))))))</f>
        <v>0</v>
      </c>
      <c r="AL342" s="4" t="n">
        <f aca="false">ROUND(MAX(AF342,AG342,AH342,AI342,AJ342,AK342),0)</f>
        <v>106</v>
      </c>
      <c r="AM342" s="4" t="str">
        <f aca="false">IF(AL342="","",IF(AL342&lt;=50,"Good",IF(AL342&lt;=100,"Satisfactory",IF(AL342&lt;=200,"Moderate",IF(AL342&lt;=300,"Poor",IF(AL342&lt;=400,"Very Poor","Severe"))))))</f>
        <v>Moderate</v>
      </c>
    </row>
    <row r="343" customFormat="false" ht="15.75" hidden="false" customHeight="false" outlineLevel="0" collapsed="false">
      <c r="A343" s="1" t="s">
        <v>39</v>
      </c>
      <c r="B343" s="1" t="s">
        <v>40</v>
      </c>
      <c r="C343" s="1" t="n">
        <v>28.4595</v>
      </c>
      <c r="D343" s="1" t="n">
        <v>77.0266</v>
      </c>
      <c r="E343" s="5" t="n">
        <v>45915</v>
      </c>
      <c r="F343" s="6" t="s">
        <v>54</v>
      </c>
      <c r="G343" s="1" t="n">
        <v>9</v>
      </c>
      <c r="H343" s="7" t="s">
        <v>42</v>
      </c>
      <c r="I343" s="6" t="s">
        <v>43</v>
      </c>
      <c r="J343" s="7" t="s">
        <v>44</v>
      </c>
      <c r="K343" s="7" t="s">
        <v>45</v>
      </c>
      <c r="L343" s="1" t="n">
        <v>78</v>
      </c>
      <c r="M343" s="1" t="n">
        <v>21.6</v>
      </c>
      <c r="N343" s="1" t="n">
        <v>16.6</v>
      </c>
      <c r="O343" s="1" t="n">
        <v>0</v>
      </c>
      <c r="P343" s="6" t="s">
        <v>43</v>
      </c>
      <c r="Q343" s="6" t="s">
        <v>43</v>
      </c>
      <c r="R343" s="1" t="n">
        <v>1005.3</v>
      </c>
      <c r="S343" s="1" t="n">
        <v>0</v>
      </c>
      <c r="T343" s="1" t="n">
        <v>42.8</v>
      </c>
      <c r="U343" s="1" t="n">
        <v>65</v>
      </c>
      <c r="V343" s="1" t="n">
        <v>332</v>
      </c>
      <c r="W343" s="1" t="n">
        <v>57.3</v>
      </c>
      <c r="X343" s="1" t="n">
        <v>17.9</v>
      </c>
      <c r="Y343" s="1" t="n">
        <v>5</v>
      </c>
      <c r="Z343" s="1" t="n">
        <v>40</v>
      </c>
      <c r="AA343" s="1" t="n">
        <v>140</v>
      </c>
      <c r="AB343" s="7" t="s">
        <v>81</v>
      </c>
      <c r="AC343" s="7" t="s">
        <v>82</v>
      </c>
      <c r="AD343" s="7" t="s">
        <v>83</v>
      </c>
      <c r="AE343" s="7" t="s">
        <v>84</v>
      </c>
      <c r="AF343" s="4" t="n">
        <f aca="false">IF(T343="","",IF(T343&lt;=30,(50/30)*T343,IF(T343&lt;=60,50+((100-50)/(60-30))*(T343-30),IF(T343&lt;=90,100+((200-100)/(90-60))*(T343-60),IF(T343&lt;=120,200+((300-200)/(120-90))*(T343-90),IF(T343&lt;=250,300+((400-300)/(250-120))*(T343-120),IF(T343&lt;=380,400+((500-400)/(380-250))*(T343-250),500)))))))</f>
        <v>71.3333333333333</v>
      </c>
      <c r="AG343" s="4" t="n">
        <f aca="false">IF(U343="","",IF(U343&lt;=50,(50/50)*U343,IF(U343&lt;=100,50+((100-50)/(100-50))*(U343-50),IF(U343&lt;=250,100+((200-100)/(250-100))*(U343-100),IF(U343&lt;=350,200+((300-200)/(350-250))*(U343-250),IF(U343&lt;=430,300+((400-300)/(430-350))*(U343-350),IF(U343&lt;=600,400+((500-400)/(600-430))*(U343-430),500)))))))</f>
        <v>65</v>
      </c>
      <c r="AH343" s="4" t="n">
        <f aca="false">IF(V343="","",IF((V343/1000)&lt;=1,(50/1)*(V343/1000),IF((V343/1000)&lt;=2,50+((100-50)/(2-1))*(V343/1000-1),IF((V343/1000)&lt;=10,100+((200-100)/(10-2))*(V343/1000-2),IF((V343/1000)&lt;=17,200+((300-200)/(17-10))*(V343/1000-10),IF((V343/1000)&lt;=34,300+((400-300)/(34-17))*(V343/1000-17),IF((V343/1000)&lt;=57,400+((500-400)/(57-34))*(V343/1000-34),500)))))))</f>
        <v>16.6</v>
      </c>
      <c r="AI343" s="4" t="n">
        <f aca="false">IF(W343="","",IF(W343&lt;=40,(50/40)*W343,IF(W343&lt;=80,50+((100-50)/(80-40))*(W343-40),IF(W343&lt;=180,100+((200-100)/(180-80))*(W343-80),IF(W343&lt;=280,200+((300-200)/(280-180))*(W343-180),IF(W343&lt;=400,300+((400-300)/(400-280))*(W343-280),IF(W343&lt;=800,400+((500-400)/(800-400))*(W343-400),500)))))))</f>
        <v>71.625</v>
      </c>
      <c r="AJ343" s="4" t="n">
        <f aca="false">IF(X343="","",IF(X343&lt;=40,(50/40)*X343,IF(X343&lt;=80,50+((100-50)/(80-40))*(X343-40),IF(X343&lt;=380,100+((200-100)/(380-80))*(X343-80),IF(X343&lt;=800,200+((300-200)/(800-380))*(X343-380),IF(X343&lt;=1600,300+((400-300)/(1600-800))*(X343-800),IF(X343&lt;=2100,400+((500-400)/(2100-1600))*(X343-1600),500)))))))</f>
        <v>22.375</v>
      </c>
      <c r="AK343" s="4" t="n">
        <f aca="false">IF(Y343="","",IF(Y343&lt;=50,(50/50)*Y343,IF(Y343&lt;=100,50+((100-50)/(100-50))*(Y343-50),IF(Y343&lt;=168,100+((200-100)/(168-100))*(Y343-100),IF(Y343&lt;=208,200+((300-200)/(208-168))*(Y343-168),IF(Y343&lt;=748,300+((400-300)/(748-208))*(Y343-208),IF(Y343&lt;=1000,400+((500-400)/(1000-748))*(Y343-748),500)))))))</f>
        <v>5</v>
      </c>
      <c r="AL343" s="4" t="n">
        <f aca="false">ROUND(MAX(AF343,AG343,AH343,AI343,AJ343,AK343),0)</f>
        <v>72</v>
      </c>
      <c r="AM343" s="4" t="str">
        <f aca="false">IF(AL343="","",IF(AL343&lt;=50,"Good",IF(AL343&lt;=100,"Satisfactory",IF(AL343&lt;=200,"Moderate",IF(AL343&lt;=300,"Poor",IF(AL343&lt;=400,"Very Poor","Severe"))))))</f>
        <v>Satisfactory</v>
      </c>
    </row>
    <row r="344" customFormat="false" ht="15.75" hidden="false" customHeight="false" outlineLevel="0" collapsed="false">
      <c r="A344" s="1" t="s">
        <v>39</v>
      </c>
      <c r="B344" s="1" t="s">
        <v>40</v>
      </c>
      <c r="C344" s="1" t="n">
        <v>28.4595</v>
      </c>
      <c r="D344" s="1" t="n">
        <v>77.0266</v>
      </c>
      <c r="E344" s="5" t="n">
        <v>45915</v>
      </c>
      <c r="F344" s="6" t="s">
        <v>55</v>
      </c>
      <c r="G344" s="1" t="n">
        <v>9</v>
      </c>
      <c r="H344" s="7" t="s">
        <v>42</v>
      </c>
      <c r="I344" s="6" t="s">
        <v>43</v>
      </c>
      <c r="J344" s="7" t="s">
        <v>44</v>
      </c>
      <c r="K344" s="7" t="s">
        <v>56</v>
      </c>
      <c r="L344" s="1" t="n">
        <v>75</v>
      </c>
      <c r="M344" s="1" t="n">
        <v>21.9</v>
      </c>
      <c r="N344" s="1" t="n">
        <v>16.6</v>
      </c>
      <c r="O344" s="1" t="n">
        <v>0</v>
      </c>
      <c r="P344" s="6" t="s">
        <v>43</v>
      </c>
      <c r="Q344" s="6" t="s">
        <v>43</v>
      </c>
      <c r="R344" s="1" t="n">
        <v>1005.4</v>
      </c>
      <c r="S344" s="1" t="n">
        <v>5</v>
      </c>
      <c r="T344" s="1" t="n">
        <v>38.2</v>
      </c>
      <c r="U344" s="1" t="n">
        <v>59.6</v>
      </c>
      <c r="V344" s="1" t="n">
        <v>365</v>
      </c>
      <c r="W344" s="1" t="n">
        <v>49.1</v>
      </c>
      <c r="X344" s="1" t="n">
        <v>17.4</v>
      </c>
      <c r="Y344" s="1" t="n">
        <v>21</v>
      </c>
      <c r="Z344" s="1" t="n">
        <v>37</v>
      </c>
      <c r="AA344" s="1" t="n">
        <v>137</v>
      </c>
      <c r="AB344" s="7" t="s">
        <v>81</v>
      </c>
      <c r="AC344" s="7" t="s">
        <v>82</v>
      </c>
      <c r="AD344" s="7" t="s">
        <v>83</v>
      </c>
      <c r="AE344" s="7" t="s">
        <v>84</v>
      </c>
      <c r="AF344" s="4" t="n">
        <f aca="false">IF(T344="","",IF(T344&lt;=30,(50/30)*T344,IF(T344&lt;=60,50+((100-50)/(60-30))*(T344-30),IF(T344&lt;=90,100+((200-100)/(90-60))*(T344-60),IF(T344&lt;=120,200+((300-200)/(120-90))*(T344-90),IF(T344&lt;=250,300+((400-300)/(250-120))*(T344-120),IF(T344&lt;=380,400+((500-400)/(380-250))*(T344-250),500)))))))</f>
        <v>63.6666666666667</v>
      </c>
      <c r="AG344" s="4" t="n">
        <f aca="false">IF(U344="","",IF(U344&lt;=50,(50/50)*U344,IF(U344&lt;=100,50+((100-50)/(100-50))*(U344-50),IF(U344&lt;=250,100+((200-100)/(250-100))*(U344-100),IF(U344&lt;=350,200+((300-200)/(350-250))*(U344-250),IF(U344&lt;=430,300+((400-300)/(430-350))*(U344-350),IF(U344&lt;=600,400+((500-400)/(600-430))*(U344-430),500)))))))</f>
        <v>59.6</v>
      </c>
      <c r="AH344" s="4" t="n">
        <f aca="false">IF(V344="","",IF((V344/1000)&lt;=1,(50/1)*(V344/1000),IF((V344/1000)&lt;=2,50+((100-50)/(2-1))*(V344/1000-1),IF((V344/1000)&lt;=10,100+((200-100)/(10-2))*(V344/1000-2),IF((V344/1000)&lt;=17,200+((300-200)/(17-10))*(V344/1000-10),IF((V344/1000)&lt;=34,300+((400-300)/(34-17))*(V344/1000-17),IF((V344/1000)&lt;=57,400+((500-400)/(57-34))*(V344/1000-34),500)))))))</f>
        <v>18.25</v>
      </c>
      <c r="AI344" s="4" t="n">
        <f aca="false">IF(W344="","",IF(W344&lt;=40,(50/40)*W344,IF(W344&lt;=80,50+((100-50)/(80-40))*(W344-40),IF(W344&lt;=180,100+((200-100)/(180-80))*(W344-80),IF(W344&lt;=280,200+((300-200)/(280-180))*(W344-180),IF(W344&lt;=400,300+((400-300)/(400-280))*(W344-280),IF(W344&lt;=800,400+((500-400)/(800-400))*(W344-400),500)))))))</f>
        <v>61.375</v>
      </c>
      <c r="AJ344" s="4" t="n">
        <f aca="false">IF(X344="","",IF(X344&lt;=40,(50/40)*X344,IF(X344&lt;=80,50+((100-50)/(80-40))*(X344-40),IF(X344&lt;=380,100+((200-100)/(380-80))*(X344-80),IF(X344&lt;=800,200+((300-200)/(800-380))*(X344-380),IF(X344&lt;=1600,300+((400-300)/(1600-800))*(X344-800),IF(X344&lt;=2100,400+((500-400)/(2100-1600))*(X344-1600),500)))))))</f>
        <v>21.75</v>
      </c>
      <c r="AK344" s="4" t="n">
        <f aca="false">IF(Y344="","",IF(Y344&lt;=50,(50/50)*Y344,IF(Y344&lt;=100,50+((100-50)/(100-50))*(Y344-50),IF(Y344&lt;=168,100+((200-100)/(168-100))*(Y344-100),IF(Y344&lt;=208,200+((300-200)/(208-168))*(Y344-168),IF(Y344&lt;=748,300+((400-300)/(748-208))*(Y344-208),IF(Y344&lt;=1000,400+((500-400)/(1000-748))*(Y344-748),500)))))))</f>
        <v>21</v>
      </c>
      <c r="AL344" s="4" t="n">
        <f aca="false">ROUND(MAX(AF344,AG344,AH344,AI344,AJ344,AK344),0)</f>
        <v>64</v>
      </c>
      <c r="AM344" s="4" t="str">
        <f aca="false">IF(AL344="","",IF(AL344&lt;=50,"Good",IF(AL344&lt;=100,"Satisfactory",IF(AL344&lt;=200,"Moderate",IF(AL344&lt;=300,"Poor",IF(AL344&lt;=400,"Very Poor","Severe"))))))</f>
        <v>Satisfactory</v>
      </c>
    </row>
    <row r="345" customFormat="false" ht="15.75" hidden="false" customHeight="false" outlineLevel="0" collapsed="false">
      <c r="A345" s="1" t="s">
        <v>39</v>
      </c>
      <c r="B345" s="1" t="s">
        <v>40</v>
      </c>
      <c r="C345" s="1" t="n">
        <v>28.4595</v>
      </c>
      <c r="D345" s="1" t="n">
        <v>77.0266</v>
      </c>
      <c r="E345" s="5" t="n">
        <v>45915</v>
      </c>
      <c r="F345" s="6" t="s">
        <v>57</v>
      </c>
      <c r="G345" s="1" t="n">
        <v>9</v>
      </c>
      <c r="H345" s="7" t="s">
        <v>42</v>
      </c>
      <c r="I345" s="6" t="s">
        <v>43</v>
      </c>
      <c r="J345" s="7" t="s">
        <v>44</v>
      </c>
      <c r="K345" s="7" t="s">
        <v>56</v>
      </c>
      <c r="L345" s="1" t="n">
        <v>73</v>
      </c>
      <c r="M345" s="1" t="n">
        <v>22.4</v>
      </c>
      <c r="N345" s="1" t="n">
        <v>16.2</v>
      </c>
      <c r="O345" s="1" t="n">
        <v>0</v>
      </c>
      <c r="P345" s="6" t="s">
        <v>43</v>
      </c>
      <c r="Q345" s="6" t="s">
        <v>43</v>
      </c>
      <c r="R345" s="1" t="n">
        <v>1005.6</v>
      </c>
      <c r="S345" s="1" t="n">
        <v>11</v>
      </c>
      <c r="T345" s="1" t="n">
        <v>36.9</v>
      </c>
      <c r="U345" s="1" t="n">
        <v>53.9</v>
      </c>
      <c r="V345" s="1" t="n">
        <v>416</v>
      </c>
      <c r="W345" s="1" t="n">
        <v>37.6</v>
      </c>
      <c r="X345" s="1" t="n">
        <v>16.7</v>
      </c>
      <c r="Y345" s="1" t="n">
        <v>44</v>
      </c>
      <c r="Z345" s="1" t="n">
        <v>34</v>
      </c>
      <c r="AA345" s="1" t="n">
        <v>135</v>
      </c>
      <c r="AB345" s="7" t="s">
        <v>81</v>
      </c>
      <c r="AC345" s="7" t="s">
        <v>82</v>
      </c>
      <c r="AD345" s="7" t="s">
        <v>83</v>
      </c>
      <c r="AE345" s="7" t="s">
        <v>84</v>
      </c>
      <c r="AF345" s="4" t="n">
        <f aca="false">IF(T345="","",IF(T345&lt;=30,(50/30)*T345,IF(T345&lt;=60,50+((100-50)/(60-30))*(T345-30),IF(T345&lt;=90,100+((200-100)/(90-60))*(T345-60),IF(T345&lt;=120,200+((300-200)/(120-90))*(T345-90),IF(T345&lt;=250,300+((400-300)/(250-120))*(T345-120),IF(T345&lt;=380,400+((500-400)/(380-250))*(T345-250),500)))))))</f>
        <v>61.5</v>
      </c>
      <c r="AG345" s="4" t="n">
        <f aca="false">IF(U345="","",IF(U345&lt;=50,(50/50)*U345,IF(U345&lt;=100,50+((100-50)/(100-50))*(U345-50),IF(U345&lt;=250,100+((200-100)/(250-100))*(U345-100),IF(U345&lt;=350,200+((300-200)/(350-250))*(U345-250),IF(U345&lt;=430,300+((400-300)/(430-350))*(U345-350),IF(U345&lt;=600,400+((500-400)/(600-430))*(U345-430),500)))))))</f>
        <v>53.9</v>
      </c>
      <c r="AH345" s="4" t="n">
        <f aca="false">IF(V345="","",IF((V345/1000)&lt;=1,(50/1)*(V345/1000),IF((V345/1000)&lt;=2,50+((100-50)/(2-1))*(V345/1000-1),IF((V345/1000)&lt;=10,100+((200-100)/(10-2))*(V345/1000-2),IF((V345/1000)&lt;=17,200+((300-200)/(17-10))*(V345/1000-10),IF((V345/1000)&lt;=34,300+((400-300)/(34-17))*(V345/1000-17),IF((V345/1000)&lt;=57,400+((500-400)/(57-34))*(V345/1000-34),500)))))))</f>
        <v>20.8</v>
      </c>
      <c r="AI345" s="4" t="n">
        <f aca="false">IF(W345="","",IF(W345&lt;=40,(50/40)*W345,IF(W345&lt;=80,50+((100-50)/(80-40))*(W345-40),IF(W345&lt;=180,100+((200-100)/(180-80))*(W345-80),IF(W345&lt;=280,200+((300-200)/(280-180))*(W345-180),IF(W345&lt;=400,300+((400-300)/(400-280))*(W345-280),IF(W345&lt;=800,400+((500-400)/(800-400))*(W345-400),500)))))))</f>
        <v>47</v>
      </c>
      <c r="AJ345" s="4" t="n">
        <f aca="false">IF(X345="","",IF(X345&lt;=40,(50/40)*X345,IF(X345&lt;=80,50+((100-50)/(80-40))*(X345-40),IF(X345&lt;=380,100+((200-100)/(380-80))*(X345-80),IF(X345&lt;=800,200+((300-200)/(800-380))*(X345-380),IF(X345&lt;=1600,300+((400-300)/(1600-800))*(X345-800),IF(X345&lt;=2100,400+((500-400)/(2100-1600))*(X345-1600),500)))))))</f>
        <v>20.875</v>
      </c>
      <c r="AK345" s="4" t="n">
        <f aca="false">IF(Y345="","",IF(Y345&lt;=50,(50/50)*Y345,IF(Y345&lt;=100,50+((100-50)/(100-50))*(Y345-50),IF(Y345&lt;=168,100+((200-100)/(168-100))*(Y345-100),IF(Y345&lt;=208,200+((300-200)/(208-168))*(Y345-168),IF(Y345&lt;=748,300+((400-300)/(748-208))*(Y345-208),IF(Y345&lt;=1000,400+((500-400)/(1000-748))*(Y345-748),500)))))))</f>
        <v>44</v>
      </c>
      <c r="AL345" s="4" t="n">
        <f aca="false">ROUND(MAX(AF345,AG345,AH345,AI345,AJ345,AK345),0)</f>
        <v>62</v>
      </c>
      <c r="AM345" s="4" t="str">
        <f aca="false">IF(AL345="","",IF(AL345&lt;=50,"Good",IF(AL345&lt;=100,"Satisfactory",IF(AL345&lt;=200,"Moderate",IF(AL345&lt;=300,"Poor",IF(AL345&lt;=400,"Very Poor","Severe"))))))</f>
        <v>Satisfactory</v>
      </c>
    </row>
    <row r="346" customFormat="false" ht="15.75" hidden="false" customHeight="false" outlineLevel="0" collapsed="false">
      <c r="A346" s="1" t="s">
        <v>39</v>
      </c>
      <c r="B346" s="1" t="s">
        <v>40</v>
      </c>
      <c r="C346" s="1" t="n">
        <v>28.4595</v>
      </c>
      <c r="D346" s="1" t="n">
        <v>77.0266</v>
      </c>
      <c r="E346" s="5" t="n">
        <v>45915</v>
      </c>
      <c r="F346" s="6" t="s">
        <v>58</v>
      </c>
      <c r="G346" s="1" t="n">
        <v>9</v>
      </c>
      <c r="H346" s="7" t="s">
        <v>42</v>
      </c>
      <c r="I346" s="6" t="s">
        <v>43</v>
      </c>
      <c r="J346" s="7" t="s">
        <v>44</v>
      </c>
      <c r="K346" s="7" t="s">
        <v>56</v>
      </c>
      <c r="L346" s="1" t="n">
        <v>67</v>
      </c>
      <c r="M346" s="1" t="n">
        <v>22.4</v>
      </c>
      <c r="N346" s="1" t="n">
        <v>16.2</v>
      </c>
      <c r="O346" s="1" t="n">
        <v>0</v>
      </c>
      <c r="P346" s="6" t="s">
        <v>43</v>
      </c>
      <c r="Q346" s="6" t="s">
        <v>43</v>
      </c>
      <c r="R346" s="1" t="n">
        <v>1005.9</v>
      </c>
      <c r="S346" s="1" t="n">
        <v>0</v>
      </c>
      <c r="T346" s="1" t="n">
        <v>30.7</v>
      </c>
      <c r="U346" s="1" t="n">
        <v>47</v>
      </c>
      <c r="V346" s="1" t="n">
        <v>430</v>
      </c>
      <c r="W346" s="1" t="n">
        <v>27</v>
      </c>
      <c r="X346" s="1" t="n">
        <v>16</v>
      </c>
      <c r="Y346" s="1" t="n">
        <v>69</v>
      </c>
      <c r="Z346" s="1" t="n">
        <v>31</v>
      </c>
      <c r="AA346" s="1" t="n">
        <v>132</v>
      </c>
      <c r="AB346" s="7" t="s">
        <v>81</v>
      </c>
      <c r="AC346" s="7" t="s">
        <v>82</v>
      </c>
      <c r="AD346" s="7" t="s">
        <v>83</v>
      </c>
      <c r="AE346" s="7" t="s">
        <v>84</v>
      </c>
      <c r="AF346" s="4" t="n">
        <f aca="false">IF(T346="","",IF(T346&lt;=30,(50/30)*T346,IF(T346&lt;=60,50+((100-50)/(60-30))*(T346-30),IF(T346&lt;=90,100+((200-100)/(90-60))*(T346-60),IF(T346&lt;=120,200+((300-200)/(120-90))*(T346-90),IF(T346&lt;=250,300+((400-300)/(250-120))*(T346-120),IF(T346&lt;=380,400+((500-400)/(380-250))*(T346-250),500)))))))</f>
        <v>51.1666666666667</v>
      </c>
      <c r="AG346" s="4" t="n">
        <f aca="false">IF(U346="","",IF(U346&lt;=50,(50/50)*U346,IF(U346&lt;=100,50+((100-50)/(100-50))*(U346-50),IF(U346&lt;=250,100+((200-100)/(250-100))*(U346-100),IF(U346&lt;=350,200+((300-200)/(350-250))*(U346-250),IF(U346&lt;=430,300+((400-300)/(430-350))*(U346-350),IF(U346&lt;=600,400+((500-400)/(600-430))*(U346-430),500)))))))</f>
        <v>47</v>
      </c>
      <c r="AH346" s="4" t="n">
        <f aca="false">IF(V346="","",IF((V346/1000)&lt;=1,(50/1)*(V346/1000),IF((V346/1000)&lt;=2,50+((100-50)/(2-1))*(V346/1000-1),IF((V346/1000)&lt;=10,100+((200-100)/(10-2))*(V346/1000-2),IF((V346/1000)&lt;=17,200+((300-200)/(17-10))*(V346/1000-10),IF((V346/1000)&lt;=34,300+((400-300)/(34-17))*(V346/1000-17),IF((V346/1000)&lt;=57,400+((500-400)/(57-34))*(V346/1000-34),500)))))))</f>
        <v>21.5</v>
      </c>
      <c r="AI346" s="4" t="n">
        <f aca="false">IF(W346="","",IF(W346&lt;=40,(50/40)*W346,IF(W346&lt;=80,50+((100-50)/(80-40))*(W346-40),IF(W346&lt;=180,100+((200-100)/(180-80))*(W346-80),IF(W346&lt;=280,200+((300-200)/(280-180))*(W346-180),IF(W346&lt;=400,300+((400-300)/(400-280))*(W346-280),IF(W346&lt;=800,400+((500-400)/(800-400))*(W346-400),500)))))))</f>
        <v>33.75</v>
      </c>
      <c r="AJ346" s="4" t="n">
        <f aca="false">IF(X346="","",IF(X346&lt;=40,(50/40)*X346,IF(X346&lt;=80,50+((100-50)/(80-40))*(X346-40),IF(X346&lt;=380,100+((200-100)/(380-80))*(X346-80),IF(X346&lt;=800,200+((300-200)/(800-380))*(X346-380),IF(X346&lt;=1600,300+((400-300)/(1600-800))*(X346-800),IF(X346&lt;=2100,400+((500-400)/(2100-1600))*(X346-1600),500)))))))</f>
        <v>20</v>
      </c>
      <c r="AK346" s="4" t="n">
        <f aca="false">IF(Y346="","",IF(Y346&lt;=50,(50/50)*Y346,IF(Y346&lt;=100,50+((100-50)/(100-50))*(Y346-50),IF(Y346&lt;=168,100+((200-100)/(168-100))*(Y346-100),IF(Y346&lt;=208,200+((300-200)/(208-168))*(Y346-168),IF(Y346&lt;=748,300+((400-300)/(748-208))*(Y346-208),IF(Y346&lt;=1000,400+((500-400)/(1000-748))*(Y346-748),500)))))))</f>
        <v>69</v>
      </c>
      <c r="AL346" s="4" t="n">
        <f aca="false">ROUND(MAX(AF346,AG346,AH346,AI346,AJ346,AK346),0)</f>
        <v>69</v>
      </c>
      <c r="AM346" s="4" t="str">
        <f aca="false">IF(AL346="","",IF(AL346&lt;=50,"Good",IF(AL346&lt;=100,"Satisfactory",IF(AL346&lt;=200,"Moderate",IF(AL346&lt;=300,"Poor",IF(AL346&lt;=400,"Very Poor","Severe"))))))</f>
        <v>Satisfactory</v>
      </c>
    </row>
    <row r="347" customFormat="false" ht="15.75" hidden="false" customHeight="false" outlineLevel="0" collapsed="false">
      <c r="A347" s="1" t="s">
        <v>39</v>
      </c>
      <c r="B347" s="1" t="s">
        <v>40</v>
      </c>
      <c r="C347" s="1" t="n">
        <v>28.4595</v>
      </c>
      <c r="D347" s="1" t="n">
        <v>77.0266</v>
      </c>
      <c r="E347" s="5" t="n">
        <v>45915</v>
      </c>
      <c r="F347" s="6" t="s">
        <v>59</v>
      </c>
      <c r="G347" s="1" t="n">
        <v>9</v>
      </c>
      <c r="H347" s="7" t="s">
        <v>42</v>
      </c>
      <c r="I347" s="6" t="s">
        <v>43</v>
      </c>
      <c r="J347" s="7" t="s">
        <v>44</v>
      </c>
      <c r="K347" s="7" t="s">
        <v>60</v>
      </c>
      <c r="L347" s="1" t="n">
        <v>62</v>
      </c>
      <c r="M347" s="1" t="n">
        <v>22.7</v>
      </c>
      <c r="N347" s="1" t="n">
        <v>22</v>
      </c>
      <c r="O347" s="1" t="n">
        <v>0</v>
      </c>
      <c r="P347" s="6" t="s">
        <v>43</v>
      </c>
      <c r="Q347" s="6" t="s">
        <v>43</v>
      </c>
      <c r="R347" s="1" t="n">
        <v>1006.2</v>
      </c>
      <c r="S347" s="1" t="n">
        <v>0</v>
      </c>
      <c r="T347" s="1" t="n">
        <v>25</v>
      </c>
      <c r="U347" s="1" t="n">
        <v>37.6</v>
      </c>
      <c r="V347" s="1" t="n">
        <v>368</v>
      </c>
      <c r="W347" s="1" t="n">
        <v>18.5</v>
      </c>
      <c r="X347" s="1" t="n">
        <v>15.5</v>
      </c>
      <c r="Y347" s="1" t="n">
        <v>98</v>
      </c>
      <c r="Z347" s="1" t="n">
        <v>29</v>
      </c>
      <c r="AA347" s="1" t="n">
        <v>130</v>
      </c>
      <c r="AB347" s="7" t="s">
        <v>81</v>
      </c>
      <c r="AC347" s="7" t="s">
        <v>82</v>
      </c>
      <c r="AD347" s="7" t="s">
        <v>83</v>
      </c>
      <c r="AE347" s="7" t="s">
        <v>84</v>
      </c>
      <c r="AF347" s="4" t="n">
        <f aca="false">IF(T347="","",IF(T347&lt;=30,(50/30)*T347,IF(T347&lt;=60,50+((100-50)/(60-30))*(T347-30),IF(T347&lt;=90,100+((200-100)/(90-60))*(T347-60),IF(T347&lt;=120,200+((300-200)/(120-90))*(T347-90),IF(T347&lt;=250,300+((400-300)/(250-120))*(T347-120),IF(T347&lt;=380,400+((500-400)/(380-250))*(T347-250),500)))))))</f>
        <v>41.6666666666667</v>
      </c>
      <c r="AG347" s="4" t="n">
        <f aca="false">IF(U347="","",IF(U347&lt;=50,(50/50)*U347,IF(U347&lt;=100,50+((100-50)/(100-50))*(U347-50),IF(U347&lt;=250,100+((200-100)/(250-100))*(U347-100),IF(U347&lt;=350,200+((300-200)/(350-250))*(U347-250),IF(U347&lt;=430,300+((400-300)/(430-350))*(U347-350),IF(U347&lt;=600,400+((500-400)/(600-430))*(U347-430),500)))))))</f>
        <v>37.6</v>
      </c>
      <c r="AH347" s="4" t="n">
        <f aca="false">IF(V347="","",IF((V347/1000)&lt;=1,(50/1)*(V347/1000),IF((V347/1000)&lt;=2,50+((100-50)/(2-1))*(V347/1000-1),IF((V347/1000)&lt;=10,100+((200-100)/(10-2))*(V347/1000-2),IF((V347/1000)&lt;=17,200+((300-200)/(17-10))*(V347/1000-10),IF((V347/1000)&lt;=34,300+((400-300)/(34-17))*(V347/1000-17),IF((V347/1000)&lt;=57,400+((500-400)/(57-34))*(V347/1000-34),500)))))))</f>
        <v>18.4</v>
      </c>
      <c r="AI347" s="4" t="n">
        <f aca="false">IF(W347="","",IF(W347&lt;=40,(50/40)*W347,IF(W347&lt;=80,50+((100-50)/(80-40))*(W347-40),IF(W347&lt;=180,100+((200-100)/(180-80))*(W347-80),IF(W347&lt;=280,200+((300-200)/(280-180))*(W347-180),IF(W347&lt;=400,300+((400-300)/(400-280))*(W347-280),IF(W347&lt;=800,400+((500-400)/(800-400))*(W347-400),500)))))))</f>
        <v>23.125</v>
      </c>
      <c r="AJ347" s="4" t="n">
        <f aca="false">IF(X347="","",IF(X347&lt;=40,(50/40)*X347,IF(X347&lt;=80,50+((100-50)/(80-40))*(X347-40),IF(X347&lt;=380,100+((200-100)/(380-80))*(X347-80),IF(X347&lt;=800,200+((300-200)/(800-380))*(X347-380),IF(X347&lt;=1600,300+((400-300)/(1600-800))*(X347-800),IF(X347&lt;=2100,400+((500-400)/(2100-1600))*(X347-1600),500)))))))</f>
        <v>19.375</v>
      </c>
      <c r="AK347" s="4" t="n">
        <f aca="false">IF(Y347="","",IF(Y347&lt;=50,(50/50)*Y347,IF(Y347&lt;=100,50+((100-50)/(100-50))*(Y347-50),IF(Y347&lt;=168,100+((200-100)/(168-100))*(Y347-100),IF(Y347&lt;=208,200+((300-200)/(208-168))*(Y347-168),IF(Y347&lt;=748,300+((400-300)/(748-208))*(Y347-208),IF(Y347&lt;=1000,400+((500-400)/(1000-748))*(Y347-748),500)))))))</f>
        <v>98</v>
      </c>
      <c r="AL347" s="4" t="n">
        <f aca="false">ROUND(MAX(AF347,AG347,AH347,AI347,AJ347,AK347),0)</f>
        <v>98</v>
      </c>
      <c r="AM347" s="4" t="str">
        <f aca="false">IF(AL347="","",IF(AL347&lt;=50,"Good",IF(AL347&lt;=100,"Satisfactory",IF(AL347&lt;=200,"Moderate",IF(AL347&lt;=300,"Poor",IF(AL347&lt;=400,"Very Poor","Severe"))))))</f>
        <v>Satisfactory</v>
      </c>
    </row>
    <row r="348" customFormat="false" ht="15.75" hidden="false" customHeight="false" outlineLevel="0" collapsed="false">
      <c r="A348" s="1" t="s">
        <v>39</v>
      </c>
      <c r="B348" s="1" t="s">
        <v>40</v>
      </c>
      <c r="C348" s="1" t="n">
        <v>28.4595</v>
      </c>
      <c r="D348" s="1" t="n">
        <v>77.0266</v>
      </c>
      <c r="E348" s="5" t="n">
        <v>45915</v>
      </c>
      <c r="F348" s="6" t="s">
        <v>61</v>
      </c>
      <c r="G348" s="1" t="n">
        <v>9</v>
      </c>
      <c r="H348" s="7" t="s">
        <v>42</v>
      </c>
      <c r="I348" s="6" t="s">
        <v>43</v>
      </c>
      <c r="J348" s="7" t="s">
        <v>44</v>
      </c>
      <c r="K348" s="7" t="s">
        <v>60</v>
      </c>
      <c r="L348" s="1" t="n">
        <v>57</v>
      </c>
      <c r="M348" s="1" t="n">
        <v>22.5</v>
      </c>
      <c r="N348" s="1" t="n">
        <v>26.3</v>
      </c>
      <c r="O348" s="1" t="n">
        <v>0</v>
      </c>
      <c r="P348" s="6" t="s">
        <v>43</v>
      </c>
      <c r="Q348" s="6" t="s">
        <v>43</v>
      </c>
      <c r="R348" s="1" t="n">
        <v>1006.1</v>
      </c>
      <c r="S348" s="1" t="n">
        <v>5</v>
      </c>
      <c r="T348" s="1" t="n">
        <v>21.1</v>
      </c>
      <c r="U348" s="1" t="n">
        <v>32.1</v>
      </c>
      <c r="V348" s="1" t="n">
        <v>269</v>
      </c>
      <c r="W348" s="1" t="n">
        <v>11</v>
      </c>
      <c r="X348" s="1" t="n">
        <v>15.1</v>
      </c>
      <c r="Y348" s="1" t="n">
        <v>129</v>
      </c>
      <c r="Z348" s="1" t="n">
        <v>28</v>
      </c>
      <c r="AA348" s="1" t="n">
        <v>129</v>
      </c>
      <c r="AB348" s="7" t="s">
        <v>81</v>
      </c>
      <c r="AC348" s="7" t="s">
        <v>82</v>
      </c>
      <c r="AD348" s="7" t="s">
        <v>83</v>
      </c>
      <c r="AE348" s="7" t="s">
        <v>84</v>
      </c>
      <c r="AF348" s="4" t="n">
        <f aca="false">IF(T348="","",IF(T348&lt;=30,(50/30)*T348,IF(T348&lt;=60,50+((100-50)/(60-30))*(T348-30),IF(T348&lt;=90,100+((200-100)/(90-60))*(T348-60),IF(T348&lt;=120,200+((300-200)/(120-90))*(T348-90),IF(T348&lt;=250,300+((400-300)/(250-120))*(T348-120),IF(T348&lt;=380,400+((500-400)/(380-250))*(T348-250),500)))))))</f>
        <v>35.1666666666667</v>
      </c>
      <c r="AG348" s="4" t="n">
        <f aca="false">IF(U348="","",IF(U348&lt;=50,(50/50)*U348,IF(U348&lt;=100,50+((100-50)/(100-50))*(U348-50),IF(U348&lt;=250,100+((200-100)/(250-100))*(U348-100),IF(U348&lt;=350,200+((300-200)/(350-250))*(U348-250),IF(U348&lt;=430,300+((400-300)/(430-350))*(U348-350),IF(U348&lt;=600,400+((500-400)/(600-430))*(U348-430),500)))))))</f>
        <v>32.1</v>
      </c>
      <c r="AH348" s="4" t="n">
        <f aca="false">IF(V348="","",IF((V348/1000)&lt;=1,(50/1)*(V348/1000),IF((V348/1000)&lt;=2,50+((100-50)/(2-1))*(V348/1000-1),IF((V348/1000)&lt;=10,100+((200-100)/(10-2))*(V348/1000-2),IF((V348/1000)&lt;=17,200+((300-200)/(17-10))*(V348/1000-10),IF((V348/1000)&lt;=34,300+((400-300)/(34-17))*(V348/1000-17),IF((V348/1000)&lt;=57,400+((500-400)/(57-34))*(V348/1000-34),500)))))))</f>
        <v>13.45</v>
      </c>
      <c r="AI348" s="4" t="n">
        <f aca="false">IF(W348="","",IF(W348&lt;=40,(50/40)*W348,IF(W348&lt;=80,50+((100-50)/(80-40))*(W348-40),IF(W348&lt;=180,100+((200-100)/(180-80))*(W348-80),IF(W348&lt;=280,200+((300-200)/(280-180))*(W348-180),IF(W348&lt;=400,300+((400-300)/(400-280))*(W348-280),IF(W348&lt;=800,400+((500-400)/(800-400))*(W348-400),500)))))))</f>
        <v>13.75</v>
      </c>
      <c r="AJ348" s="4" t="n">
        <f aca="false">IF(X348="","",IF(X348&lt;=40,(50/40)*X348,IF(X348&lt;=80,50+((100-50)/(80-40))*(X348-40),IF(X348&lt;=380,100+((200-100)/(380-80))*(X348-80),IF(X348&lt;=800,200+((300-200)/(800-380))*(X348-380),IF(X348&lt;=1600,300+((400-300)/(1600-800))*(X348-800),IF(X348&lt;=2100,400+((500-400)/(2100-1600))*(X348-1600),500)))))))</f>
        <v>18.875</v>
      </c>
      <c r="AK348" s="4" t="n">
        <f aca="false">IF(Y348="","",IF(Y348&lt;=50,(50/50)*Y348,IF(Y348&lt;=100,50+((100-50)/(100-50))*(Y348-50),IF(Y348&lt;=168,100+((200-100)/(168-100))*(Y348-100),IF(Y348&lt;=208,200+((300-200)/(208-168))*(Y348-168),IF(Y348&lt;=748,300+((400-300)/(748-208))*(Y348-208),IF(Y348&lt;=1000,400+((500-400)/(1000-748))*(Y348-748),500)))))))</f>
        <v>142.647058823529</v>
      </c>
      <c r="AL348" s="4" t="n">
        <f aca="false">ROUND(MAX(AF348,AG348,AH348,AI348,AJ348,AK348),0)</f>
        <v>143</v>
      </c>
      <c r="AM348" s="4" t="str">
        <f aca="false">IF(AL348="","",IF(AL348&lt;=50,"Good",IF(AL348&lt;=100,"Satisfactory",IF(AL348&lt;=200,"Moderate",IF(AL348&lt;=300,"Poor",IF(AL348&lt;=400,"Very Poor","Severe"))))))</f>
        <v>Moderate</v>
      </c>
    </row>
    <row r="349" customFormat="false" ht="15.75" hidden="false" customHeight="false" outlineLevel="0" collapsed="false">
      <c r="A349" s="1" t="s">
        <v>39</v>
      </c>
      <c r="B349" s="1" t="s">
        <v>40</v>
      </c>
      <c r="C349" s="1" t="n">
        <v>28.4595</v>
      </c>
      <c r="D349" s="1" t="n">
        <v>77.0266</v>
      </c>
      <c r="E349" s="5" t="n">
        <v>45915</v>
      </c>
      <c r="F349" s="6" t="s">
        <v>62</v>
      </c>
      <c r="G349" s="1" t="n">
        <v>9</v>
      </c>
      <c r="H349" s="7" t="s">
        <v>42</v>
      </c>
      <c r="I349" s="6" t="s">
        <v>43</v>
      </c>
      <c r="J349" s="7" t="s">
        <v>44</v>
      </c>
      <c r="K349" s="7" t="s">
        <v>60</v>
      </c>
      <c r="L349" s="1" t="n">
        <v>49</v>
      </c>
      <c r="M349" s="1" t="n">
        <v>21.4</v>
      </c>
      <c r="N349" s="1" t="n">
        <v>28.8</v>
      </c>
      <c r="O349" s="1" t="n">
        <v>0</v>
      </c>
      <c r="P349" s="6" t="s">
        <v>43</v>
      </c>
      <c r="Q349" s="6" t="s">
        <v>43</v>
      </c>
      <c r="R349" s="1" t="n">
        <v>1005.6</v>
      </c>
      <c r="S349" s="1" t="n">
        <v>9</v>
      </c>
      <c r="T349" s="1" t="n">
        <v>19.9</v>
      </c>
      <c r="U349" s="1" t="n">
        <v>35.2</v>
      </c>
      <c r="V349" s="1" t="n">
        <v>194</v>
      </c>
      <c r="W349" s="1" t="n">
        <v>5.7</v>
      </c>
      <c r="X349" s="1" t="n">
        <v>14.2</v>
      </c>
      <c r="Y349" s="1" t="n">
        <v>149</v>
      </c>
      <c r="Z349" s="1" t="n">
        <v>30</v>
      </c>
      <c r="AA349" s="1" t="n">
        <v>128</v>
      </c>
      <c r="AB349" s="7" t="s">
        <v>81</v>
      </c>
      <c r="AC349" s="7" t="s">
        <v>82</v>
      </c>
      <c r="AD349" s="7" t="s">
        <v>83</v>
      </c>
      <c r="AE349" s="7" t="s">
        <v>84</v>
      </c>
      <c r="AF349" s="4" t="n">
        <f aca="false">IF(T349="","",IF(T349&lt;=30,(50/30)*T349,IF(T349&lt;=60,50+((100-50)/(60-30))*(T349-30),IF(T349&lt;=90,100+((200-100)/(90-60))*(T349-60),IF(T349&lt;=120,200+((300-200)/(120-90))*(T349-90),IF(T349&lt;=250,300+((400-300)/(250-120))*(T349-120),IF(T349&lt;=380,400+((500-400)/(380-250))*(T349-250),500)))))))</f>
        <v>33.1666666666667</v>
      </c>
      <c r="AG349" s="4" t="n">
        <f aca="false">IF(U349="","",IF(U349&lt;=50,(50/50)*U349,IF(U349&lt;=100,50+((100-50)/(100-50))*(U349-50),IF(U349&lt;=250,100+((200-100)/(250-100))*(U349-100),IF(U349&lt;=350,200+((300-200)/(350-250))*(U349-250),IF(U349&lt;=430,300+((400-300)/(430-350))*(U349-350),IF(U349&lt;=600,400+((500-400)/(600-430))*(U349-430),500)))))))</f>
        <v>35.2</v>
      </c>
      <c r="AH349" s="4" t="n">
        <f aca="false">IF(V349="","",IF((V349/1000)&lt;=1,(50/1)*(V349/1000),IF((V349/1000)&lt;=2,50+((100-50)/(2-1))*(V349/1000-1),IF((V349/1000)&lt;=10,100+((200-100)/(10-2))*(V349/1000-2),IF((V349/1000)&lt;=17,200+((300-200)/(17-10))*(V349/1000-10),IF((V349/1000)&lt;=34,300+((400-300)/(34-17))*(V349/1000-17),IF((V349/1000)&lt;=57,400+((500-400)/(57-34))*(V349/1000-34),500)))))))</f>
        <v>9.7</v>
      </c>
      <c r="AI349" s="4" t="n">
        <f aca="false">IF(W349="","",IF(W349&lt;=40,(50/40)*W349,IF(W349&lt;=80,50+((100-50)/(80-40))*(W349-40),IF(W349&lt;=180,100+((200-100)/(180-80))*(W349-80),IF(W349&lt;=280,200+((300-200)/(280-180))*(W349-180),IF(W349&lt;=400,300+((400-300)/(400-280))*(W349-280),IF(W349&lt;=800,400+((500-400)/(800-400))*(W349-400),500)))))))</f>
        <v>7.125</v>
      </c>
      <c r="AJ349" s="4" t="n">
        <f aca="false">IF(X349="","",IF(X349&lt;=40,(50/40)*X349,IF(X349&lt;=80,50+((100-50)/(80-40))*(X349-40),IF(X349&lt;=380,100+((200-100)/(380-80))*(X349-80),IF(X349&lt;=800,200+((300-200)/(800-380))*(X349-380),IF(X349&lt;=1600,300+((400-300)/(1600-800))*(X349-800),IF(X349&lt;=2100,400+((500-400)/(2100-1600))*(X349-1600),500)))))))</f>
        <v>17.75</v>
      </c>
      <c r="AK349" s="4" t="n">
        <f aca="false">IF(Y349="","",IF(Y349&lt;=50,(50/50)*Y349,IF(Y349&lt;=100,50+((100-50)/(100-50))*(Y349-50),IF(Y349&lt;=168,100+((200-100)/(168-100))*(Y349-100),IF(Y349&lt;=208,200+((300-200)/(208-168))*(Y349-168),IF(Y349&lt;=748,300+((400-300)/(748-208))*(Y349-208),IF(Y349&lt;=1000,400+((500-400)/(1000-748))*(Y349-748),500)))))))</f>
        <v>172.058823529412</v>
      </c>
      <c r="AL349" s="4" t="n">
        <f aca="false">ROUND(MAX(AF349,AG349,AH349,AI349,AJ349,AK349),0)</f>
        <v>172</v>
      </c>
      <c r="AM349" s="4" t="str">
        <f aca="false">IF(AL349="","",IF(AL349&lt;=50,"Good",IF(AL349&lt;=100,"Satisfactory",IF(AL349&lt;=200,"Moderate",IF(AL349&lt;=300,"Poor",IF(AL349&lt;=400,"Very Poor","Severe"))))))</f>
        <v>Moderate</v>
      </c>
    </row>
    <row r="350" customFormat="false" ht="15.75" hidden="false" customHeight="false" outlineLevel="0" collapsed="false">
      <c r="A350" s="1" t="s">
        <v>39</v>
      </c>
      <c r="B350" s="1" t="s">
        <v>40</v>
      </c>
      <c r="C350" s="1" t="n">
        <v>28.4595</v>
      </c>
      <c r="D350" s="1" t="n">
        <v>77.0266</v>
      </c>
      <c r="E350" s="5" t="n">
        <v>45915</v>
      </c>
      <c r="F350" s="6" t="s">
        <v>63</v>
      </c>
      <c r="G350" s="1" t="n">
        <v>9</v>
      </c>
      <c r="H350" s="7" t="s">
        <v>42</v>
      </c>
      <c r="I350" s="6" t="s">
        <v>43</v>
      </c>
      <c r="J350" s="7" t="s">
        <v>44</v>
      </c>
      <c r="K350" s="7" t="s">
        <v>60</v>
      </c>
      <c r="L350" s="1" t="n">
        <v>46</v>
      </c>
      <c r="M350" s="1" t="n">
        <v>20.9</v>
      </c>
      <c r="N350" s="1" t="n">
        <v>28.8</v>
      </c>
      <c r="O350" s="1" t="n">
        <v>0</v>
      </c>
      <c r="P350" s="6" t="s">
        <v>43</v>
      </c>
      <c r="Q350" s="6" t="s">
        <v>43</v>
      </c>
      <c r="R350" s="1" t="n">
        <v>1004.7</v>
      </c>
      <c r="S350" s="1" t="n">
        <v>4</v>
      </c>
      <c r="T350" s="1" t="n">
        <v>20</v>
      </c>
      <c r="U350" s="1" t="n">
        <v>44.6</v>
      </c>
      <c r="V350" s="1" t="n">
        <v>167</v>
      </c>
      <c r="W350" s="1" t="n">
        <v>3.3</v>
      </c>
      <c r="X350" s="1" t="n">
        <v>12.5</v>
      </c>
      <c r="Y350" s="1" t="n">
        <v>152</v>
      </c>
      <c r="Z350" s="1" t="n">
        <v>38</v>
      </c>
      <c r="AA350" s="1" t="n">
        <v>128</v>
      </c>
      <c r="AB350" s="7" t="s">
        <v>81</v>
      </c>
      <c r="AC350" s="7" t="s">
        <v>82</v>
      </c>
      <c r="AD350" s="7" t="s">
        <v>83</v>
      </c>
      <c r="AE350" s="7" t="s">
        <v>84</v>
      </c>
      <c r="AF350" s="4" t="n">
        <f aca="false">IF(T350="","",IF(T350&lt;=30,(50/30)*T350,IF(T350&lt;=60,50+((100-50)/(60-30))*(T350-30),IF(T350&lt;=90,100+((200-100)/(90-60))*(T350-60),IF(T350&lt;=120,200+((300-200)/(120-90))*(T350-90),IF(T350&lt;=250,300+((400-300)/(250-120))*(T350-120),IF(T350&lt;=380,400+((500-400)/(380-250))*(T350-250),500)))))))</f>
        <v>33.3333333333333</v>
      </c>
      <c r="AG350" s="4" t="n">
        <f aca="false">IF(U350="","",IF(U350&lt;=50,(50/50)*U350,IF(U350&lt;=100,50+((100-50)/(100-50))*(U350-50),IF(U350&lt;=250,100+((200-100)/(250-100))*(U350-100),IF(U350&lt;=350,200+((300-200)/(350-250))*(U350-250),IF(U350&lt;=430,300+((400-300)/(430-350))*(U350-350),IF(U350&lt;=600,400+((500-400)/(600-430))*(U350-430),500)))))))</f>
        <v>44.6</v>
      </c>
      <c r="AH350" s="4" t="n">
        <f aca="false">IF(V350="","",IF((V350/1000)&lt;=1,(50/1)*(V350/1000),IF((V350/1000)&lt;=2,50+((100-50)/(2-1))*(V350/1000-1),IF((V350/1000)&lt;=10,100+((200-100)/(10-2))*(V350/1000-2),IF((V350/1000)&lt;=17,200+((300-200)/(17-10))*(V350/1000-10),IF((V350/1000)&lt;=34,300+((400-300)/(34-17))*(V350/1000-17),IF((V350/1000)&lt;=57,400+((500-400)/(57-34))*(V350/1000-34),500)))))))</f>
        <v>8.35</v>
      </c>
      <c r="AI350" s="4" t="n">
        <f aca="false">IF(W350="","",IF(W350&lt;=40,(50/40)*W350,IF(W350&lt;=80,50+((100-50)/(80-40))*(W350-40),IF(W350&lt;=180,100+((200-100)/(180-80))*(W350-80),IF(W350&lt;=280,200+((300-200)/(280-180))*(W350-180),IF(W350&lt;=400,300+((400-300)/(400-280))*(W350-280),IF(W350&lt;=800,400+((500-400)/(800-400))*(W350-400),500)))))))</f>
        <v>4.125</v>
      </c>
      <c r="AJ350" s="4" t="n">
        <f aca="false">IF(X350="","",IF(X350&lt;=40,(50/40)*X350,IF(X350&lt;=80,50+((100-50)/(80-40))*(X350-40),IF(X350&lt;=380,100+((200-100)/(380-80))*(X350-80),IF(X350&lt;=800,200+((300-200)/(800-380))*(X350-380),IF(X350&lt;=1600,300+((400-300)/(1600-800))*(X350-800),IF(X350&lt;=2100,400+((500-400)/(2100-1600))*(X350-1600),500)))))))</f>
        <v>15.625</v>
      </c>
      <c r="AK350" s="4" t="n">
        <f aca="false">IF(Y350="","",IF(Y350&lt;=50,(50/50)*Y350,IF(Y350&lt;=100,50+((100-50)/(100-50))*(Y350-50),IF(Y350&lt;=168,100+((200-100)/(168-100))*(Y350-100),IF(Y350&lt;=208,200+((300-200)/(208-168))*(Y350-168),IF(Y350&lt;=748,300+((400-300)/(748-208))*(Y350-208),IF(Y350&lt;=1000,400+((500-400)/(1000-748))*(Y350-748),500)))))))</f>
        <v>176.470588235294</v>
      </c>
      <c r="AL350" s="4" t="n">
        <f aca="false">ROUND(MAX(AF350,AG350,AH350,AI350,AJ350,AK350),0)</f>
        <v>176</v>
      </c>
      <c r="AM350" s="4" t="str">
        <f aca="false">IF(AL350="","",IF(AL350&lt;=50,"Good",IF(AL350&lt;=100,"Satisfactory",IF(AL350&lt;=200,"Moderate",IF(AL350&lt;=300,"Poor",IF(AL350&lt;=400,"Very Poor","Severe"))))))</f>
        <v>Moderate</v>
      </c>
    </row>
    <row r="351" customFormat="false" ht="15.75" hidden="false" customHeight="false" outlineLevel="0" collapsed="false">
      <c r="A351" s="1" t="s">
        <v>39</v>
      </c>
      <c r="B351" s="1" t="s">
        <v>40</v>
      </c>
      <c r="C351" s="1" t="n">
        <v>28.4595</v>
      </c>
      <c r="D351" s="1" t="n">
        <v>77.0266</v>
      </c>
      <c r="E351" s="5" t="n">
        <v>45915</v>
      </c>
      <c r="F351" s="6" t="s">
        <v>64</v>
      </c>
      <c r="G351" s="1" t="n">
        <v>9</v>
      </c>
      <c r="H351" s="7" t="s">
        <v>42</v>
      </c>
      <c r="I351" s="6" t="s">
        <v>43</v>
      </c>
      <c r="J351" s="7" t="s">
        <v>44</v>
      </c>
      <c r="K351" s="7" t="s">
        <v>65</v>
      </c>
      <c r="L351" s="1" t="n">
        <v>45</v>
      </c>
      <c r="M351" s="1" t="n">
        <v>20.8</v>
      </c>
      <c r="N351" s="1" t="n">
        <v>29.2</v>
      </c>
      <c r="O351" s="1" t="n">
        <v>0</v>
      </c>
      <c r="P351" s="6" t="s">
        <v>43</v>
      </c>
      <c r="Q351" s="6" t="s">
        <v>43</v>
      </c>
      <c r="R351" s="1" t="n">
        <v>1003.6</v>
      </c>
      <c r="S351" s="1" t="n">
        <v>4</v>
      </c>
      <c r="T351" s="1" t="n">
        <v>19.2</v>
      </c>
      <c r="U351" s="1" t="n">
        <v>47.5</v>
      </c>
      <c r="V351" s="1" t="n">
        <v>165</v>
      </c>
      <c r="W351" s="1" t="n">
        <v>3.2</v>
      </c>
      <c r="X351" s="1" t="n">
        <v>10.3</v>
      </c>
      <c r="Y351" s="1" t="n">
        <v>145</v>
      </c>
      <c r="Z351" s="1" t="n">
        <v>50</v>
      </c>
      <c r="AA351" s="1" t="n">
        <v>128</v>
      </c>
      <c r="AB351" s="7" t="s">
        <v>81</v>
      </c>
      <c r="AC351" s="7" t="s">
        <v>82</v>
      </c>
      <c r="AD351" s="7" t="s">
        <v>83</v>
      </c>
      <c r="AE351" s="7" t="s">
        <v>84</v>
      </c>
      <c r="AF351" s="4" t="n">
        <f aca="false">IF(T351="","",IF(T351&lt;=30,(50/30)*T351,IF(T351&lt;=60,50+((100-50)/(60-30))*(T351-30),IF(T351&lt;=90,100+((200-100)/(90-60))*(T351-60),IF(T351&lt;=120,200+((300-200)/(120-90))*(T351-90),IF(T351&lt;=250,300+((400-300)/(250-120))*(T351-120),IF(T351&lt;=380,400+((500-400)/(380-250))*(T351-250),500)))))))</f>
        <v>32</v>
      </c>
      <c r="AG351" s="4" t="n">
        <f aca="false">IF(U351="","",IF(U351&lt;=50,(50/50)*U351,IF(U351&lt;=100,50+((100-50)/(100-50))*(U351-50),IF(U351&lt;=250,100+((200-100)/(250-100))*(U351-100),IF(U351&lt;=350,200+((300-200)/(350-250))*(U351-250),IF(U351&lt;=430,300+((400-300)/(430-350))*(U351-350),IF(U351&lt;=600,400+((500-400)/(600-430))*(U351-430),500)))))))</f>
        <v>47.5</v>
      </c>
      <c r="AH351" s="4" t="n">
        <f aca="false">IF(V351="","",IF((V351/1000)&lt;=1,(50/1)*(V351/1000),IF((V351/1000)&lt;=2,50+((100-50)/(2-1))*(V351/1000-1),IF((V351/1000)&lt;=10,100+((200-100)/(10-2))*(V351/1000-2),IF((V351/1000)&lt;=17,200+((300-200)/(17-10))*(V351/1000-10),IF((V351/1000)&lt;=34,300+((400-300)/(34-17))*(V351/1000-17),IF((V351/1000)&lt;=57,400+((500-400)/(57-34))*(V351/1000-34),500)))))))</f>
        <v>8.25</v>
      </c>
      <c r="AI351" s="4" t="n">
        <f aca="false">IF(W351="","",IF(W351&lt;=40,(50/40)*W351,IF(W351&lt;=80,50+((100-50)/(80-40))*(W351-40),IF(W351&lt;=180,100+((200-100)/(180-80))*(W351-80),IF(W351&lt;=280,200+((300-200)/(280-180))*(W351-180),IF(W351&lt;=400,300+((400-300)/(400-280))*(W351-280),IF(W351&lt;=800,400+((500-400)/(800-400))*(W351-400),500)))))))</f>
        <v>4</v>
      </c>
      <c r="AJ351" s="4" t="n">
        <f aca="false">IF(X351="","",IF(X351&lt;=40,(50/40)*X351,IF(X351&lt;=80,50+((100-50)/(80-40))*(X351-40),IF(X351&lt;=380,100+((200-100)/(380-80))*(X351-80),IF(X351&lt;=800,200+((300-200)/(800-380))*(X351-380),IF(X351&lt;=1600,300+((400-300)/(1600-800))*(X351-800),IF(X351&lt;=2100,400+((500-400)/(2100-1600))*(X351-1600),500)))))))</f>
        <v>12.875</v>
      </c>
      <c r="AK351" s="4" t="n">
        <f aca="false">IF(Y351="","",IF(Y351&lt;=50,(50/50)*Y351,IF(Y351&lt;=100,50+((100-50)/(100-50))*(Y351-50),IF(Y351&lt;=168,100+((200-100)/(168-100))*(Y351-100),IF(Y351&lt;=208,200+((300-200)/(208-168))*(Y351-168),IF(Y351&lt;=748,300+((400-300)/(748-208))*(Y351-208),IF(Y351&lt;=1000,400+((500-400)/(1000-748))*(Y351-748),500)))))))</f>
        <v>166.176470588235</v>
      </c>
      <c r="AL351" s="4" t="n">
        <f aca="false">ROUND(MAX(AF351,AG351,AH351,AI351,AJ351,AK351),0)</f>
        <v>166</v>
      </c>
      <c r="AM351" s="4" t="str">
        <f aca="false">IF(AL351="","",IF(AL351&lt;=50,"Good",IF(AL351&lt;=100,"Satisfactory",IF(AL351&lt;=200,"Moderate",IF(AL351&lt;=300,"Poor",IF(AL351&lt;=400,"Very Poor","Severe"))))))</f>
        <v>Moderate</v>
      </c>
    </row>
    <row r="352" customFormat="false" ht="15.75" hidden="false" customHeight="false" outlineLevel="0" collapsed="false">
      <c r="A352" s="1" t="s">
        <v>39</v>
      </c>
      <c r="B352" s="1" t="s">
        <v>40</v>
      </c>
      <c r="C352" s="1" t="n">
        <v>28.4595</v>
      </c>
      <c r="D352" s="1" t="n">
        <v>77.0266</v>
      </c>
      <c r="E352" s="5" t="n">
        <v>45915</v>
      </c>
      <c r="F352" s="6" t="s">
        <v>66</v>
      </c>
      <c r="G352" s="1" t="n">
        <v>9</v>
      </c>
      <c r="H352" s="7" t="s">
        <v>42</v>
      </c>
      <c r="I352" s="6" t="s">
        <v>43</v>
      </c>
      <c r="J352" s="7" t="s">
        <v>44</v>
      </c>
      <c r="K352" s="7" t="s">
        <v>65</v>
      </c>
      <c r="L352" s="1" t="n">
        <v>45</v>
      </c>
      <c r="M352" s="1" t="n">
        <v>20.9</v>
      </c>
      <c r="N352" s="1" t="n">
        <v>29.9</v>
      </c>
      <c r="O352" s="1" t="n">
        <v>0</v>
      </c>
      <c r="P352" s="6" t="s">
        <v>43</v>
      </c>
      <c r="Q352" s="6" t="s">
        <v>43</v>
      </c>
      <c r="R352" s="1" t="n">
        <v>1002.3</v>
      </c>
      <c r="S352" s="1" t="n">
        <v>10</v>
      </c>
      <c r="T352" s="1" t="n">
        <v>18.5</v>
      </c>
      <c r="U352" s="1" t="n">
        <v>48.1</v>
      </c>
      <c r="V352" s="1" t="n">
        <v>181</v>
      </c>
      <c r="W352" s="1" t="n">
        <v>4.6</v>
      </c>
      <c r="X352" s="1" t="n">
        <v>8.9</v>
      </c>
      <c r="Y352" s="1" t="n">
        <v>136</v>
      </c>
      <c r="Z352" s="1" t="n">
        <v>58</v>
      </c>
      <c r="AA352" s="1" t="n">
        <v>127</v>
      </c>
      <c r="AB352" s="7" t="s">
        <v>81</v>
      </c>
      <c r="AC352" s="7" t="s">
        <v>82</v>
      </c>
      <c r="AD352" s="7" t="s">
        <v>83</v>
      </c>
      <c r="AE352" s="7" t="s">
        <v>84</v>
      </c>
      <c r="AF352" s="4" t="n">
        <f aca="false">IF(T352="","",IF(T352&lt;=30,(50/30)*T352,IF(T352&lt;=60,50+((100-50)/(60-30))*(T352-30),IF(T352&lt;=90,100+((200-100)/(90-60))*(T352-60),IF(T352&lt;=120,200+((300-200)/(120-90))*(T352-90),IF(T352&lt;=250,300+((400-300)/(250-120))*(T352-120),IF(T352&lt;=380,400+((500-400)/(380-250))*(T352-250),500)))))))</f>
        <v>30.8333333333333</v>
      </c>
      <c r="AG352" s="4" t="n">
        <f aca="false">IF(U352="","",IF(U352&lt;=50,(50/50)*U352,IF(U352&lt;=100,50+((100-50)/(100-50))*(U352-50),IF(U352&lt;=250,100+((200-100)/(250-100))*(U352-100),IF(U352&lt;=350,200+((300-200)/(350-250))*(U352-250),IF(U352&lt;=430,300+((400-300)/(430-350))*(U352-350),IF(U352&lt;=600,400+((500-400)/(600-430))*(U352-430),500)))))))</f>
        <v>48.1</v>
      </c>
      <c r="AH352" s="4" t="n">
        <f aca="false">IF(V352="","",IF((V352/1000)&lt;=1,(50/1)*(V352/1000),IF((V352/1000)&lt;=2,50+((100-50)/(2-1))*(V352/1000-1),IF((V352/1000)&lt;=10,100+((200-100)/(10-2))*(V352/1000-2),IF((V352/1000)&lt;=17,200+((300-200)/(17-10))*(V352/1000-10),IF((V352/1000)&lt;=34,300+((400-300)/(34-17))*(V352/1000-17),IF((V352/1000)&lt;=57,400+((500-400)/(57-34))*(V352/1000-34),500)))))))</f>
        <v>9.05</v>
      </c>
      <c r="AI352" s="4" t="n">
        <f aca="false">IF(W352="","",IF(W352&lt;=40,(50/40)*W352,IF(W352&lt;=80,50+((100-50)/(80-40))*(W352-40),IF(W352&lt;=180,100+((200-100)/(180-80))*(W352-80),IF(W352&lt;=280,200+((300-200)/(280-180))*(W352-180),IF(W352&lt;=400,300+((400-300)/(400-280))*(W352-280),IF(W352&lt;=800,400+((500-400)/(800-400))*(W352-400),500)))))))</f>
        <v>5.75</v>
      </c>
      <c r="AJ352" s="4" t="n">
        <f aca="false">IF(X352="","",IF(X352&lt;=40,(50/40)*X352,IF(X352&lt;=80,50+((100-50)/(80-40))*(X352-40),IF(X352&lt;=380,100+((200-100)/(380-80))*(X352-80),IF(X352&lt;=800,200+((300-200)/(800-380))*(X352-380),IF(X352&lt;=1600,300+((400-300)/(1600-800))*(X352-800),IF(X352&lt;=2100,400+((500-400)/(2100-1600))*(X352-1600),500)))))))</f>
        <v>11.125</v>
      </c>
      <c r="AK352" s="4" t="n">
        <f aca="false">IF(Y352="","",IF(Y352&lt;=50,(50/50)*Y352,IF(Y352&lt;=100,50+((100-50)/(100-50))*(Y352-50),IF(Y352&lt;=168,100+((200-100)/(168-100))*(Y352-100),IF(Y352&lt;=208,200+((300-200)/(208-168))*(Y352-168),IF(Y352&lt;=748,300+((400-300)/(748-208))*(Y352-208),IF(Y352&lt;=1000,400+((500-400)/(1000-748))*(Y352-748),500)))))))</f>
        <v>152.941176470588</v>
      </c>
      <c r="AL352" s="4" t="n">
        <f aca="false">ROUND(MAX(AF352,AG352,AH352,AI352,AJ352,AK352),0)</f>
        <v>153</v>
      </c>
      <c r="AM352" s="4" t="str">
        <f aca="false">IF(AL352="","",IF(AL352&lt;=50,"Good",IF(AL352&lt;=100,"Satisfactory",IF(AL352&lt;=200,"Moderate",IF(AL352&lt;=300,"Poor",IF(AL352&lt;=400,"Very Poor","Severe"))))))</f>
        <v>Moderate</v>
      </c>
    </row>
    <row r="353" customFormat="false" ht="15.75" hidden="false" customHeight="false" outlineLevel="0" collapsed="false">
      <c r="A353" s="1" t="s">
        <v>39</v>
      </c>
      <c r="B353" s="1" t="s">
        <v>40</v>
      </c>
      <c r="C353" s="1" t="n">
        <v>28.4595</v>
      </c>
      <c r="D353" s="1" t="n">
        <v>77.0266</v>
      </c>
      <c r="E353" s="5" t="n">
        <v>45915</v>
      </c>
      <c r="F353" s="6" t="s">
        <v>67</v>
      </c>
      <c r="G353" s="1" t="n">
        <v>9</v>
      </c>
      <c r="H353" s="7" t="s">
        <v>42</v>
      </c>
      <c r="I353" s="6" t="s">
        <v>43</v>
      </c>
      <c r="J353" s="7" t="s">
        <v>44</v>
      </c>
      <c r="K353" s="7" t="s">
        <v>65</v>
      </c>
      <c r="L353" s="1" t="n">
        <v>45</v>
      </c>
      <c r="M353" s="1" t="n">
        <v>20.7</v>
      </c>
      <c r="N353" s="1" t="n">
        <v>29.9</v>
      </c>
      <c r="O353" s="1" t="n">
        <v>0</v>
      </c>
      <c r="P353" s="6" t="s">
        <v>43</v>
      </c>
      <c r="Q353" s="6" t="s">
        <v>43</v>
      </c>
      <c r="R353" s="1" t="n">
        <v>1001.4</v>
      </c>
      <c r="S353" s="1" t="n">
        <v>34</v>
      </c>
      <c r="T353" s="1" t="n">
        <v>18</v>
      </c>
      <c r="U353" s="1" t="n">
        <v>47.6</v>
      </c>
      <c r="V353" s="1" t="n">
        <v>166</v>
      </c>
      <c r="W353" s="1" t="n">
        <v>5.2</v>
      </c>
      <c r="X353" s="1" t="n">
        <v>8.2</v>
      </c>
      <c r="Y353" s="1" t="n">
        <v>130</v>
      </c>
      <c r="Z353" s="1" t="n">
        <v>60</v>
      </c>
      <c r="AA353" s="1" t="n">
        <v>127</v>
      </c>
      <c r="AB353" s="7" t="s">
        <v>81</v>
      </c>
      <c r="AC353" s="7" t="s">
        <v>82</v>
      </c>
      <c r="AD353" s="7" t="s">
        <v>83</v>
      </c>
      <c r="AE353" s="7" t="s">
        <v>84</v>
      </c>
      <c r="AF353" s="4" t="n">
        <f aca="false">IF(T353="","",IF(T353&lt;=30,(50/30)*T353,IF(T353&lt;=60,50+((100-50)/(60-30))*(T353-30),IF(T353&lt;=90,100+((200-100)/(90-60))*(T353-60),IF(T353&lt;=120,200+((300-200)/(120-90))*(T353-90),IF(T353&lt;=250,300+((400-300)/(250-120))*(T353-120),IF(T353&lt;=380,400+((500-400)/(380-250))*(T353-250),500)))))))</f>
        <v>30</v>
      </c>
      <c r="AG353" s="4" t="n">
        <f aca="false">IF(U353="","",IF(U353&lt;=50,(50/50)*U353,IF(U353&lt;=100,50+((100-50)/(100-50))*(U353-50),IF(U353&lt;=250,100+((200-100)/(250-100))*(U353-100),IF(U353&lt;=350,200+((300-200)/(350-250))*(U353-250),IF(U353&lt;=430,300+((400-300)/(430-350))*(U353-350),IF(U353&lt;=600,400+((500-400)/(600-430))*(U353-430),500)))))))</f>
        <v>47.6</v>
      </c>
      <c r="AH353" s="4" t="n">
        <f aca="false">IF(V353="","",IF((V353/1000)&lt;=1,(50/1)*(V353/1000),IF((V353/1000)&lt;=2,50+((100-50)/(2-1))*(V353/1000-1),IF((V353/1000)&lt;=10,100+((200-100)/(10-2))*(V353/1000-2),IF((V353/1000)&lt;=17,200+((300-200)/(17-10))*(V353/1000-10),IF((V353/1000)&lt;=34,300+((400-300)/(34-17))*(V353/1000-17),IF((V353/1000)&lt;=57,400+((500-400)/(57-34))*(V353/1000-34),500)))))))</f>
        <v>8.3</v>
      </c>
      <c r="AI353" s="4" t="n">
        <f aca="false">IF(W353="","",IF(W353&lt;=40,(50/40)*W353,IF(W353&lt;=80,50+((100-50)/(80-40))*(W353-40),IF(W353&lt;=180,100+((200-100)/(180-80))*(W353-80),IF(W353&lt;=280,200+((300-200)/(280-180))*(W353-180),IF(W353&lt;=400,300+((400-300)/(400-280))*(W353-280),IF(W353&lt;=800,400+((500-400)/(800-400))*(W353-400),500)))))))</f>
        <v>6.5</v>
      </c>
      <c r="AJ353" s="4" t="n">
        <f aca="false">IF(X353="","",IF(X353&lt;=40,(50/40)*X353,IF(X353&lt;=80,50+((100-50)/(80-40))*(X353-40),IF(X353&lt;=380,100+((200-100)/(380-80))*(X353-80),IF(X353&lt;=800,200+((300-200)/(800-380))*(X353-380),IF(X353&lt;=1600,300+((400-300)/(1600-800))*(X353-800),IF(X353&lt;=2100,400+((500-400)/(2100-1600))*(X353-1600),500)))))))</f>
        <v>10.25</v>
      </c>
      <c r="AK353" s="4" t="n">
        <f aca="false">IF(Y353="","",IF(Y353&lt;=50,(50/50)*Y353,IF(Y353&lt;=100,50+((100-50)/(100-50))*(Y353-50),IF(Y353&lt;=168,100+((200-100)/(168-100))*(Y353-100),IF(Y353&lt;=208,200+((300-200)/(208-168))*(Y353-168),IF(Y353&lt;=748,300+((400-300)/(748-208))*(Y353-208),IF(Y353&lt;=1000,400+((500-400)/(1000-748))*(Y353-748),500)))))))</f>
        <v>144.117647058824</v>
      </c>
      <c r="AL353" s="4" t="n">
        <f aca="false">ROUND(MAX(AF353,AG353,AH353,AI353,AJ353,AK353),0)</f>
        <v>144</v>
      </c>
      <c r="AM353" s="4" t="str">
        <f aca="false">IF(AL353="","",IF(AL353&lt;=50,"Good",IF(AL353&lt;=100,"Satisfactory",IF(AL353&lt;=200,"Moderate",IF(AL353&lt;=300,"Poor",IF(AL353&lt;=400,"Very Poor","Severe"))))))</f>
        <v>Moderate</v>
      </c>
    </row>
    <row r="354" customFormat="false" ht="15.75" hidden="false" customHeight="false" outlineLevel="0" collapsed="false">
      <c r="A354" s="1" t="s">
        <v>39</v>
      </c>
      <c r="B354" s="1" t="s">
        <v>40</v>
      </c>
      <c r="C354" s="1" t="n">
        <v>28.4595</v>
      </c>
      <c r="D354" s="1" t="n">
        <v>77.0266</v>
      </c>
      <c r="E354" s="5" t="n">
        <v>45915</v>
      </c>
      <c r="F354" s="6" t="s">
        <v>68</v>
      </c>
      <c r="G354" s="1" t="n">
        <v>9</v>
      </c>
      <c r="H354" s="7" t="s">
        <v>42</v>
      </c>
      <c r="I354" s="6" t="s">
        <v>43</v>
      </c>
      <c r="J354" s="7" t="s">
        <v>44</v>
      </c>
      <c r="K354" s="7" t="s">
        <v>65</v>
      </c>
      <c r="L354" s="1" t="n">
        <v>46</v>
      </c>
      <c r="M354" s="1" t="n">
        <v>20.6</v>
      </c>
      <c r="N354" s="1" t="n">
        <v>29.5</v>
      </c>
      <c r="O354" s="1" t="n">
        <v>0</v>
      </c>
      <c r="P354" s="6" t="s">
        <v>43</v>
      </c>
      <c r="Q354" s="6" t="s">
        <v>43</v>
      </c>
      <c r="R354" s="1" t="n">
        <v>1001.1</v>
      </c>
      <c r="S354" s="1" t="n">
        <v>19</v>
      </c>
      <c r="T354" s="1" t="n">
        <v>18.6</v>
      </c>
      <c r="U354" s="1" t="n">
        <v>48.1</v>
      </c>
      <c r="V354" s="1" t="n">
        <v>170</v>
      </c>
      <c r="W354" s="1" t="n">
        <v>7.4</v>
      </c>
      <c r="X354" s="1" t="n">
        <v>8.2</v>
      </c>
      <c r="Y354" s="1" t="n">
        <v>122</v>
      </c>
      <c r="Z354" s="1" t="n">
        <v>58</v>
      </c>
      <c r="AA354" s="1" t="n">
        <v>126</v>
      </c>
      <c r="AB354" s="7" t="s">
        <v>81</v>
      </c>
      <c r="AC354" s="7" t="s">
        <v>82</v>
      </c>
      <c r="AD354" s="7" t="s">
        <v>83</v>
      </c>
      <c r="AE354" s="7" t="s">
        <v>84</v>
      </c>
      <c r="AF354" s="4" t="n">
        <f aca="false">IF(T354="","",IF(T354&lt;=30,(50/30)*T354,IF(T354&lt;=60,50+((100-50)/(60-30))*(T354-30),IF(T354&lt;=90,100+((200-100)/(90-60))*(T354-60),IF(T354&lt;=120,200+((300-200)/(120-90))*(T354-90),IF(T354&lt;=250,300+((400-300)/(250-120))*(T354-120),IF(T354&lt;=380,400+((500-400)/(380-250))*(T354-250),500)))))))</f>
        <v>31</v>
      </c>
      <c r="AG354" s="4" t="n">
        <f aca="false">IF(U354="","",IF(U354&lt;=50,(50/50)*U354,IF(U354&lt;=100,50+((100-50)/(100-50))*(U354-50),IF(U354&lt;=250,100+((200-100)/(250-100))*(U354-100),IF(U354&lt;=350,200+((300-200)/(350-250))*(U354-250),IF(U354&lt;=430,300+((400-300)/(430-350))*(U354-350),IF(U354&lt;=600,400+((500-400)/(600-430))*(U354-430),500)))))))</f>
        <v>48.1</v>
      </c>
      <c r="AH354" s="4" t="n">
        <f aca="false">IF(V354="","",IF((V354/1000)&lt;=1,(50/1)*(V354/1000),IF((V354/1000)&lt;=2,50+((100-50)/(2-1))*(V354/1000-1),IF((V354/1000)&lt;=10,100+((200-100)/(10-2))*(V354/1000-2),IF((V354/1000)&lt;=17,200+((300-200)/(17-10))*(V354/1000-10),IF((V354/1000)&lt;=34,300+((400-300)/(34-17))*(V354/1000-17),IF((V354/1000)&lt;=57,400+((500-400)/(57-34))*(V354/1000-34),500)))))))</f>
        <v>8.5</v>
      </c>
      <c r="AI354" s="4" t="n">
        <f aca="false">IF(W354="","",IF(W354&lt;=40,(50/40)*W354,IF(W354&lt;=80,50+((100-50)/(80-40))*(W354-40),IF(W354&lt;=180,100+((200-100)/(180-80))*(W354-80),IF(W354&lt;=280,200+((300-200)/(280-180))*(W354-180),IF(W354&lt;=400,300+((400-300)/(400-280))*(W354-280),IF(W354&lt;=800,400+((500-400)/(800-400))*(W354-400),500)))))))</f>
        <v>9.25</v>
      </c>
      <c r="AJ354" s="4" t="n">
        <f aca="false">IF(X354="","",IF(X354&lt;=40,(50/40)*X354,IF(X354&lt;=80,50+((100-50)/(80-40))*(X354-40),IF(X354&lt;=380,100+((200-100)/(380-80))*(X354-80),IF(X354&lt;=800,200+((300-200)/(800-380))*(X354-380),IF(X354&lt;=1600,300+((400-300)/(1600-800))*(X354-800),IF(X354&lt;=2100,400+((500-400)/(2100-1600))*(X354-1600),500)))))))</f>
        <v>10.25</v>
      </c>
      <c r="AK354" s="4" t="n">
        <f aca="false">IF(Y354="","",IF(Y354&lt;=50,(50/50)*Y354,IF(Y354&lt;=100,50+((100-50)/(100-50))*(Y354-50),IF(Y354&lt;=168,100+((200-100)/(168-100))*(Y354-100),IF(Y354&lt;=208,200+((300-200)/(208-168))*(Y354-168),IF(Y354&lt;=748,300+((400-300)/(748-208))*(Y354-208),IF(Y354&lt;=1000,400+((500-400)/(1000-748))*(Y354-748),500)))))))</f>
        <v>132.352941176471</v>
      </c>
      <c r="AL354" s="4" t="n">
        <f aca="false">ROUND(MAX(AF354,AG354,AH354,AI354,AJ354,AK354),0)</f>
        <v>132</v>
      </c>
      <c r="AM354" s="4" t="str">
        <f aca="false">IF(AL354="","",IF(AL354&lt;=50,"Good",IF(AL354&lt;=100,"Satisfactory",IF(AL354&lt;=200,"Moderate",IF(AL354&lt;=300,"Poor",IF(AL354&lt;=400,"Very Poor","Severe"))))))</f>
        <v>Moderate</v>
      </c>
    </row>
    <row r="355" customFormat="false" ht="15.75" hidden="false" customHeight="false" outlineLevel="0" collapsed="false">
      <c r="A355" s="1" t="s">
        <v>39</v>
      </c>
      <c r="B355" s="1" t="s">
        <v>40</v>
      </c>
      <c r="C355" s="1" t="n">
        <v>28.4595</v>
      </c>
      <c r="D355" s="1" t="n">
        <v>77.0266</v>
      </c>
      <c r="E355" s="5" t="n">
        <v>45915</v>
      </c>
      <c r="F355" s="6" t="s">
        <v>69</v>
      </c>
      <c r="G355" s="1" t="n">
        <v>9</v>
      </c>
      <c r="H355" s="7" t="s">
        <v>42</v>
      </c>
      <c r="I355" s="6" t="s">
        <v>43</v>
      </c>
      <c r="J355" s="7" t="s">
        <v>44</v>
      </c>
      <c r="K355" s="7" t="s">
        <v>65</v>
      </c>
      <c r="L355" s="1" t="n">
        <v>52</v>
      </c>
      <c r="M355" s="1" t="n">
        <v>21.5</v>
      </c>
      <c r="N355" s="1" t="n">
        <v>27.7</v>
      </c>
      <c r="O355" s="1" t="n">
        <v>0</v>
      </c>
      <c r="P355" s="6" t="s">
        <v>43</v>
      </c>
      <c r="Q355" s="6" t="s">
        <v>43</v>
      </c>
      <c r="R355" s="1" t="n">
        <v>1001.1</v>
      </c>
      <c r="S355" s="1" t="n">
        <v>25</v>
      </c>
      <c r="T355" s="1" t="n">
        <v>17.9</v>
      </c>
      <c r="U355" s="1" t="n">
        <v>42.8</v>
      </c>
      <c r="V355" s="1" t="n">
        <v>334</v>
      </c>
      <c r="W355" s="1" t="n">
        <v>16.6</v>
      </c>
      <c r="X355" s="1" t="n">
        <v>10.9</v>
      </c>
      <c r="Y355" s="1" t="n">
        <v>105</v>
      </c>
      <c r="Z355" s="1" t="n">
        <v>49</v>
      </c>
      <c r="AA355" s="1" t="n">
        <v>125</v>
      </c>
      <c r="AB355" s="7" t="s">
        <v>81</v>
      </c>
      <c r="AC355" s="7" t="s">
        <v>82</v>
      </c>
      <c r="AD355" s="7" t="s">
        <v>83</v>
      </c>
      <c r="AE355" s="7" t="s">
        <v>84</v>
      </c>
      <c r="AF355" s="4" t="n">
        <f aca="false">IF(T355="","",IF(T355&lt;=30,(50/30)*T355,IF(T355&lt;=60,50+((100-50)/(60-30))*(T355-30),IF(T355&lt;=90,100+((200-100)/(90-60))*(T355-60),IF(T355&lt;=120,200+((300-200)/(120-90))*(T355-90),IF(T355&lt;=250,300+((400-300)/(250-120))*(T355-120),IF(T355&lt;=380,400+((500-400)/(380-250))*(T355-250),500)))))))</f>
        <v>29.8333333333333</v>
      </c>
      <c r="AG355" s="4" t="n">
        <f aca="false">IF(U355="","",IF(U355&lt;=50,(50/50)*U355,IF(U355&lt;=100,50+((100-50)/(100-50))*(U355-50),IF(U355&lt;=250,100+((200-100)/(250-100))*(U355-100),IF(U355&lt;=350,200+((300-200)/(350-250))*(U355-250),IF(U355&lt;=430,300+((400-300)/(430-350))*(U355-350),IF(U355&lt;=600,400+((500-400)/(600-430))*(U355-430),500)))))))</f>
        <v>42.8</v>
      </c>
      <c r="AH355" s="4" t="n">
        <f aca="false">IF(V355="","",IF((V355/1000)&lt;=1,(50/1)*(V355/1000),IF((V355/1000)&lt;=2,50+((100-50)/(2-1))*(V355/1000-1),IF((V355/1000)&lt;=10,100+((200-100)/(10-2))*(V355/1000-2),IF((V355/1000)&lt;=17,200+((300-200)/(17-10))*(V355/1000-10),IF((V355/1000)&lt;=34,300+((400-300)/(34-17))*(V355/1000-17),IF((V355/1000)&lt;=57,400+((500-400)/(57-34))*(V355/1000-34),500)))))))</f>
        <v>16.7</v>
      </c>
      <c r="AI355" s="4" t="n">
        <f aca="false">IF(W355="","",IF(W355&lt;=40,(50/40)*W355,IF(W355&lt;=80,50+((100-50)/(80-40))*(W355-40),IF(W355&lt;=180,100+((200-100)/(180-80))*(W355-80),IF(W355&lt;=280,200+((300-200)/(280-180))*(W355-180),IF(W355&lt;=400,300+((400-300)/(400-280))*(W355-280),IF(W355&lt;=800,400+((500-400)/(800-400))*(W355-400),500)))))))</f>
        <v>20.75</v>
      </c>
      <c r="AJ355" s="4" t="n">
        <f aca="false">IF(X355="","",IF(X355&lt;=40,(50/40)*X355,IF(X355&lt;=80,50+((100-50)/(80-40))*(X355-40),IF(X355&lt;=380,100+((200-100)/(380-80))*(X355-80),IF(X355&lt;=800,200+((300-200)/(800-380))*(X355-380),IF(X355&lt;=1600,300+((400-300)/(1600-800))*(X355-800),IF(X355&lt;=2100,400+((500-400)/(2100-1600))*(X355-1600),500)))))))</f>
        <v>13.625</v>
      </c>
      <c r="AK355" s="4" t="n">
        <f aca="false">IF(Y355="","",IF(Y355&lt;=50,(50/50)*Y355,IF(Y355&lt;=100,50+((100-50)/(100-50))*(Y355-50),IF(Y355&lt;=168,100+((200-100)/(168-100))*(Y355-100),IF(Y355&lt;=208,200+((300-200)/(208-168))*(Y355-168),IF(Y355&lt;=748,300+((400-300)/(748-208))*(Y355-208),IF(Y355&lt;=1000,400+((500-400)/(1000-748))*(Y355-748),500)))))))</f>
        <v>107.352941176471</v>
      </c>
      <c r="AL355" s="4" t="n">
        <f aca="false">ROUND(MAX(AF355,AG355,AH355,AI355,AJ355,AK355),0)</f>
        <v>107</v>
      </c>
      <c r="AM355" s="4" t="str">
        <f aca="false">IF(AL355="","",IF(AL355&lt;=50,"Good",IF(AL355&lt;=100,"Satisfactory",IF(AL355&lt;=200,"Moderate",IF(AL355&lt;=300,"Poor",IF(AL355&lt;=400,"Very Poor","Severe"))))))</f>
        <v>Moderate</v>
      </c>
    </row>
    <row r="356" customFormat="false" ht="15.75" hidden="false" customHeight="false" outlineLevel="0" collapsed="false">
      <c r="A356" s="1" t="s">
        <v>39</v>
      </c>
      <c r="B356" s="1" t="s">
        <v>40</v>
      </c>
      <c r="C356" s="1" t="n">
        <v>28.4595</v>
      </c>
      <c r="D356" s="1" t="n">
        <v>77.0266</v>
      </c>
      <c r="E356" s="5" t="n">
        <v>45915</v>
      </c>
      <c r="F356" s="6" t="s">
        <v>70</v>
      </c>
      <c r="G356" s="1" t="n">
        <v>9</v>
      </c>
      <c r="H356" s="7" t="s">
        <v>42</v>
      </c>
      <c r="I356" s="6" t="s">
        <v>43</v>
      </c>
      <c r="J356" s="7" t="s">
        <v>44</v>
      </c>
      <c r="K356" s="7" t="s">
        <v>71</v>
      </c>
      <c r="L356" s="1" t="n">
        <v>63</v>
      </c>
      <c r="M356" s="1" t="n">
        <v>23.4</v>
      </c>
      <c r="N356" s="1" t="n">
        <v>16.9</v>
      </c>
      <c r="O356" s="1" t="n">
        <v>0</v>
      </c>
      <c r="P356" s="6" t="s">
        <v>43</v>
      </c>
      <c r="Q356" s="6" t="s">
        <v>43</v>
      </c>
      <c r="R356" s="1" t="n">
        <v>1002.1</v>
      </c>
      <c r="S356" s="1" t="n">
        <v>97</v>
      </c>
      <c r="T356" s="1" t="n">
        <v>26.1</v>
      </c>
      <c r="U356" s="1" t="n">
        <v>51.2</v>
      </c>
      <c r="V356" s="1" t="n">
        <v>855</v>
      </c>
      <c r="W356" s="1" t="n">
        <v>37</v>
      </c>
      <c r="X356" s="1" t="n">
        <v>13.9</v>
      </c>
      <c r="Y356" s="1" t="n">
        <v>78</v>
      </c>
      <c r="Z356" s="1" t="n">
        <v>49</v>
      </c>
      <c r="AA356" s="1" t="n">
        <v>125</v>
      </c>
      <c r="AB356" s="7" t="s">
        <v>81</v>
      </c>
      <c r="AC356" s="7" t="s">
        <v>82</v>
      </c>
      <c r="AD356" s="7" t="s">
        <v>83</v>
      </c>
      <c r="AE356" s="7" t="s">
        <v>84</v>
      </c>
      <c r="AF356" s="4" t="n">
        <f aca="false">IF(T356="","",IF(T356&lt;=30,(50/30)*T356,IF(T356&lt;=60,50+((100-50)/(60-30))*(T356-30),IF(T356&lt;=90,100+((200-100)/(90-60))*(T356-60),IF(T356&lt;=120,200+((300-200)/(120-90))*(T356-90),IF(T356&lt;=250,300+((400-300)/(250-120))*(T356-120),IF(T356&lt;=380,400+((500-400)/(380-250))*(T356-250),500)))))))</f>
        <v>43.5</v>
      </c>
      <c r="AG356" s="4" t="n">
        <f aca="false">IF(U356="","",IF(U356&lt;=50,(50/50)*U356,IF(U356&lt;=100,50+((100-50)/(100-50))*(U356-50),IF(U356&lt;=250,100+((200-100)/(250-100))*(U356-100),IF(U356&lt;=350,200+((300-200)/(350-250))*(U356-250),IF(U356&lt;=430,300+((400-300)/(430-350))*(U356-350),IF(U356&lt;=600,400+((500-400)/(600-430))*(U356-430),500)))))))</f>
        <v>51.2</v>
      </c>
      <c r="AH356" s="4" t="n">
        <f aca="false">IF(V356="","",IF((V356/1000)&lt;=1,(50/1)*(V356/1000),IF((V356/1000)&lt;=2,50+((100-50)/(2-1))*(V356/1000-1),IF((V356/1000)&lt;=10,100+((200-100)/(10-2))*(V356/1000-2),IF((V356/1000)&lt;=17,200+((300-200)/(17-10))*(V356/1000-10),IF((V356/1000)&lt;=34,300+((400-300)/(34-17))*(V356/1000-17),IF((V356/1000)&lt;=57,400+((500-400)/(57-34))*(V356/1000-34),500)))))))</f>
        <v>42.75</v>
      </c>
      <c r="AI356" s="4" t="n">
        <f aca="false">IF(W356="","",IF(W356&lt;=40,(50/40)*W356,IF(W356&lt;=80,50+((100-50)/(80-40))*(W356-40),IF(W356&lt;=180,100+((200-100)/(180-80))*(W356-80),IF(W356&lt;=280,200+((300-200)/(280-180))*(W356-180),IF(W356&lt;=400,300+((400-300)/(400-280))*(W356-280),IF(W356&lt;=800,400+((500-400)/(800-400))*(W356-400),500)))))))</f>
        <v>46.25</v>
      </c>
      <c r="AJ356" s="4" t="n">
        <f aca="false">IF(X356="","",IF(X356&lt;=40,(50/40)*X356,IF(X356&lt;=80,50+((100-50)/(80-40))*(X356-40),IF(X356&lt;=380,100+((200-100)/(380-80))*(X356-80),IF(X356&lt;=800,200+((300-200)/(800-380))*(X356-380),IF(X356&lt;=1600,300+((400-300)/(1600-800))*(X356-800),IF(X356&lt;=2100,400+((500-400)/(2100-1600))*(X356-1600),500)))))))</f>
        <v>17.375</v>
      </c>
      <c r="AK356" s="4" t="n">
        <f aca="false">IF(Y356="","",IF(Y356&lt;=50,(50/50)*Y356,IF(Y356&lt;=100,50+((100-50)/(100-50))*(Y356-50),IF(Y356&lt;=168,100+((200-100)/(168-100))*(Y356-100),IF(Y356&lt;=208,200+((300-200)/(208-168))*(Y356-168),IF(Y356&lt;=748,300+((400-300)/(748-208))*(Y356-208),IF(Y356&lt;=1000,400+((500-400)/(1000-748))*(Y356-748),500)))))))</f>
        <v>78</v>
      </c>
      <c r="AL356" s="4" t="n">
        <f aca="false">ROUND(MAX(AF356,AG356,AH356,AI356,AJ356,AK356),0)</f>
        <v>78</v>
      </c>
      <c r="AM356" s="4" t="str">
        <f aca="false">IF(AL356="","",IF(AL356&lt;=50,"Good",IF(AL356&lt;=100,"Satisfactory",IF(AL356&lt;=200,"Moderate",IF(AL356&lt;=300,"Poor",IF(AL356&lt;=400,"Very Poor","Severe"))))))</f>
        <v>Satisfactory</v>
      </c>
    </row>
    <row r="357" customFormat="false" ht="15.75" hidden="false" customHeight="false" outlineLevel="0" collapsed="false">
      <c r="A357" s="1" t="s">
        <v>39</v>
      </c>
      <c r="B357" s="1" t="s">
        <v>40</v>
      </c>
      <c r="C357" s="1" t="n">
        <v>28.4595</v>
      </c>
      <c r="D357" s="1" t="n">
        <v>77.0266</v>
      </c>
      <c r="E357" s="5" t="n">
        <v>45915</v>
      </c>
      <c r="F357" s="6" t="s">
        <v>72</v>
      </c>
      <c r="G357" s="1" t="n">
        <v>9</v>
      </c>
      <c r="H357" s="7" t="s">
        <v>42</v>
      </c>
      <c r="I357" s="6" t="s">
        <v>43</v>
      </c>
      <c r="J357" s="7" t="s">
        <v>44</v>
      </c>
      <c r="K357" s="7" t="s">
        <v>71</v>
      </c>
      <c r="L357" s="1" t="n">
        <v>74</v>
      </c>
      <c r="M357" s="1" t="n">
        <v>25.1</v>
      </c>
      <c r="N357" s="1" t="n">
        <v>9.7</v>
      </c>
      <c r="O357" s="1" t="n">
        <v>0</v>
      </c>
      <c r="P357" s="6" t="s">
        <v>43</v>
      </c>
      <c r="Q357" s="6" t="s">
        <v>43</v>
      </c>
      <c r="R357" s="1" t="n">
        <v>1002.7</v>
      </c>
      <c r="S357" s="1" t="n">
        <v>98</v>
      </c>
      <c r="T357" s="1" t="n">
        <v>39.1</v>
      </c>
      <c r="U357" s="1" t="n">
        <v>64.3</v>
      </c>
      <c r="V357" s="1" t="n">
        <v>1537</v>
      </c>
      <c r="W357" s="1" t="n">
        <v>65.2</v>
      </c>
      <c r="X357" s="1" t="n">
        <v>18.2</v>
      </c>
      <c r="Y357" s="1" t="n">
        <v>40</v>
      </c>
      <c r="Z357" s="1" t="n">
        <v>49</v>
      </c>
      <c r="AA357" s="1" t="n">
        <v>124</v>
      </c>
      <c r="AB357" s="7" t="s">
        <v>81</v>
      </c>
      <c r="AC357" s="7" t="s">
        <v>82</v>
      </c>
      <c r="AD357" s="7" t="s">
        <v>83</v>
      </c>
      <c r="AE357" s="7" t="s">
        <v>84</v>
      </c>
      <c r="AF357" s="4" t="n">
        <f aca="false">IF(T357="","",IF(T357&lt;=30,(50/30)*T357,IF(T357&lt;=60,50+((100-50)/(60-30))*(T357-30),IF(T357&lt;=90,100+((200-100)/(90-60))*(T357-60),IF(T357&lt;=120,200+((300-200)/(120-90))*(T357-90),IF(T357&lt;=250,300+((400-300)/(250-120))*(T357-120),IF(T357&lt;=380,400+((500-400)/(380-250))*(T357-250),500)))))))</f>
        <v>65.1666666666667</v>
      </c>
      <c r="AG357" s="4" t="n">
        <f aca="false">IF(U357="","",IF(U357&lt;=50,(50/50)*U357,IF(U357&lt;=100,50+((100-50)/(100-50))*(U357-50),IF(U357&lt;=250,100+((200-100)/(250-100))*(U357-100),IF(U357&lt;=350,200+((300-200)/(350-250))*(U357-250),IF(U357&lt;=430,300+((400-300)/(430-350))*(U357-350),IF(U357&lt;=600,400+((500-400)/(600-430))*(U357-430),500)))))))</f>
        <v>64.3</v>
      </c>
      <c r="AH357" s="4" t="n">
        <f aca="false">IF(V357="","",IF((V357/1000)&lt;=1,(50/1)*(V357/1000),IF((V357/1000)&lt;=2,50+((100-50)/(2-1))*(V357/1000-1),IF((V357/1000)&lt;=10,100+((200-100)/(10-2))*(V357/1000-2),IF((V357/1000)&lt;=17,200+((300-200)/(17-10))*(V357/1000-10),IF((V357/1000)&lt;=34,300+((400-300)/(34-17))*(V357/1000-17),IF((V357/1000)&lt;=57,400+((500-400)/(57-34))*(V357/1000-34),500)))))))</f>
        <v>76.85</v>
      </c>
      <c r="AI357" s="4" t="n">
        <f aca="false">IF(W357="","",IF(W357&lt;=40,(50/40)*W357,IF(W357&lt;=80,50+((100-50)/(80-40))*(W357-40),IF(W357&lt;=180,100+((200-100)/(180-80))*(W357-80),IF(W357&lt;=280,200+((300-200)/(280-180))*(W357-180),IF(W357&lt;=400,300+((400-300)/(400-280))*(W357-280),IF(W357&lt;=800,400+((500-400)/(800-400))*(W357-400),500)))))))</f>
        <v>81.5</v>
      </c>
      <c r="AJ357" s="4" t="n">
        <f aca="false">IF(X357="","",IF(X357&lt;=40,(50/40)*X357,IF(X357&lt;=80,50+((100-50)/(80-40))*(X357-40),IF(X357&lt;=380,100+((200-100)/(380-80))*(X357-80),IF(X357&lt;=800,200+((300-200)/(800-380))*(X357-380),IF(X357&lt;=1600,300+((400-300)/(1600-800))*(X357-800),IF(X357&lt;=2100,400+((500-400)/(2100-1600))*(X357-1600),500)))))))</f>
        <v>22.75</v>
      </c>
      <c r="AK357" s="4" t="n">
        <f aca="false">IF(Y357="","",IF(Y357&lt;=50,(50/50)*Y357,IF(Y357&lt;=100,50+((100-50)/(100-50))*(Y357-50),IF(Y357&lt;=168,100+((200-100)/(168-100))*(Y357-100),IF(Y357&lt;=208,200+((300-200)/(208-168))*(Y357-168),IF(Y357&lt;=748,300+((400-300)/(748-208))*(Y357-208),IF(Y357&lt;=1000,400+((500-400)/(1000-748))*(Y357-748),500)))))))</f>
        <v>40</v>
      </c>
      <c r="AL357" s="4" t="n">
        <f aca="false">ROUND(MAX(AF357,AG357,AH357,AI357,AJ357,AK357),0)</f>
        <v>82</v>
      </c>
      <c r="AM357" s="4" t="str">
        <f aca="false">IF(AL357="","",IF(AL357&lt;=50,"Good",IF(AL357&lt;=100,"Satisfactory",IF(AL357&lt;=200,"Moderate",IF(AL357&lt;=300,"Poor",IF(AL357&lt;=400,"Very Poor","Severe"))))))</f>
        <v>Satisfactory</v>
      </c>
    </row>
    <row r="358" customFormat="false" ht="15.75" hidden="false" customHeight="false" outlineLevel="0" collapsed="false">
      <c r="A358" s="1" t="s">
        <v>39</v>
      </c>
      <c r="B358" s="1" t="s">
        <v>40</v>
      </c>
      <c r="C358" s="1" t="n">
        <v>28.4595</v>
      </c>
      <c r="D358" s="1" t="n">
        <v>77.0266</v>
      </c>
      <c r="E358" s="5" t="n">
        <v>45915</v>
      </c>
      <c r="F358" s="6" t="s">
        <v>73</v>
      </c>
      <c r="G358" s="1" t="n">
        <v>9</v>
      </c>
      <c r="H358" s="7" t="s">
        <v>42</v>
      </c>
      <c r="I358" s="6" t="s">
        <v>43</v>
      </c>
      <c r="J358" s="7" t="s">
        <v>44</v>
      </c>
      <c r="K358" s="7" t="s">
        <v>71</v>
      </c>
      <c r="L358" s="1" t="n">
        <v>75</v>
      </c>
      <c r="M358" s="1" t="n">
        <v>24.7</v>
      </c>
      <c r="N358" s="1" t="n">
        <v>4</v>
      </c>
      <c r="O358" s="1" t="n">
        <v>0</v>
      </c>
      <c r="P358" s="6" t="s">
        <v>43</v>
      </c>
      <c r="Q358" s="6" t="s">
        <v>43</v>
      </c>
      <c r="R358" s="1" t="n">
        <v>1004</v>
      </c>
      <c r="S358" s="1" t="n">
        <v>100</v>
      </c>
      <c r="T358" s="1" t="n">
        <v>53.4</v>
      </c>
      <c r="U358" s="1" t="n">
        <v>80.3</v>
      </c>
      <c r="V358" s="1" t="n">
        <v>1930</v>
      </c>
      <c r="W358" s="1" t="n">
        <v>86.4</v>
      </c>
      <c r="X358" s="1" t="n">
        <v>23.2</v>
      </c>
      <c r="Y358" s="1" t="n">
        <v>12</v>
      </c>
      <c r="Z358" s="1" t="n">
        <v>49</v>
      </c>
      <c r="AA358" s="1" t="n">
        <v>123</v>
      </c>
      <c r="AB358" s="7" t="s">
        <v>81</v>
      </c>
      <c r="AC358" s="7" t="s">
        <v>82</v>
      </c>
      <c r="AD358" s="7" t="s">
        <v>83</v>
      </c>
      <c r="AE358" s="7" t="s">
        <v>84</v>
      </c>
      <c r="AF358" s="4" t="n">
        <f aca="false">IF(T358="","",IF(T358&lt;=30,(50/30)*T358,IF(T358&lt;=60,50+((100-50)/(60-30))*(T358-30),IF(T358&lt;=90,100+((200-100)/(90-60))*(T358-60),IF(T358&lt;=120,200+((300-200)/(120-90))*(T358-90),IF(T358&lt;=250,300+((400-300)/(250-120))*(T358-120),IF(T358&lt;=380,400+((500-400)/(380-250))*(T358-250),500)))))))</f>
        <v>89</v>
      </c>
      <c r="AG358" s="4" t="n">
        <f aca="false">IF(U358="","",IF(U358&lt;=50,(50/50)*U358,IF(U358&lt;=100,50+((100-50)/(100-50))*(U358-50),IF(U358&lt;=250,100+((200-100)/(250-100))*(U358-100),IF(U358&lt;=350,200+((300-200)/(350-250))*(U358-250),IF(U358&lt;=430,300+((400-300)/(430-350))*(U358-350),IF(U358&lt;=600,400+((500-400)/(600-430))*(U358-430),500)))))))</f>
        <v>80.3</v>
      </c>
      <c r="AH358" s="4" t="n">
        <f aca="false">IF(V358="","",IF((V358/1000)&lt;=1,(50/1)*(V358/1000),IF((V358/1000)&lt;=2,50+((100-50)/(2-1))*(V358/1000-1),IF((V358/1000)&lt;=10,100+((200-100)/(10-2))*(V358/1000-2),IF((V358/1000)&lt;=17,200+((300-200)/(17-10))*(V358/1000-10),IF((V358/1000)&lt;=34,300+((400-300)/(34-17))*(V358/1000-17),IF((V358/1000)&lt;=57,400+((500-400)/(57-34))*(V358/1000-34),500)))))))</f>
        <v>96.5</v>
      </c>
      <c r="AI358" s="4" t="n">
        <f aca="false">IF(W358="","",IF(W358&lt;=40,(50/40)*W358,IF(W358&lt;=80,50+((100-50)/(80-40))*(W358-40),IF(W358&lt;=180,100+((200-100)/(180-80))*(W358-80),IF(W358&lt;=280,200+((300-200)/(280-180))*(W358-180),IF(W358&lt;=400,300+((400-300)/(400-280))*(W358-280),IF(W358&lt;=800,400+((500-400)/(800-400))*(W358-400),500)))))))</f>
        <v>106.4</v>
      </c>
      <c r="AJ358" s="4" t="n">
        <f aca="false">IF(X358="","",IF(X358&lt;=40,(50/40)*X358,IF(X358&lt;=80,50+((100-50)/(80-40))*(X358-40),IF(X358&lt;=380,100+((200-100)/(380-80))*(X358-80),IF(X358&lt;=800,200+((300-200)/(800-380))*(X358-380),IF(X358&lt;=1600,300+((400-300)/(1600-800))*(X358-800),IF(X358&lt;=2100,400+((500-400)/(2100-1600))*(X358-1600),500)))))))</f>
        <v>29</v>
      </c>
      <c r="AK358" s="4" t="n">
        <f aca="false">IF(Y358="","",IF(Y358&lt;=50,(50/50)*Y358,IF(Y358&lt;=100,50+((100-50)/(100-50))*(Y358-50),IF(Y358&lt;=168,100+((200-100)/(168-100))*(Y358-100),IF(Y358&lt;=208,200+((300-200)/(208-168))*(Y358-168),IF(Y358&lt;=748,300+((400-300)/(748-208))*(Y358-208),IF(Y358&lt;=1000,400+((500-400)/(1000-748))*(Y358-748),500)))))))</f>
        <v>12</v>
      </c>
      <c r="AL358" s="4" t="n">
        <f aca="false">ROUND(MAX(AF358,AG358,AH358,AI358,AJ358,AK358),0)</f>
        <v>106</v>
      </c>
      <c r="AM358" s="4" t="str">
        <f aca="false">IF(AL358="","",IF(AL358&lt;=50,"Good",IF(AL358&lt;=100,"Satisfactory",IF(AL358&lt;=200,"Moderate",IF(AL358&lt;=300,"Poor",IF(AL358&lt;=400,"Very Poor","Severe"))))))</f>
        <v>Moderate</v>
      </c>
    </row>
    <row r="359" customFormat="false" ht="15.75" hidden="false" customHeight="false" outlineLevel="0" collapsed="false">
      <c r="A359" s="1" t="s">
        <v>39</v>
      </c>
      <c r="B359" s="1" t="s">
        <v>40</v>
      </c>
      <c r="C359" s="1" t="n">
        <v>28.4595</v>
      </c>
      <c r="D359" s="1" t="n">
        <v>77.0266</v>
      </c>
      <c r="E359" s="5" t="n">
        <v>45915</v>
      </c>
      <c r="F359" s="6" t="s">
        <v>74</v>
      </c>
      <c r="G359" s="1" t="n">
        <v>9</v>
      </c>
      <c r="H359" s="7" t="s">
        <v>42</v>
      </c>
      <c r="I359" s="6" t="s">
        <v>43</v>
      </c>
      <c r="J359" s="7" t="s">
        <v>44</v>
      </c>
      <c r="K359" s="7" t="s">
        <v>75</v>
      </c>
      <c r="L359" s="1" t="n">
        <v>75</v>
      </c>
      <c r="M359" s="1" t="n">
        <v>23.8</v>
      </c>
      <c r="N359" s="1" t="n">
        <v>5.8</v>
      </c>
      <c r="O359" s="1" t="n">
        <v>0</v>
      </c>
      <c r="P359" s="6" t="s">
        <v>43</v>
      </c>
      <c r="Q359" s="6" t="s">
        <v>43</v>
      </c>
      <c r="R359" s="1" t="n">
        <v>1004.8</v>
      </c>
      <c r="S359" s="1" t="n">
        <v>100</v>
      </c>
      <c r="T359" s="1" t="n">
        <v>68.5</v>
      </c>
      <c r="U359" s="1" t="n">
        <v>96.6</v>
      </c>
      <c r="V359" s="1" t="n">
        <v>1771</v>
      </c>
      <c r="W359" s="1" t="n">
        <v>94.2</v>
      </c>
      <c r="X359" s="1" t="n">
        <v>29.8</v>
      </c>
      <c r="Y359" s="1" t="n">
        <v>2</v>
      </c>
      <c r="Z359" s="1" t="n">
        <v>50</v>
      </c>
      <c r="AA359" s="1" t="n">
        <v>122</v>
      </c>
      <c r="AB359" s="7" t="s">
        <v>81</v>
      </c>
      <c r="AC359" s="7" t="s">
        <v>82</v>
      </c>
      <c r="AD359" s="7" t="s">
        <v>83</v>
      </c>
      <c r="AE359" s="7" t="s">
        <v>84</v>
      </c>
      <c r="AF359" s="4" t="n">
        <f aca="false">IF(T359="","",IF(T359&lt;=30,(50/30)*T359,IF(T359&lt;=60,50+((100-50)/(60-30))*(T359-30),IF(T359&lt;=90,100+((200-100)/(90-60))*(T359-60),IF(T359&lt;=120,200+((300-200)/(120-90))*(T359-90),IF(T359&lt;=250,300+((400-300)/(250-120))*(T359-120),IF(T359&lt;=380,400+((500-400)/(380-250))*(T359-250),500)))))))</f>
        <v>128.333333333333</v>
      </c>
      <c r="AG359" s="4" t="n">
        <f aca="false">IF(U359="","",IF(U359&lt;=50,(50/50)*U359,IF(U359&lt;=100,50+((100-50)/(100-50))*(U359-50),IF(U359&lt;=250,100+((200-100)/(250-100))*(U359-100),IF(U359&lt;=350,200+((300-200)/(350-250))*(U359-250),IF(U359&lt;=430,300+((400-300)/(430-350))*(U359-350),IF(U359&lt;=600,400+((500-400)/(600-430))*(U359-430),500)))))))</f>
        <v>96.6</v>
      </c>
      <c r="AH359" s="4" t="n">
        <f aca="false">IF(V359="","",IF((V359/1000)&lt;=1,(50/1)*(V359/1000),IF((V359/1000)&lt;=2,50+((100-50)/(2-1))*(V359/1000-1),IF((V359/1000)&lt;=10,100+((200-100)/(10-2))*(V359/1000-2),IF((V359/1000)&lt;=17,200+((300-200)/(17-10))*(V359/1000-10),IF((V359/1000)&lt;=34,300+((400-300)/(34-17))*(V359/1000-17),IF((V359/1000)&lt;=57,400+((500-400)/(57-34))*(V359/1000-34),500)))))))</f>
        <v>88.55</v>
      </c>
      <c r="AI359" s="4" t="n">
        <f aca="false">IF(W359="","",IF(W359&lt;=40,(50/40)*W359,IF(W359&lt;=80,50+((100-50)/(80-40))*(W359-40),IF(W359&lt;=180,100+((200-100)/(180-80))*(W359-80),IF(W359&lt;=280,200+((300-200)/(280-180))*(W359-180),IF(W359&lt;=400,300+((400-300)/(400-280))*(W359-280),IF(W359&lt;=800,400+((500-400)/(800-400))*(W359-400),500)))))))</f>
        <v>114.2</v>
      </c>
      <c r="AJ359" s="4" t="n">
        <f aca="false">IF(X359="","",IF(X359&lt;=40,(50/40)*X359,IF(X359&lt;=80,50+((100-50)/(80-40))*(X359-40),IF(X359&lt;=380,100+((200-100)/(380-80))*(X359-80),IF(X359&lt;=800,200+((300-200)/(800-380))*(X359-380),IF(X359&lt;=1600,300+((400-300)/(1600-800))*(X359-800),IF(X359&lt;=2100,400+((500-400)/(2100-1600))*(X359-1600),500)))))))</f>
        <v>37.25</v>
      </c>
      <c r="AK359" s="4" t="n">
        <f aca="false">IF(Y359="","",IF(Y359&lt;=50,(50/50)*Y359,IF(Y359&lt;=100,50+((100-50)/(100-50))*(Y359-50),IF(Y359&lt;=168,100+((200-100)/(168-100))*(Y359-100),IF(Y359&lt;=208,200+((300-200)/(208-168))*(Y359-168),IF(Y359&lt;=748,300+((400-300)/(748-208))*(Y359-208),IF(Y359&lt;=1000,400+((500-400)/(1000-748))*(Y359-748),500)))))))</f>
        <v>2</v>
      </c>
      <c r="AL359" s="4" t="n">
        <f aca="false">ROUND(MAX(AF359,AG359,AH359,AI359,AJ359,AK359),0)</f>
        <v>128</v>
      </c>
      <c r="AM359" s="4" t="str">
        <f aca="false">IF(AL359="","",IF(AL359&lt;=50,"Good",IF(AL359&lt;=100,"Satisfactory",IF(AL359&lt;=200,"Moderate",IF(AL359&lt;=300,"Poor",IF(AL359&lt;=400,"Very Poor","Severe"))))))</f>
        <v>Moderate</v>
      </c>
    </row>
    <row r="360" customFormat="false" ht="15.75" hidden="false" customHeight="false" outlineLevel="0" collapsed="false">
      <c r="A360" s="1" t="s">
        <v>39</v>
      </c>
      <c r="B360" s="1" t="s">
        <v>40</v>
      </c>
      <c r="C360" s="1" t="n">
        <v>28.4595</v>
      </c>
      <c r="D360" s="1" t="n">
        <v>77.0266</v>
      </c>
      <c r="E360" s="5" t="n">
        <v>45915</v>
      </c>
      <c r="F360" s="6" t="s">
        <v>76</v>
      </c>
      <c r="G360" s="1" t="n">
        <v>9</v>
      </c>
      <c r="H360" s="7" t="s">
        <v>42</v>
      </c>
      <c r="I360" s="6" t="s">
        <v>43</v>
      </c>
      <c r="J360" s="7" t="s">
        <v>44</v>
      </c>
      <c r="K360" s="7" t="s">
        <v>75</v>
      </c>
      <c r="L360" s="1" t="n">
        <v>81</v>
      </c>
      <c r="M360" s="1" t="n">
        <v>24.1</v>
      </c>
      <c r="N360" s="1" t="n">
        <v>7.6</v>
      </c>
      <c r="O360" s="1" t="n">
        <v>0</v>
      </c>
      <c r="P360" s="6" t="s">
        <v>43</v>
      </c>
      <c r="Q360" s="6" t="s">
        <v>43</v>
      </c>
      <c r="R360" s="1" t="n">
        <v>1005</v>
      </c>
      <c r="S360" s="1" t="n">
        <v>98</v>
      </c>
      <c r="T360" s="1" t="n">
        <v>83.1</v>
      </c>
      <c r="U360" s="1" t="n">
        <v>111.1</v>
      </c>
      <c r="V360" s="1" t="n">
        <v>1323</v>
      </c>
      <c r="W360" s="1" t="n">
        <v>95</v>
      </c>
      <c r="X360" s="1" t="n">
        <v>37</v>
      </c>
      <c r="Y360" s="1" t="n">
        <v>0</v>
      </c>
      <c r="Z360" s="1" t="n">
        <v>51</v>
      </c>
      <c r="AA360" s="1" t="n">
        <v>121</v>
      </c>
      <c r="AB360" s="7" t="s">
        <v>81</v>
      </c>
      <c r="AC360" s="7" t="s">
        <v>82</v>
      </c>
      <c r="AD360" s="7" t="s">
        <v>83</v>
      </c>
      <c r="AE360" s="7" t="s">
        <v>84</v>
      </c>
      <c r="AF360" s="4" t="n">
        <f aca="false">IF(T360="","",IF(T360&lt;=30,(50/30)*T360,IF(T360&lt;=60,50+((100-50)/(60-30))*(T360-30),IF(T360&lt;=90,100+((200-100)/(90-60))*(T360-60),IF(T360&lt;=120,200+((300-200)/(120-90))*(T360-90),IF(T360&lt;=250,300+((400-300)/(250-120))*(T360-120),IF(T360&lt;=380,400+((500-400)/(380-250))*(T360-250),500)))))))</f>
        <v>177</v>
      </c>
      <c r="AG360" s="4" t="n">
        <f aca="false">IF(U360="","",IF(U360&lt;=50,(50/50)*U360,IF(U360&lt;=100,50+((100-50)/(100-50))*(U360-50),IF(U360&lt;=250,100+((200-100)/(250-100))*(U360-100),IF(U360&lt;=350,200+((300-200)/(350-250))*(U360-250),IF(U360&lt;=430,300+((400-300)/(430-350))*(U360-350),IF(U360&lt;=600,400+((500-400)/(600-430))*(U360-430),500)))))))</f>
        <v>107.4</v>
      </c>
      <c r="AH360" s="4" t="n">
        <f aca="false">IF(V360="","",IF((V360/1000)&lt;=1,(50/1)*(V360/1000),IF((V360/1000)&lt;=2,50+((100-50)/(2-1))*(V360/1000-1),IF((V360/1000)&lt;=10,100+((200-100)/(10-2))*(V360/1000-2),IF((V360/1000)&lt;=17,200+((300-200)/(17-10))*(V360/1000-10),IF((V360/1000)&lt;=34,300+((400-300)/(34-17))*(V360/1000-17),IF((V360/1000)&lt;=57,400+((500-400)/(57-34))*(V360/1000-34),500)))))))</f>
        <v>66.15</v>
      </c>
      <c r="AI360" s="4" t="n">
        <f aca="false">IF(W360="","",IF(W360&lt;=40,(50/40)*W360,IF(W360&lt;=80,50+((100-50)/(80-40))*(W360-40),IF(W360&lt;=180,100+((200-100)/(180-80))*(W360-80),IF(W360&lt;=280,200+((300-200)/(280-180))*(W360-180),IF(W360&lt;=400,300+((400-300)/(400-280))*(W360-280),IF(W360&lt;=800,400+((500-400)/(800-400))*(W360-400),500)))))))</f>
        <v>115</v>
      </c>
      <c r="AJ360" s="4" t="n">
        <f aca="false">IF(X360="","",IF(X360&lt;=40,(50/40)*X360,IF(X360&lt;=80,50+((100-50)/(80-40))*(X360-40),IF(X360&lt;=380,100+((200-100)/(380-80))*(X360-80),IF(X360&lt;=800,200+((300-200)/(800-380))*(X360-380),IF(X360&lt;=1600,300+((400-300)/(1600-800))*(X360-800),IF(X360&lt;=2100,400+((500-400)/(2100-1600))*(X360-1600),500)))))))</f>
        <v>46.25</v>
      </c>
      <c r="AK360" s="4" t="n">
        <f aca="false">IF(Y360="","",IF(Y360&lt;=50,(50/50)*Y360,IF(Y360&lt;=100,50+((100-50)/(100-50))*(Y360-50),IF(Y360&lt;=168,100+((200-100)/(168-100))*(Y360-100),IF(Y360&lt;=208,200+((300-200)/(208-168))*(Y360-168),IF(Y360&lt;=748,300+((400-300)/(748-208))*(Y360-208),IF(Y360&lt;=1000,400+((500-400)/(1000-748))*(Y360-748),500)))))))</f>
        <v>0</v>
      </c>
      <c r="AL360" s="4" t="n">
        <f aca="false">ROUND(MAX(AF360,AG360,AH360,AI360,AJ360,AK360),0)</f>
        <v>177</v>
      </c>
      <c r="AM360" s="4" t="str">
        <f aca="false">IF(AL360="","",IF(AL360&lt;=50,"Good",IF(AL360&lt;=100,"Satisfactory",IF(AL360&lt;=200,"Moderate",IF(AL360&lt;=300,"Poor",IF(AL360&lt;=400,"Very Poor","Severe"))))))</f>
        <v>Moderate</v>
      </c>
    </row>
    <row r="361" customFormat="false" ht="15.75" hidden="false" customHeight="false" outlineLevel="0" collapsed="false">
      <c r="A361" s="1" t="s">
        <v>39</v>
      </c>
      <c r="B361" s="1" t="s">
        <v>40</v>
      </c>
      <c r="C361" s="1" t="n">
        <v>28.4595</v>
      </c>
      <c r="D361" s="1" t="n">
        <v>77.0266</v>
      </c>
      <c r="E361" s="5" t="n">
        <v>45915</v>
      </c>
      <c r="F361" s="6" t="s">
        <v>77</v>
      </c>
      <c r="G361" s="1" t="n">
        <v>9</v>
      </c>
      <c r="H361" s="7" t="s">
        <v>42</v>
      </c>
      <c r="I361" s="6" t="s">
        <v>43</v>
      </c>
      <c r="J361" s="7" t="s">
        <v>44</v>
      </c>
      <c r="K361" s="7" t="s">
        <v>75</v>
      </c>
      <c r="L361" s="1" t="n">
        <v>81</v>
      </c>
      <c r="M361" s="1" t="n">
        <v>23.6</v>
      </c>
      <c r="N361" s="1" t="n">
        <v>7.9</v>
      </c>
      <c r="O361" s="1" t="n">
        <v>0</v>
      </c>
      <c r="P361" s="6" t="s">
        <v>43</v>
      </c>
      <c r="Q361" s="6" t="s">
        <v>43</v>
      </c>
      <c r="R361" s="1" t="n">
        <v>1005.1</v>
      </c>
      <c r="S361" s="1" t="n">
        <v>100</v>
      </c>
      <c r="T361" s="1" t="n">
        <v>92.7</v>
      </c>
      <c r="U361" s="1" t="n">
        <v>120.1</v>
      </c>
      <c r="V361" s="1" t="n">
        <v>930</v>
      </c>
      <c r="W361" s="1" t="n">
        <v>93.4</v>
      </c>
      <c r="X361" s="1" t="n">
        <v>41.1</v>
      </c>
      <c r="Y361" s="1" t="n">
        <v>0</v>
      </c>
      <c r="Z361" s="1" t="n">
        <v>50</v>
      </c>
      <c r="AA361" s="1" t="n">
        <v>120</v>
      </c>
      <c r="AB361" s="7" t="s">
        <v>81</v>
      </c>
      <c r="AC361" s="7" t="s">
        <v>82</v>
      </c>
      <c r="AD361" s="7" t="s">
        <v>83</v>
      </c>
      <c r="AE361" s="7" t="s">
        <v>84</v>
      </c>
      <c r="AF361" s="4" t="n">
        <f aca="false">IF(T361="","",IF(T361&lt;=30,(50/30)*T361,IF(T361&lt;=60,50+((100-50)/(60-30))*(T361-30),IF(T361&lt;=90,100+((200-100)/(90-60))*(T361-60),IF(T361&lt;=120,200+((300-200)/(120-90))*(T361-90),IF(T361&lt;=250,300+((400-300)/(250-120))*(T361-120),IF(T361&lt;=380,400+((500-400)/(380-250))*(T361-250),500)))))))</f>
        <v>209</v>
      </c>
      <c r="AG361" s="4" t="n">
        <f aca="false">IF(U361="","",IF(U361&lt;=50,(50/50)*U361,IF(U361&lt;=100,50+((100-50)/(100-50))*(U361-50),IF(U361&lt;=250,100+((200-100)/(250-100))*(U361-100),IF(U361&lt;=350,200+((300-200)/(350-250))*(U361-250),IF(U361&lt;=430,300+((400-300)/(430-350))*(U361-350),IF(U361&lt;=600,400+((500-400)/(600-430))*(U361-430),500)))))))</f>
        <v>113.4</v>
      </c>
      <c r="AH361" s="4" t="n">
        <f aca="false">IF(V361="","",IF((V361/1000)&lt;=1,(50/1)*(V361/1000),IF((V361/1000)&lt;=2,50+((100-50)/(2-1))*(V361/1000-1),IF((V361/1000)&lt;=10,100+((200-100)/(10-2))*(V361/1000-2),IF((V361/1000)&lt;=17,200+((300-200)/(17-10))*(V361/1000-10),IF((V361/1000)&lt;=34,300+((400-300)/(34-17))*(V361/1000-17),IF((V361/1000)&lt;=57,400+((500-400)/(57-34))*(V361/1000-34),500)))))))</f>
        <v>46.5</v>
      </c>
      <c r="AI361" s="4" t="n">
        <f aca="false">IF(W361="","",IF(W361&lt;=40,(50/40)*W361,IF(W361&lt;=80,50+((100-50)/(80-40))*(W361-40),IF(W361&lt;=180,100+((200-100)/(180-80))*(W361-80),IF(W361&lt;=280,200+((300-200)/(280-180))*(W361-180),IF(W361&lt;=400,300+((400-300)/(400-280))*(W361-280),IF(W361&lt;=800,400+((500-400)/(800-400))*(W361-400),500)))))))</f>
        <v>113.4</v>
      </c>
      <c r="AJ361" s="4" t="n">
        <f aca="false">IF(X361="","",IF(X361&lt;=40,(50/40)*X361,IF(X361&lt;=80,50+((100-50)/(80-40))*(X361-40),IF(X361&lt;=380,100+((200-100)/(380-80))*(X361-80),IF(X361&lt;=800,200+((300-200)/(800-380))*(X361-380),IF(X361&lt;=1600,300+((400-300)/(1600-800))*(X361-800),IF(X361&lt;=2100,400+((500-400)/(2100-1600))*(X361-1600),500)))))))</f>
        <v>51.375</v>
      </c>
      <c r="AK361" s="4" t="n">
        <f aca="false">IF(Y361="","",IF(Y361&lt;=50,(50/50)*Y361,IF(Y361&lt;=100,50+((100-50)/(100-50))*(Y361-50),IF(Y361&lt;=168,100+((200-100)/(168-100))*(Y361-100),IF(Y361&lt;=208,200+((300-200)/(208-168))*(Y361-168),IF(Y361&lt;=748,300+((400-300)/(748-208))*(Y361-208),IF(Y361&lt;=1000,400+((500-400)/(1000-748))*(Y361-748),500)))))))</f>
        <v>0</v>
      </c>
      <c r="AL361" s="4" t="n">
        <f aca="false">ROUND(MAX(AF361,AG361,AH361,AI361,AJ361,AK361),0)</f>
        <v>209</v>
      </c>
      <c r="AM361" s="4" t="str">
        <f aca="false">IF(AL361="","",IF(AL361&lt;=50,"Good",IF(AL361&lt;=100,"Satisfactory",IF(AL361&lt;=200,"Moderate",IF(AL361&lt;=300,"Poor",IF(AL361&lt;=400,"Very Poor","Severe"))))))</f>
        <v>Poor</v>
      </c>
    </row>
    <row r="362" customFormat="false" ht="15.75" hidden="false" customHeight="false" outlineLevel="0" collapsed="false">
      <c r="A362" s="1" t="s">
        <v>39</v>
      </c>
      <c r="B362" s="1" t="s">
        <v>40</v>
      </c>
      <c r="C362" s="1" t="n">
        <v>28.4595</v>
      </c>
      <c r="D362" s="1" t="n">
        <v>77.0266</v>
      </c>
      <c r="E362" s="5" t="n">
        <v>45916</v>
      </c>
      <c r="F362" s="6" t="s">
        <v>41</v>
      </c>
      <c r="G362" s="1" t="n">
        <v>9</v>
      </c>
      <c r="H362" s="7" t="s">
        <v>78</v>
      </c>
      <c r="I362" s="6" t="s">
        <v>43</v>
      </c>
      <c r="J362" s="7" t="s">
        <v>44</v>
      </c>
      <c r="K362" s="7" t="s">
        <v>45</v>
      </c>
      <c r="L362" s="1" t="n">
        <v>82</v>
      </c>
      <c r="M362" s="1" t="n">
        <v>23.4</v>
      </c>
      <c r="N362" s="1" t="n">
        <v>9.4</v>
      </c>
      <c r="O362" s="1" t="n">
        <v>0</v>
      </c>
      <c r="P362" s="6" t="s">
        <v>43</v>
      </c>
      <c r="Q362" s="6" t="s">
        <v>43</v>
      </c>
      <c r="R362" s="1" t="n">
        <v>1004.7</v>
      </c>
      <c r="S362" s="1" t="n">
        <v>100</v>
      </c>
      <c r="T362" s="1" t="n">
        <v>93.8</v>
      </c>
      <c r="U362" s="1" t="n">
        <v>120.1</v>
      </c>
      <c r="V362" s="1" t="n">
        <v>705</v>
      </c>
      <c r="W362" s="1" t="n">
        <v>89.9</v>
      </c>
      <c r="X362" s="1" t="n">
        <v>39.8</v>
      </c>
      <c r="Y362" s="1" t="n">
        <v>0</v>
      </c>
      <c r="Z362" s="1" t="n">
        <v>47</v>
      </c>
      <c r="AA362" s="1" t="n">
        <v>120</v>
      </c>
      <c r="AB362" s="7" t="s">
        <v>81</v>
      </c>
      <c r="AC362" s="7" t="s">
        <v>82</v>
      </c>
      <c r="AD362" s="7" t="s">
        <v>83</v>
      </c>
      <c r="AE362" s="7" t="s">
        <v>84</v>
      </c>
      <c r="AF362" s="4" t="n">
        <f aca="false">IF(T362="","",IF(T362&lt;=30,(50/30)*T362,IF(T362&lt;=60,50+((100-50)/(60-30))*(T362-30),IF(T362&lt;=90,100+((200-100)/(90-60))*(T362-60),IF(T362&lt;=120,200+((300-200)/(120-90))*(T362-90),IF(T362&lt;=250,300+((400-300)/(250-120))*(T362-120),IF(T362&lt;=380,400+((500-400)/(380-250))*(T362-250),500)))))))</f>
        <v>212.666666666667</v>
      </c>
      <c r="AG362" s="4" t="n">
        <f aca="false">IF(U362="","",IF(U362&lt;=50,(50/50)*U362,IF(U362&lt;=100,50+((100-50)/(100-50))*(U362-50),IF(U362&lt;=250,100+((200-100)/(250-100))*(U362-100),IF(U362&lt;=350,200+((300-200)/(350-250))*(U362-250),IF(U362&lt;=430,300+((400-300)/(430-350))*(U362-350),IF(U362&lt;=600,400+((500-400)/(600-430))*(U362-430),500)))))))</f>
        <v>113.4</v>
      </c>
      <c r="AH362" s="4" t="n">
        <f aca="false">IF(V362="","",IF((V362/1000)&lt;=1,(50/1)*(V362/1000),IF((V362/1000)&lt;=2,50+((100-50)/(2-1))*(V362/1000-1),IF((V362/1000)&lt;=10,100+((200-100)/(10-2))*(V362/1000-2),IF((V362/1000)&lt;=17,200+((300-200)/(17-10))*(V362/1000-10),IF((V362/1000)&lt;=34,300+((400-300)/(34-17))*(V362/1000-17),IF((V362/1000)&lt;=57,400+((500-400)/(57-34))*(V362/1000-34),500)))))))</f>
        <v>35.25</v>
      </c>
      <c r="AI362" s="4" t="n">
        <f aca="false">IF(W362="","",IF(W362&lt;=40,(50/40)*W362,IF(W362&lt;=80,50+((100-50)/(80-40))*(W362-40),IF(W362&lt;=180,100+((200-100)/(180-80))*(W362-80),IF(W362&lt;=280,200+((300-200)/(280-180))*(W362-180),IF(W362&lt;=400,300+((400-300)/(400-280))*(W362-280),IF(W362&lt;=800,400+((500-400)/(800-400))*(W362-400),500)))))))</f>
        <v>109.9</v>
      </c>
      <c r="AJ362" s="4" t="n">
        <f aca="false">IF(X362="","",IF(X362&lt;=40,(50/40)*X362,IF(X362&lt;=80,50+((100-50)/(80-40))*(X362-40),IF(X362&lt;=380,100+((200-100)/(380-80))*(X362-80),IF(X362&lt;=800,200+((300-200)/(800-380))*(X362-380),IF(X362&lt;=1600,300+((400-300)/(1600-800))*(X362-800),IF(X362&lt;=2100,400+((500-400)/(2100-1600))*(X362-1600),500)))))))</f>
        <v>49.75</v>
      </c>
      <c r="AK362" s="4" t="n">
        <f aca="false">IF(Y362="","",IF(Y362&lt;=50,(50/50)*Y362,IF(Y362&lt;=100,50+((100-50)/(100-50))*(Y362-50),IF(Y362&lt;=168,100+((200-100)/(168-100))*(Y362-100),IF(Y362&lt;=208,200+((300-200)/(208-168))*(Y362-168),IF(Y362&lt;=748,300+((400-300)/(748-208))*(Y362-208),IF(Y362&lt;=1000,400+((500-400)/(1000-748))*(Y362-748),500)))))))</f>
        <v>0</v>
      </c>
      <c r="AL362" s="4" t="n">
        <f aca="false">ROUND(MAX(AF362,AG362,AH362,AI362,AJ362,AK362),0)</f>
        <v>213</v>
      </c>
      <c r="AM362" s="4" t="str">
        <f aca="false">IF(AL362="","",IF(AL362&lt;=50,"Good",IF(AL362&lt;=100,"Satisfactory",IF(AL362&lt;=200,"Moderate",IF(AL362&lt;=300,"Poor",IF(AL362&lt;=400,"Very Poor","Severe"))))))</f>
        <v>Poor</v>
      </c>
    </row>
    <row r="363" customFormat="false" ht="15.75" hidden="false" customHeight="false" outlineLevel="0" collapsed="false">
      <c r="A363" s="1" t="s">
        <v>39</v>
      </c>
      <c r="B363" s="1" t="s">
        <v>40</v>
      </c>
      <c r="C363" s="1" t="n">
        <v>28.4595</v>
      </c>
      <c r="D363" s="1" t="n">
        <v>77.0266</v>
      </c>
      <c r="E363" s="5" t="n">
        <v>45916</v>
      </c>
      <c r="F363" s="6" t="s">
        <v>49</v>
      </c>
      <c r="G363" s="1" t="n">
        <v>9</v>
      </c>
      <c r="H363" s="7" t="s">
        <v>78</v>
      </c>
      <c r="I363" s="6" t="s">
        <v>43</v>
      </c>
      <c r="J363" s="7" t="s">
        <v>44</v>
      </c>
      <c r="K363" s="7" t="s">
        <v>45</v>
      </c>
      <c r="L363" s="1" t="n">
        <v>86</v>
      </c>
      <c r="M363" s="1" t="n">
        <v>23.7</v>
      </c>
      <c r="N363" s="1" t="n">
        <v>7.9</v>
      </c>
      <c r="O363" s="1" t="n">
        <v>0</v>
      </c>
      <c r="P363" s="6" t="s">
        <v>43</v>
      </c>
      <c r="Q363" s="6" t="s">
        <v>43</v>
      </c>
      <c r="R363" s="1" t="n">
        <v>1004.2</v>
      </c>
      <c r="S363" s="1" t="n">
        <v>100</v>
      </c>
      <c r="T363" s="1" t="n">
        <v>89.2</v>
      </c>
      <c r="U363" s="1" t="n">
        <v>113.9</v>
      </c>
      <c r="V363" s="1" t="n">
        <v>534</v>
      </c>
      <c r="W363" s="1" t="n">
        <v>83.9</v>
      </c>
      <c r="X363" s="1" t="n">
        <v>35.4</v>
      </c>
      <c r="Y363" s="1" t="n">
        <v>0</v>
      </c>
      <c r="Z363" s="1" t="n">
        <v>43</v>
      </c>
      <c r="AA363" s="1" t="n">
        <v>121</v>
      </c>
      <c r="AB363" s="7" t="s">
        <v>81</v>
      </c>
      <c r="AC363" s="7" t="s">
        <v>82</v>
      </c>
      <c r="AD363" s="7" t="s">
        <v>83</v>
      </c>
      <c r="AE363" s="7" t="s">
        <v>84</v>
      </c>
      <c r="AF363" s="4" t="n">
        <f aca="false">IF(T363="","",IF(T363&lt;=30,(50/30)*T363,IF(T363&lt;=60,50+((100-50)/(60-30))*(T363-30),IF(T363&lt;=90,100+((200-100)/(90-60))*(T363-60),IF(T363&lt;=120,200+((300-200)/(120-90))*(T363-90),IF(T363&lt;=250,300+((400-300)/(250-120))*(T363-120),IF(T363&lt;=380,400+((500-400)/(380-250))*(T363-250),500)))))))</f>
        <v>197.333333333333</v>
      </c>
      <c r="AG363" s="4" t="n">
        <f aca="false">IF(U363="","",IF(U363&lt;=50,(50/50)*U363,IF(U363&lt;=100,50+((100-50)/(100-50))*(U363-50),IF(U363&lt;=250,100+((200-100)/(250-100))*(U363-100),IF(U363&lt;=350,200+((300-200)/(350-250))*(U363-250),IF(U363&lt;=430,300+((400-300)/(430-350))*(U363-350),IF(U363&lt;=600,400+((500-400)/(600-430))*(U363-430),500)))))))</f>
        <v>109.266666666667</v>
      </c>
      <c r="AH363" s="4" t="n">
        <f aca="false">IF(V363="","",IF((V363/1000)&lt;=1,(50/1)*(V363/1000),IF((V363/1000)&lt;=2,50+((100-50)/(2-1))*(V363/1000-1),IF((V363/1000)&lt;=10,100+((200-100)/(10-2))*(V363/1000-2),IF((V363/1000)&lt;=17,200+((300-200)/(17-10))*(V363/1000-10),IF((V363/1000)&lt;=34,300+((400-300)/(34-17))*(V363/1000-17),IF((V363/1000)&lt;=57,400+((500-400)/(57-34))*(V363/1000-34),500)))))))</f>
        <v>26.7</v>
      </c>
      <c r="AI363" s="4" t="n">
        <f aca="false">IF(W363="","",IF(W363&lt;=40,(50/40)*W363,IF(W363&lt;=80,50+((100-50)/(80-40))*(W363-40),IF(W363&lt;=180,100+((200-100)/(180-80))*(W363-80),IF(W363&lt;=280,200+((300-200)/(280-180))*(W363-180),IF(W363&lt;=400,300+((400-300)/(400-280))*(W363-280),IF(W363&lt;=800,400+((500-400)/(800-400))*(W363-400),500)))))))</f>
        <v>103.9</v>
      </c>
      <c r="AJ363" s="4" t="n">
        <f aca="false">IF(X363="","",IF(X363&lt;=40,(50/40)*X363,IF(X363&lt;=80,50+((100-50)/(80-40))*(X363-40),IF(X363&lt;=380,100+((200-100)/(380-80))*(X363-80),IF(X363&lt;=800,200+((300-200)/(800-380))*(X363-380),IF(X363&lt;=1600,300+((400-300)/(1600-800))*(X363-800),IF(X363&lt;=2100,400+((500-400)/(2100-1600))*(X363-1600),500)))))))</f>
        <v>44.25</v>
      </c>
      <c r="AK363" s="4" t="n">
        <f aca="false">IF(Y363="","",IF(Y363&lt;=50,(50/50)*Y363,IF(Y363&lt;=100,50+((100-50)/(100-50))*(Y363-50),IF(Y363&lt;=168,100+((200-100)/(168-100))*(Y363-100),IF(Y363&lt;=208,200+((300-200)/(208-168))*(Y363-168),IF(Y363&lt;=748,300+((400-300)/(748-208))*(Y363-208),IF(Y363&lt;=1000,400+((500-400)/(1000-748))*(Y363-748),500)))))))</f>
        <v>0</v>
      </c>
      <c r="AL363" s="4" t="n">
        <f aca="false">ROUND(MAX(AF363,AG363,AH363,AI363,AJ363,AK363),0)</f>
        <v>197</v>
      </c>
      <c r="AM363" s="4" t="str">
        <f aca="false">IF(AL363="","",IF(AL363&lt;=50,"Good",IF(AL363&lt;=100,"Satisfactory",IF(AL363&lt;=200,"Moderate",IF(AL363&lt;=300,"Poor",IF(AL363&lt;=400,"Very Poor","Severe"))))))</f>
        <v>Moderate</v>
      </c>
    </row>
    <row r="364" customFormat="false" ht="15.75" hidden="false" customHeight="false" outlineLevel="0" collapsed="false">
      <c r="A364" s="1" t="s">
        <v>39</v>
      </c>
      <c r="B364" s="1" t="s">
        <v>40</v>
      </c>
      <c r="C364" s="1" t="n">
        <v>28.4595</v>
      </c>
      <c r="D364" s="1" t="n">
        <v>77.0266</v>
      </c>
      <c r="E364" s="5" t="n">
        <v>45916</v>
      </c>
      <c r="F364" s="6" t="s">
        <v>51</v>
      </c>
      <c r="G364" s="1" t="n">
        <v>9</v>
      </c>
      <c r="H364" s="7" t="s">
        <v>78</v>
      </c>
      <c r="I364" s="6" t="s">
        <v>43</v>
      </c>
      <c r="J364" s="7" t="s">
        <v>44</v>
      </c>
      <c r="K364" s="7" t="s">
        <v>45</v>
      </c>
      <c r="L364" s="1" t="n">
        <v>86</v>
      </c>
      <c r="M364" s="1" t="n">
        <v>23.4</v>
      </c>
      <c r="N364" s="1" t="n">
        <v>3.2</v>
      </c>
      <c r="O364" s="1" t="n">
        <v>0</v>
      </c>
      <c r="P364" s="6" t="s">
        <v>43</v>
      </c>
      <c r="Q364" s="6" t="s">
        <v>43</v>
      </c>
      <c r="R364" s="1" t="n">
        <v>1003.9</v>
      </c>
      <c r="S364" s="1" t="n">
        <v>100</v>
      </c>
      <c r="T364" s="1" t="n">
        <v>83.8</v>
      </c>
      <c r="U364" s="1" t="n">
        <v>105.7</v>
      </c>
      <c r="V364" s="1" t="n">
        <v>420</v>
      </c>
      <c r="W364" s="1" t="n">
        <v>78.3</v>
      </c>
      <c r="X364" s="1" t="n">
        <v>31.2</v>
      </c>
      <c r="Y364" s="1" t="n">
        <v>0</v>
      </c>
      <c r="Z364" s="1" t="n">
        <v>39</v>
      </c>
      <c r="AA364" s="1" t="n">
        <v>123</v>
      </c>
      <c r="AB364" s="7" t="s">
        <v>81</v>
      </c>
      <c r="AC364" s="7" t="s">
        <v>82</v>
      </c>
      <c r="AD364" s="7" t="s">
        <v>83</v>
      </c>
      <c r="AE364" s="7" t="s">
        <v>84</v>
      </c>
      <c r="AF364" s="4" t="n">
        <f aca="false">IF(T364="","",IF(T364&lt;=30,(50/30)*T364,IF(T364&lt;=60,50+((100-50)/(60-30))*(T364-30),IF(T364&lt;=90,100+((200-100)/(90-60))*(T364-60),IF(T364&lt;=120,200+((300-200)/(120-90))*(T364-90),IF(T364&lt;=250,300+((400-300)/(250-120))*(T364-120),IF(T364&lt;=380,400+((500-400)/(380-250))*(T364-250),500)))))))</f>
        <v>179.333333333333</v>
      </c>
      <c r="AG364" s="4" t="n">
        <f aca="false">IF(U364="","",IF(U364&lt;=50,(50/50)*U364,IF(U364&lt;=100,50+((100-50)/(100-50))*(U364-50),IF(U364&lt;=250,100+((200-100)/(250-100))*(U364-100),IF(U364&lt;=350,200+((300-200)/(350-250))*(U364-250),IF(U364&lt;=430,300+((400-300)/(430-350))*(U364-350),IF(U364&lt;=600,400+((500-400)/(600-430))*(U364-430),500)))))))</f>
        <v>103.8</v>
      </c>
      <c r="AH364" s="4" t="n">
        <f aca="false">IF(V364="","",IF((V364/1000)&lt;=1,(50/1)*(V364/1000),IF((V364/1000)&lt;=2,50+((100-50)/(2-1))*(V364/1000-1),IF((V364/1000)&lt;=10,100+((200-100)/(10-2))*(V364/1000-2),IF((V364/1000)&lt;=17,200+((300-200)/(17-10))*(V364/1000-10),IF((V364/1000)&lt;=34,300+((400-300)/(34-17))*(V364/1000-17),IF((V364/1000)&lt;=57,400+((500-400)/(57-34))*(V364/1000-34),500)))))))</f>
        <v>21</v>
      </c>
      <c r="AI364" s="4" t="n">
        <f aca="false">IF(W364="","",IF(W364&lt;=40,(50/40)*W364,IF(W364&lt;=80,50+((100-50)/(80-40))*(W364-40),IF(W364&lt;=180,100+((200-100)/(180-80))*(W364-80),IF(W364&lt;=280,200+((300-200)/(280-180))*(W364-180),IF(W364&lt;=400,300+((400-300)/(400-280))*(W364-280),IF(W364&lt;=800,400+((500-400)/(800-400))*(W364-400),500)))))))</f>
        <v>97.875</v>
      </c>
      <c r="AJ364" s="4" t="n">
        <f aca="false">IF(X364="","",IF(X364&lt;=40,(50/40)*X364,IF(X364&lt;=80,50+((100-50)/(80-40))*(X364-40),IF(X364&lt;=380,100+((200-100)/(380-80))*(X364-80),IF(X364&lt;=800,200+((300-200)/(800-380))*(X364-380),IF(X364&lt;=1600,300+((400-300)/(1600-800))*(X364-800),IF(X364&lt;=2100,400+((500-400)/(2100-1600))*(X364-1600),500)))))))</f>
        <v>39</v>
      </c>
      <c r="AK364" s="4" t="n">
        <f aca="false">IF(Y364="","",IF(Y364&lt;=50,(50/50)*Y364,IF(Y364&lt;=100,50+((100-50)/(100-50))*(Y364-50),IF(Y364&lt;=168,100+((200-100)/(168-100))*(Y364-100),IF(Y364&lt;=208,200+((300-200)/(208-168))*(Y364-168),IF(Y364&lt;=748,300+((400-300)/(748-208))*(Y364-208),IF(Y364&lt;=1000,400+((500-400)/(1000-748))*(Y364-748),500)))))))</f>
        <v>0</v>
      </c>
      <c r="AL364" s="4" t="n">
        <f aca="false">ROUND(MAX(AF364,AG364,AH364,AI364,AJ364,AK364),0)</f>
        <v>179</v>
      </c>
      <c r="AM364" s="4" t="str">
        <f aca="false">IF(AL364="","",IF(AL364&lt;=50,"Good",IF(AL364&lt;=100,"Satisfactory",IF(AL364&lt;=200,"Moderate",IF(AL364&lt;=300,"Poor",IF(AL364&lt;=400,"Very Poor","Severe"))))))</f>
        <v>Moderate</v>
      </c>
    </row>
    <row r="365" customFormat="false" ht="15.75" hidden="false" customHeight="false" outlineLevel="0" collapsed="false">
      <c r="A365" s="1" t="s">
        <v>39</v>
      </c>
      <c r="B365" s="1" t="s">
        <v>40</v>
      </c>
      <c r="C365" s="1" t="n">
        <v>28.4595</v>
      </c>
      <c r="D365" s="1" t="n">
        <v>77.0266</v>
      </c>
      <c r="E365" s="5" t="n">
        <v>45916</v>
      </c>
      <c r="F365" s="6" t="s">
        <v>52</v>
      </c>
      <c r="G365" s="1" t="n">
        <v>9</v>
      </c>
      <c r="H365" s="7" t="s">
        <v>78</v>
      </c>
      <c r="I365" s="6" t="s">
        <v>43</v>
      </c>
      <c r="J365" s="7" t="s">
        <v>44</v>
      </c>
      <c r="K365" s="7" t="s">
        <v>45</v>
      </c>
      <c r="L365" s="1" t="n">
        <v>86</v>
      </c>
      <c r="M365" s="1" t="n">
        <v>23.1</v>
      </c>
      <c r="N365" s="1" t="n">
        <v>4</v>
      </c>
      <c r="O365" s="1" t="n">
        <v>0</v>
      </c>
      <c r="P365" s="6" t="s">
        <v>43</v>
      </c>
      <c r="Q365" s="6" t="s">
        <v>43</v>
      </c>
      <c r="R365" s="1" t="n">
        <v>1003.9</v>
      </c>
      <c r="S365" s="1" t="n">
        <v>94</v>
      </c>
      <c r="T365" s="1" t="n">
        <v>79.2</v>
      </c>
      <c r="U365" s="1" t="n">
        <v>98.5</v>
      </c>
      <c r="V365" s="1" t="n">
        <v>383</v>
      </c>
      <c r="W365" s="1" t="n">
        <v>74.7</v>
      </c>
      <c r="X365" s="1" t="n">
        <v>28.1</v>
      </c>
      <c r="Y365" s="1" t="n">
        <v>0</v>
      </c>
      <c r="Z365" s="1" t="n">
        <v>34</v>
      </c>
      <c r="AA365" s="1" t="n">
        <v>124</v>
      </c>
      <c r="AB365" s="7" t="s">
        <v>81</v>
      </c>
      <c r="AC365" s="7" t="s">
        <v>82</v>
      </c>
      <c r="AD365" s="7" t="s">
        <v>83</v>
      </c>
      <c r="AE365" s="7" t="s">
        <v>84</v>
      </c>
      <c r="AF365" s="4" t="n">
        <f aca="false">IF(T365="","",IF(T365&lt;=30,(50/30)*T365,IF(T365&lt;=60,50+((100-50)/(60-30))*(T365-30),IF(T365&lt;=90,100+((200-100)/(90-60))*(T365-60),IF(T365&lt;=120,200+((300-200)/(120-90))*(T365-90),IF(T365&lt;=250,300+((400-300)/(250-120))*(T365-120),IF(T365&lt;=380,400+((500-400)/(380-250))*(T365-250),500)))))))</f>
        <v>164</v>
      </c>
      <c r="AG365" s="4" t="n">
        <f aca="false">IF(U365="","",IF(U365&lt;=50,(50/50)*U365,IF(U365&lt;=100,50+((100-50)/(100-50))*(U365-50),IF(U365&lt;=250,100+((200-100)/(250-100))*(U365-100),IF(U365&lt;=350,200+((300-200)/(350-250))*(U365-250),IF(U365&lt;=430,300+((400-300)/(430-350))*(U365-350),IF(U365&lt;=600,400+((500-400)/(600-430))*(U365-430),500)))))))</f>
        <v>98.5</v>
      </c>
      <c r="AH365" s="4" t="n">
        <f aca="false">IF(V365="","",IF((V365/1000)&lt;=1,(50/1)*(V365/1000),IF((V365/1000)&lt;=2,50+((100-50)/(2-1))*(V365/1000-1),IF((V365/1000)&lt;=10,100+((200-100)/(10-2))*(V365/1000-2),IF((V365/1000)&lt;=17,200+((300-200)/(17-10))*(V365/1000-10),IF((V365/1000)&lt;=34,300+((400-300)/(34-17))*(V365/1000-17),IF((V365/1000)&lt;=57,400+((500-400)/(57-34))*(V365/1000-34),500)))))))</f>
        <v>19.15</v>
      </c>
      <c r="AI365" s="4" t="n">
        <f aca="false">IF(W365="","",IF(W365&lt;=40,(50/40)*W365,IF(W365&lt;=80,50+((100-50)/(80-40))*(W365-40),IF(W365&lt;=180,100+((200-100)/(180-80))*(W365-80),IF(W365&lt;=280,200+((300-200)/(280-180))*(W365-180),IF(W365&lt;=400,300+((400-300)/(400-280))*(W365-280),IF(W365&lt;=800,400+((500-400)/(800-400))*(W365-400),500)))))))</f>
        <v>93.375</v>
      </c>
      <c r="AJ365" s="4" t="n">
        <f aca="false">IF(X365="","",IF(X365&lt;=40,(50/40)*X365,IF(X365&lt;=80,50+((100-50)/(80-40))*(X365-40),IF(X365&lt;=380,100+((200-100)/(380-80))*(X365-80),IF(X365&lt;=800,200+((300-200)/(800-380))*(X365-380),IF(X365&lt;=1600,300+((400-300)/(1600-800))*(X365-800),IF(X365&lt;=2100,400+((500-400)/(2100-1600))*(X365-1600),500)))))))</f>
        <v>35.125</v>
      </c>
      <c r="AK365" s="4" t="n">
        <f aca="false">IF(Y365="","",IF(Y365&lt;=50,(50/50)*Y365,IF(Y365&lt;=100,50+((100-50)/(100-50))*(Y365-50),IF(Y365&lt;=168,100+((200-100)/(168-100))*(Y365-100),IF(Y365&lt;=208,200+((300-200)/(208-168))*(Y365-168),IF(Y365&lt;=748,300+((400-300)/(748-208))*(Y365-208),IF(Y365&lt;=1000,400+((500-400)/(1000-748))*(Y365-748),500)))))))</f>
        <v>0</v>
      </c>
      <c r="AL365" s="4" t="n">
        <f aca="false">ROUND(MAX(AF365,AG365,AH365,AI365,AJ365,AK365),0)</f>
        <v>164</v>
      </c>
      <c r="AM365" s="4" t="str">
        <f aca="false">IF(AL365="","",IF(AL365&lt;=50,"Good",IF(AL365&lt;=100,"Satisfactory",IF(AL365&lt;=200,"Moderate",IF(AL365&lt;=300,"Poor",IF(AL365&lt;=400,"Very Poor","Severe"))))))</f>
        <v>Moderate</v>
      </c>
    </row>
    <row r="366" customFormat="false" ht="15.75" hidden="false" customHeight="false" outlineLevel="0" collapsed="false">
      <c r="A366" s="1" t="s">
        <v>39</v>
      </c>
      <c r="B366" s="1" t="s">
        <v>40</v>
      </c>
      <c r="C366" s="1" t="n">
        <v>28.4595</v>
      </c>
      <c r="D366" s="1" t="n">
        <v>77.0266</v>
      </c>
      <c r="E366" s="5" t="n">
        <v>45916</v>
      </c>
      <c r="F366" s="6" t="s">
        <v>53</v>
      </c>
      <c r="G366" s="1" t="n">
        <v>9</v>
      </c>
      <c r="H366" s="7" t="s">
        <v>78</v>
      </c>
      <c r="I366" s="6" t="s">
        <v>43</v>
      </c>
      <c r="J366" s="7" t="s">
        <v>44</v>
      </c>
      <c r="K366" s="7" t="s">
        <v>45</v>
      </c>
      <c r="L366" s="1" t="n">
        <v>87</v>
      </c>
      <c r="M366" s="1" t="n">
        <v>23.1</v>
      </c>
      <c r="N366" s="1" t="n">
        <v>5</v>
      </c>
      <c r="O366" s="1" t="n">
        <v>0</v>
      </c>
      <c r="P366" s="6" t="s">
        <v>43</v>
      </c>
      <c r="Q366" s="6" t="s">
        <v>43</v>
      </c>
      <c r="R366" s="1" t="n">
        <v>1004.4</v>
      </c>
      <c r="S366" s="1" t="n">
        <v>25</v>
      </c>
      <c r="T366" s="1" t="n">
        <v>76.1</v>
      </c>
      <c r="U366" s="1" t="n">
        <v>92.9</v>
      </c>
      <c r="V366" s="1" t="n">
        <v>403</v>
      </c>
      <c r="W366" s="1" t="n">
        <v>71.6</v>
      </c>
      <c r="X366" s="1" t="n">
        <v>25.1</v>
      </c>
      <c r="Y366" s="1" t="n">
        <v>0</v>
      </c>
      <c r="Z366" s="1" t="n">
        <v>29</v>
      </c>
      <c r="AA366" s="1" t="n">
        <v>126</v>
      </c>
      <c r="AB366" s="7" t="s">
        <v>81</v>
      </c>
      <c r="AC366" s="7" t="s">
        <v>82</v>
      </c>
      <c r="AD366" s="7" t="s">
        <v>83</v>
      </c>
      <c r="AE366" s="7" t="s">
        <v>84</v>
      </c>
      <c r="AF366" s="4" t="n">
        <f aca="false">IF(T366="","",IF(T366&lt;=30,(50/30)*T366,IF(T366&lt;=60,50+((100-50)/(60-30))*(T366-30),IF(T366&lt;=90,100+((200-100)/(90-60))*(T366-60),IF(T366&lt;=120,200+((300-200)/(120-90))*(T366-90),IF(T366&lt;=250,300+((400-300)/(250-120))*(T366-120),IF(T366&lt;=380,400+((500-400)/(380-250))*(T366-250),500)))))))</f>
        <v>153.666666666667</v>
      </c>
      <c r="AG366" s="4" t="n">
        <f aca="false">IF(U366="","",IF(U366&lt;=50,(50/50)*U366,IF(U366&lt;=100,50+((100-50)/(100-50))*(U366-50),IF(U366&lt;=250,100+((200-100)/(250-100))*(U366-100),IF(U366&lt;=350,200+((300-200)/(350-250))*(U366-250),IF(U366&lt;=430,300+((400-300)/(430-350))*(U366-350),IF(U366&lt;=600,400+((500-400)/(600-430))*(U366-430),500)))))))</f>
        <v>92.9</v>
      </c>
      <c r="AH366" s="4" t="n">
        <f aca="false">IF(V366="","",IF((V366/1000)&lt;=1,(50/1)*(V366/1000),IF((V366/1000)&lt;=2,50+((100-50)/(2-1))*(V366/1000-1),IF((V366/1000)&lt;=10,100+((200-100)/(10-2))*(V366/1000-2),IF((V366/1000)&lt;=17,200+((300-200)/(17-10))*(V366/1000-10),IF((V366/1000)&lt;=34,300+((400-300)/(34-17))*(V366/1000-17),IF((V366/1000)&lt;=57,400+((500-400)/(57-34))*(V366/1000-34),500)))))))</f>
        <v>20.15</v>
      </c>
      <c r="AI366" s="4" t="n">
        <f aca="false">IF(W366="","",IF(W366&lt;=40,(50/40)*W366,IF(W366&lt;=80,50+((100-50)/(80-40))*(W366-40),IF(W366&lt;=180,100+((200-100)/(180-80))*(W366-80),IF(W366&lt;=280,200+((300-200)/(280-180))*(W366-180),IF(W366&lt;=400,300+((400-300)/(400-280))*(W366-280),IF(W366&lt;=800,400+((500-400)/(800-400))*(W366-400),500)))))))</f>
        <v>89.5</v>
      </c>
      <c r="AJ366" s="4" t="n">
        <f aca="false">IF(X366="","",IF(X366&lt;=40,(50/40)*X366,IF(X366&lt;=80,50+((100-50)/(80-40))*(X366-40),IF(X366&lt;=380,100+((200-100)/(380-80))*(X366-80),IF(X366&lt;=800,200+((300-200)/(800-380))*(X366-380),IF(X366&lt;=1600,300+((400-300)/(1600-800))*(X366-800),IF(X366&lt;=2100,400+((500-400)/(2100-1600))*(X366-1600),500)))))))</f>
        <v>31.375</v>
      </c>
      <c r="AK366" s="4" t="n">
        <f aca="false">IF(Y366="","",IF(Y366&lt;=50,(50/50)*Y366,IF(Y366&lt;=100,50+((100-50)/(100-50))*(Y366-50),IF(Y366&lt;=168,100+((200-100)/(168-100))*(Y366-100),IF(Y366&lt;=208,200+((300-200)/(208-168))*(Y366-168),IF(Y366&lt;=748,300+((400-300)/(748-208))*(Y366-208),IF(Y366&lt;=1000,400+((500-400)/(1000-748))*(Y366-748),500)))))))</f>
        <v>0</v>
      </c>
      <c r="AL366" s="4" t="n">
        <f aca="false">ROUND(MAX(AF366,AG366,AH366,AI366,AJ366,AK366),0)</f>
        <v>154</v>
      </c>
      <c r="AM366" s="4" t="str">
        <f aca="false">IF(AL366="","",IF(AL366&lt;=50,"Good",IF(AL366&lt;=100,"Satisfactory",IF(AL366&lt;=200,"Moderate",IF(AL366&lt;=300,"Poor",IF(AL366&lt;=400,"Very Poor","Severe"))))))</f>
        <v>Moderate</v>
      </c>
    </row>
    <row r="367" customFormat="false" ht="15.75" hidden="false" customHeight="false" outlineLevel="0" collapsed="false">
      <c r="A367" s="1" t="s">
        <v>39</v>
      </c>
      <c r="B367" s="1" t="s">
        <v>40</v>
      </c>
      <c r="C367" s="1" t="n">
        <v>28.4595</v>
      </c>
      <c r="D367" s="1" t="n">
        <v>77.0266</v>
      </c>
      <c r="E367" s="5" t="n">
        <v>45916</v>
      </c>
      <c r="F367" s="6" t="s">
        <v>54</v>
      </c>
      <c r="G367" s="1" t="n">
        <v>9</v>
      </c>
      <c r="H367" s="7" t="s">
        <v>78</v>
      </c>
      <c r="I367" s="6" t="s">
        <v>43</v>
      </c>
      <c r="J367" s="7" t="s">
        <v>44</v>
      </c>
      <c r="K367" s="7" t="s">
        <v>45</v>
      </c>
      <c r="L367" s="1" t="n">
        <v>88</v>
      </c>
      <c r="M367" s="1" t="n">
        <v>22.9</v>
      </c>
      <c r="N367" s="1" t="n">
        <v>5.4</v>
      </c>
      <c r="O367" s="1" t="n">
        <v>0</v>
      </c>
      <c r="P367" s="6" t="s">
        <v>43</v>
      </c>
      <c r="Q367" s="6" t="s">
        <v>43</v>
      </c>
      <c r="R367" s="1" t="n">
        <v>1004.8</v>
      </c>
      <c r="S367" s="1" t="n">
        <v>12</v>
      </c>
      <c r="T367" s="1" t="n">
        <v>36.3</v>
      </c>
      <c r="U367" s="1" t="n">
        <v>44</v>
      </c>
      <c r="V367" s="1" t="n">
        <v>421</v>
      </c>
      <c r="W367" s="1" t="n">
        <v>48</v>
      </c>
      <c r="X367" s="1" t="n">
        <v>13.3</v>
      </c>
      <c r="Y367" s="1" t="n">
        <v>13</v>
      </c>
      <c r="Z367" s="1" t="n">
        <v>15</v>
      </c>
      <c r="AA367" s="1" t="n">
        <v>127</v>
      </c>
      <c r="AB367" s="7" t="s">
        <v>81</v>
      </c>
      <c r="AC367" s="7" t="s">
        <v>82</v>
      </c>
      <c r="AD367" s="7" t="s">
        <v>83</v>
      </c>
      <c r="AE367" s="7" t="s">
        <v>84</v>
      </c>
      <c r="AF367" s="4" t="n">
        <f aca="false">IF(T367="","",IF(T367&lt;=30,(50/30)*T367,IF(T367&lt;=60,50+((100-50)/(60-30))*(T367-30),IF(T367&lt;=90,100+((200-100)/(90-60))*(T367-60),IF(T367&lt;=120,200+((300-200)/(120-90))*(T367-90),IF(T367&lt;=250,300+((400-300)/(250-120))*(T367-120),IF(T367&lt;=380,400+((500-400)/(380-250))*(T367-250),500)))))))</f>
        <v>60.5</v>
      </c>
      <c r="AG367" s="4" t="n">
        <f aca="false">IF(U367="","",IF(U367&lt;=50,(50/50)*U367,IF(U367&lt;=100,50+((100-50)/(100-50))*(U367-50),IF(U367&lt;=250,100+((200-100)/(250-100))*(U367-100),IF(U367&lt;=350,200+((300-200)/(350-250))*(U367-250),IF(U367&lt;=430,300+((400-300)/(430-350))*(U367-350),IF(U367&lt;=600,400+((500-400)/(600-430))*(U367-430),500)))))))</f>
        <v>44</v>
      </c>
      <c r="AH367" s="4" t="n">
        <f aca="false">IF(V367="","",IF((V367/1000)&lt;=1,(50/1)*(V367/1000),IF((V367/1000)&lt;=2,50+((100-50)/(2-1))*(V367/1000-1),IF((V367/1000)&lt;=10,100+((200-100)/(10-2))*(V367/1000-2),IF((V367/1000)&lt;=17,200+((300-200)/(17-10))*(V367/1000-10),IF((V367/1000)&lt;=34,300+((400-300)/(34-17))*(V367/1000-17),IF((V367/1000)&lt;=57,400+((500-400)/(57-34))*(V367/1000-34),500)))))))</f>
        <v>21.05</v>
      </c>
      <c r="AI367" s="4" t="n">
        <f aca="false">IF(W367="","",IF(W367&lt;=40,(50/40)*W367,IF(W367&lt;=80,50+((100-50)/(80-40))*(W367-40),IF(W367&lt;=180,100+((200-100)/(180-80))*(W367-80),IF(W367&lt;=280,200+((300-200)/(280-180))*(W367-180),IF(W367&lt;=400,300+((400-300)/(400-280))*(W367-280),IF(W367&lt;=800,400+((500-400)/(800-400))*(W367-400),500)))))))</f>
        <v>60</v>
      </c>
      <c r="AJ367" s="4" t="n">
        <f aca="false">IF(X367="","",IF(X367&lt;=40,(50/40)*X367,IF(X367&lt;=80,50+((100-50)/(80-40))*(X367-40),IF(X367&lt;=380,100+((200-100)/(380-80))*(X367-80),IF(X367&lt;=800,200+((300-200)/(800-380))*(X367-380),IF(X367&lt;=1600,300+((400-300)/(1600-800))*(X367-800),IF(X367&lt;=2100,400+((500-400)/(2100-1600))*(X367-1600),500)))))))</f>
        <v>16.625</v>
      </c>
      <c r="AK367" s="4" t="n">
        <f aca="false">IF(Y367="","",IF(Y367&lt;=50,(50/50)*Y367,IF(Y367&lt;=100,50+((100-50)/(100-50))*(Y367-50),IF(Y367&lt;=168,100+((200-100)/(168-100))*(Y367-100),IF(Y367&lt;=208,200+((300-200)/(208-168))*(Y367-168),IF(Y367&lt;=748,300+((400-300)/(748-208))*(Y367-208),IF(Y367&lt;=1000,400+((500-400)/(1000-748))*(Y367-748),500)))))))</f>
        <v>13</v>
      </c>
      <c r="AL367" s="4" t="n">
        <f aca="false">ROUND(MAX(AF367,AG367,AH367,AI367,AJ367,AK367),0)</f>
        <v>61</v>
      </c>
      <c r="AM367" s="4" t="str">
        <f aca="false">IF(AL367="","",IF(AL367&lt;=50,"Good",IF(AL367&lt;=100,"Satisfactory",IF(AL367&lt;=200,"Moderate",IF(AL367&lt;=300,"Poor",IF(AL367&lt;=400,"Very Poor","Severe"))))))</f>
        <v>Satisfactory</v>
      </c>
    </row>
    <row r="368" customFormat="false" ht="15.75" hidden="false" customHeight="false" outlineLevel="0" collapsed="false">
      <c r="A368" s="1" t="s">
        <v>39</v>
      </c>
      <c r="B368" s="1" t="s">
        <v>40</v>
      </c>
      <c r="C368" s="1" t="n">
        <v>28.4595</v>
      </c>
      <c r="D368" s="1" t="n">
        <v>77.0266</v>
      </c>
      <c r="E368" s="5" t="n">
        <v>45916</v>
      </c>
      <c r="F368" s="6" t="s">
        <v>55</v>
      </c>
      <c r="G368" s="1" t="n">
        <v>9</v>
      </c>
      <c r="H368" s="7" t="s">
        <v>78</v>
      </c>
      <c r="I368" s="6" t="s">
        <v>43</v>
      </c>
      <c r="J368" s="7" t="s">
        <v>44</v>
      </c>
      <c r="K368" s="7" t="s">
        <v>56</v>
      </c>
      <c r="L368" s="1" t="n">
        <v>74</v>
      </c>
      <c r="M368" s="1" t="n">
        <v>21.3</v>
      </c>
      <c r="N368" s="1" t="n">
        <v>20.5</v>
      </c>
      <c r="O368" s="1" t="n">
        <v>0</v>
      </c>
      <c r="P368" s="6" t="s">
        <v>43</v>
      </c>
      <c r="Q368" s="6" t="s">
        <v>43</v>
      </c>
      <c r="R368" s="1" t="n">
        <v>1005.2</v>
      </c>
      <c r="S368" s="1" t="n">
        <v>98</v>
      </c>
      <c r="T368" s="1" t="n">
        <v>37.6</v>
      </c>
      <c r="U368" s="1" t="n">
        <v>43.1</v>
      </c>
      <c r="V368" s="1" t="n">
        <v>424</v>
      </c>
      <c r="W368" s="1" t="n">
        <v>41.5</v>
      </c>
      <c r="X368" s="1" t="n">
        <v>13.5</v>
      </c>
      <c r="Y368" s="1" t="n">
        <v>23</v>
      </c>
      <c r="Z368" s="1" t="n">
        <v>12</v>
      </c>
      <c r="AA368" s="1" t="n">
        <v>126</v>
      </c>
      <c r="AB368" s="7" t="s">
        <v>81</v>
      </c>
      <c r="AC368" s="7" t="s">
        <v>82</v>
      </c>
      <c r="AD368" s="7" t="s">
        <v>83</v>
      </c>
      <c r="AE368" s="7" t="s">
        <v>84</v>
      </c>
      <c r="AF368" s="4" t="n">
        <f aca="false">IF(T368="","",IF(T368&lt;=30,(50/30)*T368,IF(T368&lt;=60,50+((100-50)/(60-30))*(T368-30),IF(T368&lt;=90,100+((200-100)/(90-60))*(T368-60),IF(T368&lt;=120,200+((300-200)/(120-90))*(T368-90),IF(T368&lt;=250,300+((400-300)/(250-120))*(T368-120),IF(T368&lt;=380,400+((500-400)/(380-250))*(T368-250),500)))))))</f>
        <v>62.6666666666667</v>
      </c>
      <c r="AG368" s="4" t="n">
        <f aca="false">IF(U368="","",IF(U368&lt;=50,(50/50)*U368,IF(U368&lt;=100,50+((100-50)/(100-50))*(U368-50),IF(U368&lt;=250,100+((200-100)/(250-100))*(U368-100),IF(U368&lt;=350,200+((300-200)/(350-250))*(U368-250),IF(U368&lt;=430,300+((400-300)/(430-350))*(U368-350),IF(U368&lt;=600,400+((500-400)/(600-430))*(U368-430),500)))))))</f>
        <v>43.1</v>
      </c>
      <c r="AH368" s="4" t="n">
        <f aca="false">IF(V368="","",IF((V368/1000)&lt;=1,(50/1)*(V368/1000),IF((V368/1000)&lt;=2,50+((100-50)/(2-1))*(V368/1000-1),IF((V368/1000)&lt;=10,100+((200-100)/(10-2))*(V368/1000-2),IF((V368/1000)&lt;=17,200+((300-200)/(17-10))*(V368/1000-10),IF((V368/1000)&lt;=34,300+((400-300)/(34-17))*(V368/1000-17),IF((V368/1000)&lt;=57,400+((500-400)/(57-34))*(V368/1000-34),500)))))))</f>
        <v>21.2</v>
      </c>
      <c r="AI368" s="4" t="n">
        <f aca="false">IF(W368="","",IF(W368&lt;=40,(50/40)*W368,IF(W368&lt;=80,50+((100-50)/(80-40))*(W368-40),IF(W368&lt;=180,100+((200-100)/(180-80))*(W368-80),IF(W368&lt;=280,200+((300-200)/(280-180))*(W368-180),IF(W368&lt;=400,300+((400-300)/(400-280))*(W368-280),IF(W368&lt;=800,400+((500-400)/(800-400))*(W368-400),500)))))))</f>
        <v>51.875</v>
      </c>
      <c r="AJ368" s="4" t="n">
        <f aca="false">IF(X368="","",IF(X368&lt;=40,(50/40)*X368,IF(X368&lt;=80,50+((100-50)/(80-40))*(X368-40),IF(X368&lt;=380,100+((200-100)/(380-80))*(X368-80),IF(X368&lt;=800,200+((300-200)/(800-380))*(X368-380),IF(X368&lt;=1600,300+((400-300)/(1600-800))*(X368-800),IF(X368&lt;=2100,400+((500-400)/(2100-1600))*(X368-1600),500)))))))</f>
        <v>16.875</v>
      </c>
      <c r="AK368" s="4" t="n">
        <f aca="false">IF(Y368="","",IF(Y368&lt;=50,(50/50)*Y368,IF(Y368&lt;=100,50+((100-50)/(100-50))*(Y368-50),IF(Y368&lt;=168,100+((200-100)/(168-100))*(Y368-100),IF(Y368&lt;=208,200+((300-200)/(208-168))*(Y368-168),IF(Y368&lt;=748,300+((400-300)/(748-208))*(Y368-208),IF(Y368&lt;=1000,400+((500-400)/(1000-748))*(Y368-748),500)))))))</f>
        <v>23</v>
      </c>
      <c r="AL368" s="4" t="n">
        <f aca="false">ROUND(MAX(AF368,AG368,AH368,AI368,AJ368,AK368),0)</f>
        <v>63</v>
      </c>
      <c r="AM368" s="4" t="str">
        <f aca="false">IF(AL368="","",IF(AL368&lt;=50,"Good",IF(AL368&lt;=100,"Satisfactory",IF(AL368&lt;=200,"Moderate",IF(AL368&lt;=300,"Poor",IF(AL368&lt;=400,"Very Poor","Severe"))))))</f>
        <v>Satisfactory</v>
      </c>
    </row>
    <row r="369" customFormat="false" ht="15.75" hidden="false" customHeight="false" outlineLevel="0" collapsed="false">
      <c r="A369" s="1" t="s">
        <v>39</v>
      </c>
      <c r="B369" s="1" t="s">
        <v>40</v>
      </c>
      <c r="C369" s="1" t="n">
        <v>28.4595</v>
      </c>
      <c r="D369" s="1" t="n">
        <v>77.0266</v>
      </c>
      <c r="E369" s="5" t="n">
        <v>45916</v>
      </c>
      <c r="F369" s="6" t="s">
        <v>57</v>
      </c>
      <c r="G369" s="1" t="n">
        <v>9</v>
      </c>
      <c r="H369" s="7" t="s">
        <v>78</v>
      </c>
      <c r="I369" s="6" t="s">
        <v>43</v>
      </c>
      <c r="J369" s="7" t="s">
        <v>44</v>
      </c>
      <c r="K369" s="7" t="s">
        <v>56</v>
      </c>
      <c r="L369" s="1" t="n">
        <v>73</v>
      </c>
      <c r="M369" s="1" t="n">
        <v>21.9</v>
      </c>
      <c r="N369" s="1" t="n">
        <v>20.2</v>
      </c>
      <c r="O369" s="1" t="n">
        <v>0</v>
      </c>
      <c r="P369" s="6" t="s">
        <v>43</v>
      </c>
      <c r="Q369" s="6" t="s">
        <v>43</v>
      </c>
      <c r="R369" s="1" t="n">
        <v>1005.6</v>
      </c>
      <c r="S369" s="1" t="n">
        <v>100</v>
      </c>
      <c r="T369" s="1" t="n">
        <v>34.7</v>
      </c>
      <c r="U369" s="1" t="n">
        <v>39</v>
      </c>
      <c r="V369" s="1" t="n">
        <v>425</v>
      </c>
      <c r="W369" s="1" t="n">
        <v>32.3</v>
      </c>
      <c r="X369" s="1" t="n">
        <v>13.8</v>
      </c>
      <c r="Y369" s="1" t="n">
        <v>38</v>
      </c>
      <c r="Z369" s="1" t="n">
        <v>8</v>
      </c>
      <c r="AA369" s="1" t="n">
        <v>126</v>
      </c>
      <c r="AB369" s="7" t="s">
        <v>81</v>
      </c>
      <c r="AC369" s="7" t="s">
        <v>82</v>
      </c>
      <c r="AD369" s="7" t="s">
        <v>83</v>
      </c>
      <c r="AE369" s="7" t="s">
        <v>84</v>
      </c>
      <c r="AF369" s="4" t="n">
        <f aca="false">IF(T369="","",IF(T369&lt;=30,(50/30)*T369,IF(T369&lt;=60,50+((100-50)/(60-30))*(T369-30),IF(T369&lt;=90,100+((200-100)/(90-60))*(T369-60),IF(T369&lt;=120,200+((300-200)/(120-90))*(T369-90),IF(T369&lt;=250,300+((400-300)/(250-120))*(T369-120),IF(T369&lt;=380,400+((500-400)/(380-250))*(T369-250),500)))))))</f>
        <v>57.8333333333333</v>
      </c>
      <c r="AG369" s="4" t="n">
        <f aca="false">IF(U369="","",IF(U369&lt;=50,(50/50)*U369,IF(U369&lt;=100,50+((100-50)/(100-50))*(U369-50),IF(U369&lt;=250,100+((200-100)/(250-100))*(U369-100),IF(U369&lt;=350,200+((300-200)/(350-250))*(U369-250),IF(U369&lt;=430,300+((400-300)/(430-350))*(U369-350),IF(U369&lt;=600,400+((500-400)/(600-430))*(U369-430),500)))))))</f>
        <v>39</v>
      </c>
      <c r="AH369" s="4" t="n">
        <f aca="false">IF(V369="","",IF((V369/1000)&lt;=1,(50/1)*(V369/1000),IF((V369/1000)&lt;=2,50+((100-50)/(2-1))*(V369/1000-1),IF((V369/1000)&lt;=10,100+((200-100)/(10-2))*(V369/1000-2),IF((V369/1000)&lt;=17,200+((300-200)/(17-10))*(V369/1000-10),IF((V369/1000)&lt;=34,300+((400-300)/(34-17))*(V369/1000-17),IF((V369/1000)&lt;=57,400+((500-400)/(57-34))*(V369/1000-34),500)))))))</f>
        <v>21.25</v>
      </c>
      <c r="AI369" s="4" t="n">
        <f aca="false">IF(W369="","",IF(W369&lt;=40,(50/40)*W369,IF(W369&lt;=80,50+((100-50)/(80-40))*(W369-40),IF(W369&lt;=180,100+((200-100)/(180-80))*(W369-80),IF(W369&lt;=280,200+((300-200)/(280-180))*(W369-180),IF(W369&lt;=400,300+((400-300)/(400-280))*(W369-280),IF(W369&lt;=800,400+((500-400)/(800-400))*(W369-400),500)))))))</f>
        <v>40.375</v>
      </c>
      <c r="AJ369" s="4" t="n">
        <f aca="false">IF(X369="","",IF(X369&lt;=40,(50/40)*X369,IF(X369&lt;=80,50+((100-50)/(80-40))*(X369-40),IF(X369&lt;=380,100+((200-100)/(380-80))*(X369-80),IF(X369&lt;=800,200+((300-200)/(800-380))*(X369-380),IF(X369&lt;=1600,300+((400-300)/(1600-800))*(X369-800),IF(X369&lt;=2100,400+((500-400)/(2100-1600))*(X369-1600),500)))))))</f>
        <v>17.25</v>
      </c>
      <c r="AK369" s="4" t="n">
        <f aca="false">IF(Y369="","",IF(Y369&lt;=50,(50/50)*Y369,IF(Y369&lt;=100,50+((100-50)/(100-50))*(Y369-50),IF(Y369&lt;=168,100+((200-100)/(168-100))*(Y369-100),IF(Y369&lt;=208,200+((300-200)/(208-168))*(Y369-168),IF(Y369&lt;=748,300+((400-300)/(748-208))*(Y369-208),IF(Y369&lt;=1000,400+((500-400)/(1000-748))*(Y369-748),500)))))))</f>
        <v>38</v>
      </c>
      <c r="AL369" s="4" t="n">
        <f aca="false">ROUND(MAX(AF369,AG369,AH369,AI369,AJ369,AK369),0)</f>
        <v>58</v>
      </c>
      <c r="AM369" s="4" t="str">
        <f aca="false">IF(AL369="","",IF(AL369&lt;=50,"Good",IF(AL369&lt;=100,"Satisfactory",IF(AL369&lt;=200,"Moderate",IF(AL369&lt;=300,"Poor",IF(AL369&lt;=400,"Very Poor","Severe"))))))</f>
        <v>Satisfactory</v>
      </c>
    </row>
    <row r="370" customFormat="false" ht="15.75" hidden="false" customHeight="false" outlineLevel="0" collapsed="false">
      <c r="A370" s="1" t="s">
        <v>39</v>
      </c>
      <c r="B370" s="1" t="s">
        <v>40</v>
      </c>
      <c r="C370" s="1" t="n">
        <v>28.4595</v>
      </c>
      <c r="D370" s="1" t="n">
        <v>77.0266</v>
      </c>
      <c r="E370" s="5" t="n">
        <v>45916</v>
      </c>
      <c r="F370" s="6" t="s">
        <v>58</v>
      </c>
      <c r="G370" s="1" t="n">
        <v>9</v>
      </c>
      <c r="H370" s="7" t="s">
        <v>78</v>
      </c>
      <c r="I370" s="6" t="s">
        <v>43</v>
      </c>
      <c r="J370" s="7" t="s">
        <v>44</v>
      </c>
      <c r="K370" s="7" t="s">
        <v>56</v>
      </c>
      <c r="L370" s="1" t="n">
        <v>68</v>
      </c>
      <c r="M370" s="1" t="n">
        <v>22.1</v>
      </c>
      <c r="N370" s="1" t="n">
        <v>16.2</v>
      </c>
      <c r="O370" s="1" t="n">
        <v>0</v>
      </c>
      <c r="P370" s="6" t="s">
        <v>43</v>
      </c>
      <c r="Q370" s="6" t="s">
        <v>43</v>
      </c>
      <c r="R370" s="1" t="n">
        <v>1006.3</v>
      </c>
      <c r="S370" s="1" t="n">
        <v>89</v>
      </c>
      <c r="T370" s="1" t="n">
        <v>27.6</v>
      </c>
      <c r="U370" s="1" t="n">
        <v>31.4</v>
      </c>
      <c r="V370" s="1" t="n">
        <v>410</v>
      </c>
      <c r="W370" s="1" t="n">
        <v>24.2</v>
      </c>
      <c r="X370" s="1" t="n">
        <v>15.1</v>
      </c>
      <c r="Y370" s="1" t="n">
        <v>59</v>
      </c>
      <c r="Z370" s="1" t="n">
        <v>7</v>
      </c>
      <c r="AA370" s="1" t="n">
        <v>126</v>
      </c>
      <c r="AB370" s="7" t="s">
        <v>81</v>
      </c>
      <c r="AC370" s="7" t="s">
        <v>82</v>
      </c>
      <c r="AD370" s="7" t="s">
        <v>83</v>
      </c>
      <c r="AE370" s="7" t="s">
        <v>84</v>
      </c>
      <c r="AF370" s="4" t="n">
        <f aca="false">IF(T370="","",IF(T370&lt;=30,(50/30)*T370,IF(T370&lt;=60,50+((100-50)/(60-30))*(T370-30),IF(T370&lt;=90,100+((200-100)/(90-60))*(T370-60),IF(T370&lt;=120,200+((300-200)/(120-90))*(T370-90),IF(T370&lt;=250,300+((400-300)/(250-120))*(T370-120),IF(T370&lt;=380,400+((500-400)/(380-250))*(T370-250),500)))))))</f>
        <v>46</v>
      </c>
      <c r="AG370" s="4" t="n">
        <f aca="false">IF(U370="","",IF(U370&lt;=50,(50/50)*U370,IF(U370&lt;=100,50+((100-50)/(100-50))*(U370-50),IF(U370&lt;=250,100+((200-100)/(250-100))*(U370-100),IF(U370&lt;=350,200+((300-200)/(350-250))*(U370-250),IF(U370&lt;=430,300+((400-300)/(430-350))*(U370-350),IF(U370&lt;=600,400+((500-400)/(600-430))*(U370-430),500)))))))</f>
        <v>31.4</v>
      </c>
      <c r="AH370" s="4" t="n">
        <f aca="false">IF(V370="","",IF((V370/1000)&lt;=1,(50/1)*(V370/1000),IF((V370/1000)&lt;=2,50+((100-50)/(2-1))*(V370/1000-1),IF((V370/1000)&lt;=10,100+((200-100)/(10-2))*(V370/1000-2),IF((V370/1000)&lt;=17,200+((300-200)/(17-10))*(V370/1000-10),IF((V370/1000)&lt;=34,300+((400-300)/(34-17))*(V370/1000-17),IF((V370/1000)&lt;=57,400+((500-400)/(57-34))*(V370/1000-34),500)))))))</f>
        <v>20.5</v>
      </c>
      <c r="AI370" s="4" t="n">
        <f aca="false">IF(W370="","",IF(W370&lt;=40,(50/40)*W370,IF(W370&lt;=80,50+((100-50)/(80-40))*(W370-40),IF(W370&lt;=180,100+((200-100)/(180-80))*(W370-80),IF(W370&lt;=280,200+((300-200)/(280-180))*(W370-180),IF(W370&lt;=400,300+((400-300)/(400-280))*(W370-280),IF(W370&lt;=800,400+((500-400)/(800-400))*(W370-400),500)))))))</f>
        <v>30.25</v>
      </c>
      <c r="AJ370" s="4" t="n">
        <f aca="false">IF(X370="","",IF(X370&lt;=40,(50/40)*X370,IF(X370&lt;=80,50+((100-50)/(80-40))*(X370-40),IF(X370&lt;=380,100+((200-100)/(380-80))*(X370-80),IF(X370&lt;=800,200+((300-200)/(800-380))*(X370-380),IF(X370&lt;=1600,300+((400-300)/(1600-800))*(X370-800),IF(X370&lt;=2100,400+((500-400)/(2100-1600))*(X370-1600),500)))))))</f>
        <v>18.875</v>
      </c>
      <c r="AK370" s="4" t="n">
        <f aca="false">IF(Y370="","",IF(Y370&lt;=50,(50/50)*Y370,IF(Y370&lt;=100,50+((100-50)/(100-50))*(Y370-50),IF(Y370&lt;=168,100+((200-100)/(168-100))*(Y370-100),IF(Y370&lt;=208,200+((300-200)/(208-168))*(Y370-168),IF(Y370&lt;=748,300+((400-300)/(748-208))*(Y370-208),IF(Y370&lt;=1000,400+((500-400)/(1000-748))*(Y370-748),500)))))))</f>
        <v>59</v>
      </c>
      <c r="AL370" s="4" t="n">
        <f aca="false">ROUND(MAX(AF370,AG370,AH370,AI370,AJ370,AK370),0)</f>
        <v>59</v>
      </c>
      <c r="AM370" s="4" t="str">
        <f aca="false">IF(AL370="","",IF(AL370&lt;=50,"Good",IF(AL370&lt;=100,"Satisfactory",IF(AL370&lt;=200,"Moderate",IF(AL370&lt;=300,"Poor",IF(AL370&lt;=400,"Very Poor","Severe"))))))</f>
        <v>Satisfactory</v>
      </c>
    </row>
    <row r="371" customFormat="false" ht="15.75" hidden="false" customHeight="false" outlineLevel="0" collapsed="false">
      <c r="A371" s="1" t="s">
        <v>39</v>
      </c>
      <c r="B371" s="1" t="s">
        <v>40</v>
      </c>
      <c r="C371" s="1" t="n">
        <v>28.4595</v>
      </c>
      <c r="D371" s="1" t="n">
        <v>77.0266</v>
      </c>
      <c r="E371" s="5" t="n">
        <v>45916</v>
      </c>
      <c r="F371" s="6" t="s">
        <v>59</v>
      </c>
      <c r="G371" s="1" t="n">
        <v>9</v>
      </c>
      <c r="H371" s="7" t="s">
        <v>78</v>
      </c>
      <c r="I371" s="6" t="s">
        <v>43</v>
      </c>
      <c r="J371" s="7" t="s">
        <v>44</v>
      </c>
      <c r="K371" s="7" t="s">
        <v>60</v>
      </c>
      <c r="L371" s="1" t="n">
        <v>64</v>
      </c>
      <c r="M371" s="1" t="n">
        <v>22.3</v>
      </c>
      <c r="N371" s="1" t="n">
        <v>17.3</v>
      </c>
      <c r="O371" s="1" t="n">
        <v>0</v>
      </c>
      <c r="P371" s="6" t="s">
        <v>43</v>
      </c>
      <c r="Q371" s="6" t="s">
        <v>43</v>
      </c>
      <c r="R371" s="1" t="n">
        <v>1006.6</v>
      </c>
      <c r="S371" s="1" t="n">
        <v>12</v>
      </c>
      <c r="T371" s="1" t="n">
        <v>25.6</v>
      </c>
      <c r="U371" s="1" t="n">
        <v>34.1</v>
      </c>
      <c r="V371" s="1" t="n">
        <v>363</v>
      </c>
      <c r="W371" s="1" t="n">
        <v>18.5</v>
      </c>
      <c r="X371" s="1" t="n">
        <v>18.4</v>
      </c>
      <c r="Y371" s="1" t="n">
        <v>91</v>
      </c>
      <c r="Z371" s="1" t="n">
        <v>10</v>
      </c>
      <c r="AA371" s="1" t="n">
        <v>126</v>
      </c>
      <c r="AB371" s="7" t="s">
        <v>81</v>
      </c>
      <c r="AC371" s="7" t="s">
        <v>82</v>
      </c>
      <c r="AD371" s="7" t="s">
        <v>83</v>
      </c>
      <c r="AE371" s="7" t="s">
        <v>84</v>
      </c>
      <c r="AF371" s="4" t="n">
        <f aca="false">IF(T371="","",IF(T371&lt;=30,(50/30)*T371,IF(T371&lt;=60,50+((100-50)/(60-30))*(T371-30),IF(T371&lt;=90,100+((200-100)/(90-60))*(T371-60),IF(T371&lt;=120,200+((300-200)/(120-90))*(T371-90),IF(T371&lt;=250,300+((400-300)/(250-120))*(T371-120),IF(T371&lt;=380,400+((500-400)/(380-250))*(T371-250),500)))))))</f>
        <v>42.6666666666667</v>
      </c>
      <c r="AG371" s="4" t="n">
        <f aca="false">IF(U371="","",IF(U371&lt;=50,(50/50)*U371,IF(U371&lt;=100,50+((100-50)/(100-50))*(U371-50),IF(U371&lt;=250,100+((200-100)/(250-100))*(U371-100),IF(U371&lt;=350,200+((300-200)/(350-250))*(U371-250),IF(U371&lt;=430,300+((400-300)/(430-350))*(U371-350),IF(U371&lt;=600,400+((500-400)/(600-430))*(U371-430),500)))))))</f>
        <v>34.1</v>
      </c>
      <c r="AH371" s="4" t="n">
        <f aca="false">IF(V371="","",IF((V371/1000)&lt;=1,(50/1)*(V371/1000),IF((V371/1000)&lt;=2,50+((100-50)/(2-1))*(V371/1000-1),IF((V371/1000)&lt;=10,100+((200-100)/(10-2))*(V371/1000-2),IF((V371/1000)&lt;=17,200+((300-200)/(17-10))*(V371/1000-10),IF((V371/1000)&lt;=34,300+((400-300)/(34-17))*(V371/1000-17),IF((V371/1000)&lt;=57,400+((500-400)/(57-34))*(V371/1000-34),500)))))))</f>
        <v>18.15</v>
      </c>
      <c r="AI371" s="4" t="n">
        <f aca="false">IF(W371="","",IF(W371&lt;=40,(50/40)*W371,IF(W371&lt;=80,50+((100-50)/(80-40))*(W371-40),IF(W371&lt;=180,100+((200-100)/(180-80))*(W371-80),IF(W371&lt;=280,200+((300-200)/(280-180))*(W371-180),IF(W371&lt;=400,300+((400-300)/(400-280))*(W371-280),IF(W371&lt;=800,400+((500-400)/(800-400))*(W371-400),500)))))))</f>
        <v>23.125</v>
      </c>
      <c r="AJ371" s="4" t="n">
        <f aca="false">IF(X371="","",IF(X371&lt;=40,(50/40)*X371,IF(X371&lt;=80,50+((100-50)/(80-40))*(X371-40),IF(X371&lt;=380,100+((200-100)/(380-80))*(X371-80),IF(X371&lt;=800,200+((300-200)/(800-380))*(X371-380),IF(X371&lt;=1600,300+((400-300)/(1600-800))*(X371-800),IF(X371&lt;=2100,400+((500-400)/(2100-1600))*(X371-1600),500)))))))</f>
        <v>23</v>
      </c>
      <c r="AK371" s="4" t="n">
        <f aca="false">IF(Y371="","",IF(Y371&lt;=50,(50/50)*Y371,IF(Y371&lt;=100,50+((100-50)/(100-50))*(Y371-50),IF(Y371&lt;=168,100+((200-100)/(168-100))*(Y371-100),IF(Y371&lt;=208,200+((300-200)/(208-168))*(Y371-168),IF(Y371&lt;=748,300+((400-300)/(748-208))*(Y371-208),IF(Y371&lt;=1000,400+((500-400)/(1000-748))*(Y371-748),500)))))))</f>
        <v>91</v>
      </c>
      <c r="AL371" s="4" t="n">
        <f aca="false">ROUND(MAX(AF371,AG371,AH371,AI371,AJ371,AK371),0)</f>
        <v>91</v>
      </c>
      <c r="AM371" s="4" t="str">
        <f aca="false">IF(AL371="","",IF(AL371&lt;=50,"Good",IF(AL371&lt;=100,"Satisfactory",IF(AL371&lt;=200,"Moderate",IF(AL371&lt;=300,"Poor",IF(AL371&lt;=400,"Very Poor","Severe"))))))</f>
        <v>Satisfactory</v>
      </c>
    </row>
    <row r="372" customFormat="false" ht="15.75" hidden="false" customHeight="false" outlineLevel="0" collapsed="false">
      <c r="A372" s="1" t="s">
        <v>39</v>
      </c>
      <c r="B372" s="1" t="s">
        <v>40</v>
      </c>
      <c r="C372" s="1" t="n">
        <v>28.4595</v>
      </c>
      <c r="D372" s="1" t="n">
        <v>77.0266</v>
      </c>
      <c r="E372" s="5" t="n">
        <v>45916</v>
      </c>
      <c r="F372" s="6" t="s">
        <v>61</v>
      </c>
      <c r="G372" s="1" t="n">
        <v>9</v>
      </c>
      <c r="H372" s="7" t="s">
        <v>78</v>
      </c>
      <c r="I372" s="6" t="s">
        <v>43</v>
      </c>
      <c r="J372" s="7" t="s">
        <v>44</v>
      </c>
      <c r="K372" s="7" t="s">
        <v>60</v>
      </c>
      <c r="L372" s="1" t="n">
        <v>58</v>
      </c>
      <c r="M372" s="1" t="n">
        <v>22.2</v>
      </c>
      <c r="N372" s="1" t="n">
        <v>18.4</v>
      </c>
      <c r="O372" s="1" t="n">
        <v>0</v>
      </c>
      <c r="P372" s="6" t="s">
        <v>43</v>
      </c>
      <c r="Q372" s="6" t="s">
        <v>43</v>
      </c>
      <c r="R372" s="1" t="n">
        <v>1006.8</v>
      </c>
      <c r="S372" s="1" t="n">
        <v>29</v>
      </c>
      <c r="T372" s="1" t="n">
        <v>25.1</v>
      </c>
      <c r="U372" s="1" t="n">
        <v>34</v>
      </c>
      <c r="V372" s="1" t="n">
        <v>298</v>
      </c>
      <c r="W372" s="1" t="n">
        <v>13.8</v>
      </c>
      <c r="X372" s="1" t="n">
        <v>22.5</v>
      </c>
      <c r="Y372" s="1" t="n">
        <v>129</v>
      </c>
      <c r="Z372" s="1" t="n">
        <v>16</v>
      </c>
      <c r="AA372" s="1" t="n">
        <v>126</v>
      </c>
      <c r="AB372" s="7" t="s">
        <v>81</v>
      </c>
      <c r="AC372" s="7" t="s">
        <v>82</v>
      </c>
      <c r="AD372" s="7" t="s">
        <v>83</v>
      </c>
      <c r="AE372" s="7" t="s">
        <v>84</v>
      </c>
      <c r="AF372" s="4" t="n">
        <f aca="false">IF(T372="","",IF(T372&lt;=30,(50/30)*T372,IF(T372&lt;=60,50+((100-50)/(60-30))*(T372-30),IF(T372&lt;=90,100+((200-100)/(90-60))*(T372-60),IF(T372&lt;=120,200+((300-200)/(120-90))*(T372-90),IF(T372&lt;=250,300+((400-300)/(250-120))*(T372-120),IF(T372&lt;=380,400+((500-400)/(380-250))*(T372-250),500)))))))</f>
        <v>41.8333333333333</v>
      </c>
      <c r="AG372" s="4" t="n">
        <f aca="false">IF(U372="","",IF(U372&lt;=50,(50/50)*U372,IF(U372&lt;=100,50+((100-50)/(100-50))*(U372-50),IF(U372&lt;=250,100+((200-100)/(250-100))*(U372-100),IF(U372&lt;=350,200+((300-200)/(350-250))*(U372-250),IF(U372&lt;=430,300+((400-300)/(430-350))*(U372-350),IF(U372&lt;=600,400+((500-400)/(600-430))*(U372-430),500)))))))</f>
        <v>34</v>
      </c>
      <c r="AH372" s="4" t="n">
        <f aca="false">IF(V372="","",IF((V372/1000)&lt;=1,(50/1)*(V372/1000),IF((V372/1000)&lt;=2,50+((100-50)/(2-1))*(V372/1000-1),IF((V372/1000)&lt;=10,100+((200-100)/(10-2))*(V372/1000-2),IF((V372/1000)&lt;=17,200+((300-200)/(17-10))*(V372/1000-10),IF((V372/1000)&lt;=34,300+((400-300)/(34-17))*(V372/1000-17),IF((V372/1000)&lt;=57,400+((500-400)/(57-34))*(V372/1000-34),500)))))))</f>
        <v>14.9</v>
      </c>
      <c r="AI372" s="4" t="n">
        <f aca="false">IF(W372="","",IF(W372&lt;=40,(50/40)*W372,IF(W372&lt;=80,50+((100-50)/(80-40))*(W372-40),IF(W372&lt;=180,100+((200-100)/(180-80))*(W372-80),IF(W372&lt;=280,200+((300-200)/(280-180))*(W372-180),IF(W372&lt;=400,300+((400-300)/(400-280))*(W372-280),IF(W372&lt;=800,400+((500-400)/(800-400))*(W372-400),500)))))))</f>
        <v>17.25</v>
      </c>
      <c r="AJ372" s="4" t="n">
        <f aca="false">IF(X372="","",IF(X372&lt;=40,(50/40)*X372,IF(X372&lt;=80,50+((100-50)/(80-40))*(X372-40),IF(X372&lt;=380,100+((200-100)/(380-80))*(X372-80),IF(X372&lt;=800,200+((300-200)/(800-380))*(X372-380),IF(X372&lt;=1600,300+((400-300)/(1600-800))*(X372-800),IF(X372&lt;=2100,400+((500-400)/(2100-1600))*(X372-1600),500)))))))</f>
        <v>28.125</v>
      </c>
      <c r="AK372" s="4" t="n">
        <f aca="false">IF(Y372="","",IF(Y372&lt;=50,(50/50)*Y372,IF(Y372&lt;=100,50+((100-50)/(100-50))*(Y372-50),IF(Y372&lt;=168,100+((200-100)/(168-100))*(Y372-100),IF(Y372&lt;=208,200+((300-200)/(208-168))*(Y372-168),IF(Y372&lt;=748,300+((400-300)/(748-208))*(Y372-208),IF(Y372&lt;=1000,400+((500-400)/(1000-748))*(Y372-748),500)))))))</f>
        <v>142.647058823529</v>
      </c>
      <c r="AL372" s="4" t="n">
        <f aca="false">ROUND(MAX(AF372,AG372,AH372,AI372,AJ372,AK372),0)</f>
        <v>143</v>
      </c>
      <c r="AM372" s="4" t="str">
        <f aca="false">IF(AL372="","",IF(AL372&lt;=50,"Good",IF(AL372&lt;=100,"Satisfactory",IF(AL372&lt;=200,"Moderate",IF(AL372&lt;=300,"Poor",IF(AL372&lt;=400,"Very Poor","Severe"))))))</f>
        <v>Moderate</v>
      </c>
    </row>
    <row r="373" customFormat="false" ht="15.75" hidden="false" customHeight="false" outlineLevel="0" collapsed="false">
      <c r="A373" s="1" t="s">
        <v>39</v>
      </c>
      <c r="B373" s="1" t="s">
        <v>40</v>
      </c>
      <c r="C373" s="1" t="n">
        <v>28.4595</v>
      </c>
      <c r="D373" s="1" t="n">
        <v>77.0266</v>
      </c>
      <c r="E373" s="5" t="n">
        <v>45916</v>
      </c>
      <c r="F373" s="6" t="s">
        <v>62</v>
      </c>
      <c r="G373" s="1" t="n">
        <v>9</v>
      </c>
      <c r="H373" s="7" t="s">
        <v>78</v>
      </c>
      <c r="I373" s="6" t="s">
        <v>43</v>
      </c>
      <c r="J373" s="7" t="s">
        <v>44</v>
      </c>
      <c r="K373" s="7" t="s">
        <v>60</v>
      </c>
      <c r="L373" s="1" t="n">
        <v>51</v>
      </c>
      <c r="M373" s="1" t="n">
        <v>21.4</v>
      </c>
      <c r="N373" s="1" t="n">
        <v>20.2</v>
      </c>
      <c r="O373" s="1" t="n">
        <v>0</v>
      </c>
      <c r="P373" s="6" t="s">
        <v>43</v>
      </c>
      <c r="Q373" s="6" t="s">
        <v>43</v>
      </c>
      <c r="R373" s="1" t="n">
        <v>1006.1</v>
      </c>
      <c r="S373" s="1" t="n">
        <v>49</v>
      </c>
      <c r="T373" s="1" t="n">
        <v>25.5</v>
      </c>
      <c r="U373" s="1" t="n">
        <v>36.8</v>
      </c>
      <c r="V373" s="1" t="n">
        <v>249</v>
      </c>
      <c r="W373" s="1" t="n">
        <v>10.3</v>
      </c>
      <c r="X373" s="1" t="n">
        <v>25</v>
      </c>
      <c r="Y373" s="1" t="n">
        <v>160</v>
      </c>
      <c r="Z373" s="1" t="n">
        <v>22</v>
      </c>
      <c r="AA373" s="1" t="n">
        <v>126</v>
      </c>
      <c r="AB373" s="7" t="s">
        <v>81</v>
      </c>
      <c r="AC373" s="7" t="s">
        <v>82</v>
      </c>
      <c r="AD373" s="7" t="s">
        <v>83</v>
      </c>
      <c r="AE373" s="7" t="s">
        <v>84</v>
      </c>
      <c r="AF373" s="4" t="n">
        <f aca="false">IF(T373="","",IF(T373&lt;=30,(50/30)*T373,IF(T373&lt;=60,50+((100-50)/(60-30))*(T373-30),IF(T373&lt;=90,100+((200-100)/(90-60))*(T373-60),IF(T373&lt;=120,200+((300-200)/(120-90))*(T373-90),IF(T373&lt;=250,300+((400-300)/(250-120))*(T373-120),IF(T373&lt;=380,400+((500-400)/(380-250))*(T373-250),500)))))))</f>
        <v>42.5</v>
      </c>
      <c r="AG373" s="4" t="n">
        <f aca="false">IF(U373="","",IF(U373&lt;=50,(50/50)*U373,IF(U373&lt;=100,50+((100-50)/(100-50))*(U373-50),IF(U373&lt;=250,100+((200-100)/(250-100))*(U373-100),IF(U373&lt;=350,200+((300-200)/(350-250))*(U373-250),IF(U373&lt;=430,300+((400-300)/(430-350))*(U373-350),IF(U373&lt;=600,400+((500-400)/(600-430))*(U373-430),500)))))))</f>
        <v>36.8</v>
      </c>
      <c r="AH373" s="4" t="n">
        <f aca="false">IF(V373="","",IF((V373/1000)&lt;=1,(50/1)*(V373/1000),IF((V373/1000)&lt;=2,50+((100-50)/(2-1))*(V373/1000-1),IF((V373/1000)&lt;=10,100+((200-100)/(10-2))*(V373/1000-2),IF((V373/1000)&lt;=17,200+((300-200)/(17-10))*(V373/1000-10),IF((V373/1000)&lt;=34,300+((400-300)/(34-17))*(V373/1000-17),IF((V373/1000)&lt;=57,400+((500-400)/(57-34))*(V373/1000-34),500)))))))</f>
        <v>12.45</v>
      </c>
      <c r="AI373" s="4" t="n">
        <f aca="false">IF(W373="","",IF(W373&lt;=40,(50/40)*W373,IF(W373&lt;=80,50+((100-50)/(80-40))*(W373-40),IF(W373&lt;=180,100+((200-100)/(180-80))*(W373-80),IF(W373&lt;=280,200+((300-200)/(280-180))*(W373-180),IF(W373&lt;=400,300+((400-300)/(400-280))*(W373-280),IF(W373&lt;=800,400+((500-400)/(800-400))*(W373-400),500)))))))</f>
        <v>12.875</v>
      </c>
      <c r="AJ373" s="4" t="n">
        <f aca="false">IF(X373="","",IF(X373&lt;=40,(50/40)*X373,IF(X373&lt;=80,50+((100-50)/(80-40))*(X373-40),IF(X373&lt;=380,100+((200-100)/(380-80))*(X373-80),IF(X373&lt;=800,200+((300-200)/(800-380))*(X373-380),IF(X373&lt;=1600,300+((400-300)/(1600-800))*(X373-800),IF(X373&lt;=2100,400+((500-400)/(2100-1600))*(X373-1600),500)))))))</f>
        <v>31.25</v>
      </c>
      <c r="AK373" s="4" t="n">
        <f aca="false">IF(Y373="","",IF(Y373&lt;=50,(50/50)*Y373,IF(Y373&lt;=100,50+((100-50)/(100-50))*(Y373-50),IF(Y373&lt;=168,100+((200-100)/(168-100))*(Y373-100),IF(Y373&lt;=208,200+((300-200)/(208-168))*(Y373-168),IF(Y373&lt;=748,300+((400-300)/(748-208))*(Y373-208),IF(Y373&lt;=1000,400+((500-400)/(1000-748))*(Y373-748),500)))))))</f>
        <v>188.235294117647</v>
      </c>
      <c r="AL373" s="4" t="n">
        <f aca="false">ROUND(MAX(AF373,AG373,AH373,AI373,AJ373,AK373),0)</f>
        <v>188</v>
      </c>
      <c r="AM373" s="4" t="str">
        <f aca="false">IF(AL373="","",IF(AL373&lt;=50,"Good",IF(AL373&lt;=100,"Satisfactory",IF(AL373&lt;=200,"Moderate",IF(AL373&lt;=300,"Poor",IF(AL373&lt;=400,"Very Poor","Severe"))))))</f>
        <v>Moderate</v>
      </c>
    </row>
    <row r="374" customFormat="false" ht="15.75" hidden="false" customHeight="false" outlineLevel="0" collapsed="false">
      <c r="A374" s="1" t="s">
        <v>39</v>
      </c>
      <c r="B374" s="1" t="s">
        <v>40</v>
      </c>
      <c r="C374" s="1" t="n">
        <v>28.4595</v>
      </c>
      <c r="D374" s="1" t="n">
        <v>77.0266</v>
      </c>
      <c r="E374" s="5" t="n">
        <v>45916</v>
      </c>
      <c r="F374" s="6" t="s">
        <v>63</v>
      </c>
      <c r="G374" s="1" t="n">
        <v>9</v>
      </c>
      <c r="H374" s="7" t="s">
        <v>78</v>
      </c>
      <c r="I374" s="6" t="s">
        <v>43</v>
      </c>
      <c r="J374" s="7" t="s">
        <v>44</v>
      </c>
      <c r="K374" s="7" t="s">
        <v>60</v>
      </c>
      <c r="L374" s="1" t="n">
        <v>48</v>
      </c>
      <c r="M374" s="1" t="n">
        <v>21.1</v>
      </c>
      <c r="N374" s="1" t="n">
        <v>19.8</v>
      </c>
      <c r="O374" s="1" t="n">
        <v>0</v>
      </c>
      <c r="P374" s="6" t="s">
        <v>43</v>
      </c>
      <c r="Q374" s="6" t="s">
        <v>43</v>
      </c>
      <c r="R374" s="1" t="n">
        <v>1005</v>
      </c>
      <c r="S374" s="1" t="n">
        <v>56</v>
      </c>
      <c r="T374" s="1" t="n">
        <v>26.7</v>
      </c>
      <c r="U374" s="1" t="n">
        <v>45.2</v>
      </c>
      <c r="V374" s="1" t="n">
        <v>225</v>
      </c>
      <c r="W374" s="1" t="n">
        <v>7.7</v>
      </c>
      <c r="X374" s="1" t="n">
        <v>24.4</v>
      </c>
      <c r="Y374" s="1" t="n">
        <v>179</v>
      </c>
      <c r="Z374" s="1" t="n">
        <v>28</v>
      </c>
      <c r="AA374" s="1" t="n">
        <v>127</v>
      </c>
      <c r="AB374" s="7" t="s">
        <v>81</v>
      </c>
      <c r="AC374" s="7" t="s">
        <v>82</v>
      </c>
      <c r="AD374" s="7" t="s">
        <v>83</v>
      </c>
      <c r="AE374" s="7" t="s">
        <v>84</v>
      </c>
      <c r="AF374" s="4" t="n">
        <f aca="false">IF(T374="","",IF(T374&lt;=30,(50/30)*T374,IF(T374&lt;=60,50+((100-50)/(60-30))*(T374-30),IF(T374&lt;=90,100+((200-100)/(90-60))*(T374-60),IF(T374&lt;=120,200+((300-200)/(120-90))*(T374-90),IF(T374&lt;=250,300+((400-300)/(250-120))*(T374-120),IF(T374&lt;=380,400+((500-400)/(380-250))*(T374-250),500)))))))</f>
        <v>44.5</v>
      </c>
      <c r="AG374" s="4" t="n">
        <f aca="false">IF(U374="","",IF(U374&lt;=50,(50/50)*U374,IF(U374&lt;=100,50+((100-50)/(100-50))*(U374-50),IF(U374&lt;=250,100+((200-100)/(250-100))*(U374-100),IF(U374&lt;=350,200+((300-200)/(350-250))*(U374-250),IF(U374&lt;=430,300+((400-300)/(430-350))*(U374-350),IF(U374&lt;=600,400+((500-400)/(600-430))*(U374-430),500)))))))</f>
        <v>45.2</v>
      </c>
      <c r="AH374" s="4" t="n">
        <f aca="false">IF(V374="","",IF((V374/1000)&lt;=1,(50/1)*(V374/1000),IF((V374/1000)&lt;=2,50+((100-50)/(2-1))*(V374/1000-1),IF((V374/1000)&lt;=10,100+((200-100)/(10-2))*(V374/1000-2),IF((V374/1000)&lt;=17,200+((300-200)/(17-10))*(V374/1000-10),IF((V374/1000)&lt;=34,300+((400-300)/(34-17))*(V374/1000-17),IF((V374/1000)&lt;=57,400+((500-400)/(57-34))*(V374/1000-34),500)))))))</f>
        <v>11.25</v>
      </c>
      <c r="AI374" s="4" t="n">
        <f aca="false">IF(W374="","",IF(W374&lt;=40,(50/40)*W374,IF(W374&lt;=80,50+((100-50)/(80-40))*(W374-40),IF(W374&lt;=180,100+((200-100)/(180-80))*(W374-80),IF(W374&lt;=280,200+((300-200)/(280-180))*(W374-180),IF(W374&lt;=400,300+((400-300)/(400-280))*(W374-280),IF(W374&lt;=800,400+((500-400)/(800-400))*(W374-400),500)))))))</f>
        <v>9.625</v>
      </c>
      <c r="AJ374" s="4" t="n">
        <f aca="false">IF(X374="","",IF(X374&lt;=40,(50/40)*X374,IF(X374&lt;=80,50+((100-50)/(80-40))*(X374-40),IF(X374&lt;=380,100+((200-100)/(380-80))*(X374-80),IF(X374&lt;=800,200+((300-200)/(800-380))*(X374-380),IF(X374&lt;=1600,300+((400-300)/(1600-800))*(X374-800),IF(X374&lt;=2100,400+((500-400)/(2100-1600))*(X374-1600),500)))))))</f>
        <v>30.5</v>
      </c>
      <c r="AK374" s="4" t="n">
        <f aca="false">IF(Y374="","",IF(Y374&lt;=50,(50/50)*Y374,IF(Y374&lt;=100,50+((100-50)/(100-50))*(Y374-50),IF(Y374&lt;=168,100+((200-100)/(168-100))*(Y374-100),IF(Y374&lt;=208,200+((300-200)/(208-168))*(Y374-168),IF(Y374&lt;=748,300+((400-300)/(748-208))*(Y374-208),IF(Y374&lt;=1000,400+((500-400)/(1000-748))*(Y374-748),500)))))))</f>
        <v>227.5</v>
      </c>
      <c r="AL374" s="4" t="n">
        <f aca="false">ROUND(MAX(AF374,AG374,AH374,AI374,AJ374,AK374),0)</f>
        <v>228</v>
      </c>
      <c r="AM374" s="4" t="str">
        <f aca="false">IF(AL374="","",IF(AL374&lt;=50,"Good",IF(AL374&lt;=100,"Satisfactory",IF(AL374&lt;=200,"Moderate",IF(AL374&lt;=300,"Poor",IF(AL374&lt;=400,"Very Poor","Severe"))))))</f>
        <v>Poor</v>
      </c>
    </row>
    <row r="375" customFormat="false" ht="15.75" hidden="false" customHeight="false" outlineLevel="0" collapsed="false">
      <c r="A375" s="1" t="s">
        <v>39</v>
      </c>
      <c r="B375" s="1" t="s">
        <v>40</v>
      </c>
      <c r="C375" s="1" t="n">
        <v>28.4595</v>
      </c>
      <c r="D375" s="1" t="n">
        <v>77.0266</v>
      </c>
      <c r="E375" s="5" t="n">
        <v>45916</v>
      </c>
      <c r="F375" s="6" t="s">
        <v>64</v>
      </c>
      <c r="G375" s="1" t="n">
        <v>9</v>
      </c>
      <c r="H375" s="7" t="s">
        <v>78</v>
      </c>
      <c r="I375" s="6" t="s">
        <v>43</v>
      </c>
      <c r="J375" s="7" t="s">
        <v>44</v>
      </c>
      <c r="K375" s="7" t="s">
        <v>65</v>
      </c>
      <c r="L375" s="1" t="n">
        <v>47</v>
      </c>
      <c r="M375" s="1" t="n">
        <v>21.1</v>
      </c>
      <c r="N375" s="1" t="n">
        <v>19.8</v>
      </c>
      <c r="O375" s="1" t="n">
        <v>0</v>
      </c>
      <c r="P375" s="6" t="s">
        <v>43</v>
      </c>
      <c r="Q375" s="6" t="s">
        <v>43</v>
      </c>
      <c r="R375" s="1" t="n">
        <v>1003.9</v>
      </c>
      <c r="S375" s="1" t="n">
        <v>6</v>
      </c>
      <c r="T375" s="1" t="n">
        <v>27.8</v>
      </c>
      <c r="U375" s="1" t="n">
        <v>48.1</v>
      </c>
      <c r="V375" s="1" t="n">
        <v>216</v>
      </c>
      <c r="W375" s="1" t="n">
        <v>6.2</v>
      </c>
      <c r="X375" s="1" t="n">
        <v>22.2</v>
      </c>
      <c r="Y375" s="1" t="n">
        <v>190</v>
      </c>
      <c r="Z375" s="1" t="n">
        <v>35</v>
      </c>
      <c r="AA375" s="1" t="n">
        <v>128</v>
      </c>
      <c r="AB375" s="7" t="s">
        <v>81</v>
      </c>
      <c r="AC375" s="7" t="s">
        <v>82</v>
      </c>
      <c r="AD375" s="7" t="s">
        <v>83</v>
      </c>
      <c r="AE375" s="7" t="s">
        <v>84</v>
      </c>
      <c r="AF375" s="4" t="n">
        <f aca="false">IF(T375="","",IF(T375&lt;=30,(50/30)*T375,IF(T375&lt;=60,50+((100-50)/(60-30))*(T375-30),IF(T375&lt;=90,100+((200-100)/(90-60))*(T375-60),IF(T375&lt;=120,200+((300-200)/(120-90))*(T375-90),IF(T375&lt;=250,300+((400-300)/(250-120))*(T375-120),IF(T375&lt;=380,400+((500-400)/(380-250))*(T375-250),500)))))))</f>
        <v>46.3333333333333</v>
      </c>
      <c r="AG375" s="4" t="n">
        <f aca="false">IF(U375="","",IF(U375&lt;=50,(50/50)*U375,IF(U375&lt;=100,50+((100-50)/(100-50))*(U375-50),IF(U375&lt;=250,100+((200-100)/(250-100))*(U375-100),IF(U375&lt;=350,200+((300-200)/(350-250))*(U375-250),IF(U375&lt;=430,300+((400-300)/(430-350))*(U375-350),IF(U375&lt;=600,400+((500-400)/(600-430))*(U375-430),500)))))))</f>
        <v>48.1</v>
      </c>
      <c r="AH375" s="4" t="n">
        <f aca="false">IF(V375="","",IF((V375/1000)&lt;=1,(50/1)*(V375/1000),IF((V375/1000)&lt;=2,50+((100-50)/(2-1))*(V375/1000-1),IF((V375/1000)&lt;=10,100+((200-100)/(10-2))*(V375/1000-2),IF((V375/1000)&lt;=17,200+((300-200)/(17-10))*(V375/1000-10),IF((V375/1000)&lt;=34,300+((400-300)/(34-17))*(V375/1000-17),IF((V375/1000)&lt;=57,400+((500-400)/(57-34))*(V375/1000-34),500)))))))</f>
        <v>10.8</v>
      </c>
      <c r="AI375" s="4" t="n">
        <f aca="false">IF(W375="","",IF(W375&lt;=40,(50/40)*W375,IF(W375&lt;=80,50+((100-50)/(80-40))*(W375-40),IF(W375&lt;=180,100+((200-100)/(180-80))*(W375-80),IF(W375&lt;=280,200+((300-200)/(280-180))*(W375-180),IF(W375&lt;=400,300+((400-300)/(400-280))*(W375-280),IF(W375&lt;=800,400+((500-400)/(800-400))*(W375-400),500)))))))</f>
        <v>7.75</v>
      </c>
      <c r="AJ375" s="4" t="n">
        <f aca="false">IF(X375="","",IF(X375&lt;=40,(50/40)*X375,IF(X375&lt;=80,50+((100-50)/(80-40))*(X375-40),IF(X375&lt;=380,100+((200-100)/(380-80))*(X375-80),IF(X375&lt;=800,200+((300-200)/(800-380))*(X375-380),IF(X375&lt;=1600,300+((400-300)/(1600-800))*(X375-800),IF(X375&lt;=2100,400+((500-400)/(2100-1600))*(X375-1600),500)))))))</f>
        <v>27.75</v>
      </c>
      <c r="AK375" s="4" t="n">
        <f aca="false">IF(Y375="","",IF(Y375&lt;=50,(50/50)*Y375,IF(Y375&lt;=100,50+((100-50)/(100-50))*(Y375-50),IF(Y375&lt;=168,100+((200-100)/(168-100))*(Y375-100),IF(Y375&lt;=208,200+((300-200)/(208-168))*(Y375-168),IF(Y375&lt;=748,300+((400-300)/(748-208))*(Y375-208),IF(Y375&lt;=1000,400+((500-400)/(1000-748))*(Y375-748),500)))))))</f>
        <v>255</v>
      </c>
      <c r="AL375" s="4" t="n">
        <f aca="false">ROUND(MAX(AF375,AG375,AH375,AI375,AJ375,AK375),0)</f>
        <v>255</v>
      </c>
      <c r="AM375" s="4" t="str">
        <f aca="false">IF(AL375="","",IF(AL375&lt;=50,"Good",IF(AL375&lt;=100,"Satisfactory",IF(AL375&lt;=200,"Moderate",IF(AL375&lt;=300,"Poor",IF(AL375&lt;=400,"Very Poor","Severe"))))))</f>
        <v>Poor</v>
      </c>
    </row>
    <row r="376" customFormat="false" ht="15.75" hidden="false" customHeight="false" outlineLevel="0" collapsed="false">
      <c r="A376" s="1" t="s">
        <v>39</v>
      </c>
      <c r="B376" s="1" t="s">
        <v>40</v>
      </c>
      <c r="C376" s="1" t="n">
        <v>28.4595</v>
      </c>
      <c r="D376" s="1" t="n">
        <v>77.0266</v>
      </c>
      <c r="E376" s="5" t="n">
        <v>45916</v>
      </c>
      <c r="F376" s="6" t="s">
        <v>66</v>
      </c>
      <c r="G376" s="1" t="n">
        <v>9</v>
      </c>
      <c r="H376" s="7" t="s">
        <v>78</v>
      </c>
      <c r="I376" s="6" t="s">
        <v>43</v>
      </c>
      <c r="J376" s="7" t="s">
        <v>44</v>
      </c>
      <c r="K376" s="7" t="s">
        <v>65</v>
      </c>
      <c r="L376" s="1" t="n">
        <v>46</v>
      </c>
      <c r="M376" s="1" t="n">
        <v>20.8</v>
      </c>
      <c r="N376" s="1" t="n">
        <v>21.6</v>
      </c>
      <c r="O376" s="1" t="n">
        <v>0</v>
      </c>
      <c r="P376" s="6" t="s">
        <v>43</v>
      </c>
      <c r="Q376" s="6" t="s">
        <v>43</v>
      </c>
      <c r="R376" s="1" t="n">
        <v>1002.7</v>
      </c>
      <c r="S376" s="1" t="n">
        <v>13</v>
      </c>
      <c r="T376" s="1" t="n">
        <v>28.9</v>
      </c>
      <c r="U376" s="1" t="n">
        <v>48.9</v>
      </c>
      <c r="V376" s="1" t="n">
        <v>220</v>
      </c>
      <c r="W376" s="1" t="n">
        <v>6.2</v>
      </c>
      <c r="X376" s="1" t="n">
        <v>20</v>
      </c>
      <c r="Y376" s="1" t="n">
        <v>192</v>
      </c>
      <c r="Z376" s="1" t="n">
        <v>39</v>
      </c>
      <c r="AA376" s="1" t="n">
        <v>128</v>
      </c>
      <c r="AB376" s="7" t="s">
        <v>81</v>
      </c>
      <c r="AC376" s="7" t="s">
        <v>82</v>
      </c>
      <c r="AD376" s="7" t="s">
        <v>83</v>
      </c>
      <c r="AE376" s="7" t="s">
        <v>84</v>
      </c>
      <c r="AF376" s="4" t="n">
        <f aca="false">IF(T376="","",IF(T376&lt;=30,(50/30)*T376,IF(T376&lt;=60,50+((100-50)/(60-30))*(T376-30),IF(T376&lt;=90,100+((200-100)/(90-60))*(T376-60),IF(T376&lt;=120,200+((300-200)/(120-90))*(T376-90),IF(T376&lt;=250,300+((400-300)/(250-120))*(T376-120),IF(T376&lt;=380,400+((500-400)/(380-250))*(T376-250),500)))))))</f>
        <v>48.1666666666667</v>
      </c>
      <c r="AG376" s="4" t="n">
        <f aca="false">IF(U376="","",IF(U376&lt;=50,(50/50)*U376,IF(U376&lt;=100,50+((100-50)/(100-50))*(U376-50),IF(U376&lt;=250,100+((200-100)/(250-100))*(U376-100),IF(U376&lt;=350,200+((300-200)/(350-250))*(U376-250),IF(U376&lt;=430,300+((400-300)/(430-350))*(U376-350),IF(U376&lt;=600,400+((500-400)/(600-430))*(U376-430),500)))))))</f>
        <v>48.9</v>
      </c>
      <c r="AH376" s="4" t="n">
        <f aca="false">IF(V376="","",IF((V376/1000)&lt;=1,(50/1)*(V376/1000),IF((V376/1000)&lt;=2,50+((100-50)/(2-1))*(V376/1000-1),IF((V376/1000)&lt;=10,100+((200-100)/(10-2))*(V376/1000-2),IF((V376/1000)&lt;=17,200+((300-200)/(17-10))*(V376/1000-10),IF((V376/1000)&lt;=34,300+((400-300)/(34-17))*(V376/1000-17),IF((V376/1000)&lt;=57,400+((500-400)/(57-34))*(V376/1000-34),500)))))))</f>
        <v>11</v>
      </c>
      <c r="AI376" s="4" t="n">
        <f aca="false">IF(W376="","",IF(W376&lt;=40,(50/40)*W376,IF(W376&lt;=80,50+((100-50)/(80-40))*(W376-40),IF(W376&lt;=180,100+((200-100)/(180-80))*(W376-80),IF(W376&lt;=280,200+((300-200)/(280-180))*(W376-180),IF(W376&lt;=400,300+((400-300)/(400-280))*(W376-280),IF(W376&lt;=800,400+((500-400)/(800-400))*(W376-400),500)))))))</f>
        <v>7.75</v>
      </c>
      <c r="AJ376" s="4" t="n">
        <f aca="false">IF(X376="","",IF(X376&lt;=40,(50/40)*X376,IF(X376&lt;=80,50+((100-50)/(80-40))*(X376-40),IF(X376&lt;=380,100+((200-100)/(380-80))*(X376-80),IF(X376&lt;=800,200+((300-200)/(800-380))*(X376-380),IF(X376&lt;=1600,300+((400-300)/(1600-800))*(X376-800),IF(X376&lt;=2100,400+((500-400)/(2100-1600))*(X376-1600),500)))))))</f>
        <v>25</v>
      </c>
      <c r="AK376" s="4" t="n">
        <f aca="false">IF(Y376="","",IF(Y376&lt;=50,(50/50)*Y376,IF(Y376&lt;=100,50+((100-50)/(100-50))*(Y376-50),IF(Y376&lt;=168,100+((200-100)/(168-100))*(Y376-100),IF(Y376&lt;=208,200+((300-200)/(208-168))*(Y376-168),IF(Y376&lt;=748,300+((400-300)/(748-208))*(Y376-208),IF(Y376&lt;=1000,400+((500-400)/(1000-748))*(Y376-748),500)))))))</f>
        <v>260</v>
      </c>
      <c r="AL376" s="4" t="n">
        <f aca="false">ROUND(MAX(AF376,AG376,AH376,AI376,AJ376,AK376),0)</f>
        <v>260</v>
      </c>
      <c r="AM376" s="4" t="str">
        <f aca="false">IF(AL376="","",IF(AL376&lt;=50,"Good",IF(AL376&lt;=100,"Satisfactory",IF(AL376&lt;=200,"Moderate",IF(AL376&lt;=300,"Poor",IF(AL376&lt;=400,"Very Poor","Severe"))))))</f>
        <v>Poor</v>
      </c>
    </row>
    <row r="377" customFormat="false" ht="15.75" hidden="false" customHeight="false" outlineLevel="0" collapsed="false">
      <c r="A377" s="1" t="s">
        <v>39</v>
      </c>
      <c r="B377" s="1" t="s">
        <v>40</v>
      </c>
      <c r="C377" s="1" t="n">
        <v>28.4595</v>
      </c>
      <c r="D377" s="1" t="n">
        <v>77.0266</v>
      </c>
      <c r="E377" s="5" t="n">
        <v>45916</v>
      </c>
      <c r="F377" s="6" t="s">
        <v>67</v>
      </c>
      <c r="G377" s="1" t="n">
        <v>9</v>
      </c>
      <c r="H377" s="7" t="s">
        <v>78</v>
      </c>
      <c r="I377" s="6" t="s">
        <v>43</v>
      </c>
      <c r="J377" s="7" t="s">
        <v>44</v>
      </c>
      <c r="K377" s="7" t="s">
        <v>65</v>
      </c>
      <c r="L377" s="1" t="n">
        <v>48</v>
      </c>
      <c r="M377" s="1" t="n">
        <v>21</v>
      </c>
      <c r="N377" s="1" t="n">
        <v>22.3</v>
      </c>
      <c r="O377" s="1" t="n">
        <v>0</v>
      </c>
      <c r="P377" s="6" t="s">
        <v>43</v>
      </c>
      <c r="Q377" s="6" t="s">
        <v>43</v>
      </c>
      <c r="R377" s="1" t="n">
        <v>1001.7</v>
      </c>
      <c r="S377" s="1" t="n">
        <v>7</v>
      </c>
      <c r="T377" s="1" t="n">
        <v>28.5</v>
      </c>
      <c r="U377" s="1" t="n">
        <v>48.2</v>
      </c>
      <c r="V377" s="1" t="n">
        <v>210</v>
      </c>
      <c r="W377" s="1" t="n">
        <v>6.5</v>
      </c>
      <c r="X377" s="1" t="n">
        <v>18</v>
      </c>
      <c r="Y377" s="1" t="n">
        <v>185</v>
      </c>
      <c r="Z377" s="1" t="n">
        <v>40</v>
      </c>
      <c r="AA377" s="1" t="n">
        <v>130</v>
      </c>
      <c r="AB377" s="7" t="s">
        <v>81</v>
      </c>
      <c r="AC377" s="7" t="s">
        <v>82</v>
      </c>
      <c r="AD377" s="7" t="s">
        <v>83</v>
      </c>
      <c r="AE377" s="7" t="s">
        <v>84</v>
      </c>
      <c r="AF377" s="4" t="n">
        <f aca="false">IF(T377="","",IF(T377&lt;=30,(50/30)*T377,IF(T377&lt;=60,50+((100-50)/(60-30))*(T377-30),IF(T377&lt;=90,100+((200-100)/(90-60))*(T377-60),IF(T377&lt;=120,200+((300-200)/(120-90))*(T377-90),IF(T377&lt;=250,300+((400-300)/(250-120))*(T377-120),IF(T377&lt;=380,400+((500-400)/(380-250))*(T377-250),500)))))))</f>
        <v>47.5</v>
      </c>
      <c r="AG377" s="4" t="n">
        <f aca="false">IF(U377="","",IF(U377&lt;=50,(50/50)*U377,IF(U377&lt;=100,50+((100-50)/(100-50))*(U377-50),IF(U377&lt;=250,100+((200-100)/(250-100))*(U377-100),IF(U377&lt;=350,200+((300-200)/(350-250))*(U377-250),IF(U377&lt;=430,300+((400-300)/(430-350))*(U377-350),IF(U377&lt;=600,400+((500-400)/(600-430))*(U377-430),500)))))))</f>
        <v>48.2</v>
      </c>
      <c r="AH377" s="4" t="n">
        <f aca="false">IF(V377="","",IF((V377/1000)&lt;=1,(50/1)*(V377/1000),IF((V377/1000)&lt;=2,50+((100-50)/(2-1))*(V377/1000-1),IF((V377/1000)&lt;=10,100+((200-100)/(10-2))*(V377/1000-2),IF((V377/1000)&lt;=17,200+((300-200)/(17-10))*(V377/1000-10),IF((V377/1000)&lt;=34,300+((400-300)/(34-17))*(V377/1000-17),IF((V377/1000)&lt;=57,400+((500-400)/(57-34))*(V377/1000-34),500)))))))</f>
        <v>10.5</v>
      </c>
      <c r="AI377" s="4" t="n">
        <f aca="false">IF(W377="","",IF(W377&lt;=40,(50/40)*W377,IF(W377&lt;=80,50+((100-50)/(80-40))*(W377-40),IF(W377&lt;=180,100+((200-100)/(180-80))*(W377-80),IF(W377&lt;=280,200+((300-200)/(280-180))*(W377-180),IF(W377&lt;=400,300+((400-300)/(400-280))*(W377-280),IF(W377&lt;=800,400+((500-400)/(800-400))*(W377-400),500)))))))</f>
        <v>8.125</v>
      </c>
      <c r="AJ377" s="4" t="n">
        <f aca="false">IF(X377="","",IF(X377&lt;=40,(50/40)*X377,IF(X377&lt;=80,50+((100-50)/(80-40))*(X377-40),IF(X377&lt;=380,100+((200-100)/(380-80))*(X377-80),IF(X377&lt;=800,200+((300-200)/(800-380))*(X377-380),IF(X377&lt;=1600,300+((400-300)/(1600-800))*(X377-800),IF(X377&lt;=2100,400+((500-400)/(2100-1600))*(X377-1600),500)))))))</f>
        <v>22.5</v>
      </c>
      <c r="AK377" s="4" t="n">
        <f aca="false">IF(Y377="","",IF(Y377&lt;=50,(50/50)*Y377,IF(Y377&lt;=100,50+((100-50)/(100-50))*(Y377-50),IF(Y377&lt;=168,100+((200-100)/(168-100))*(Y377-100),IF(Y377&lt;=208,200+((300-200)/(208-168))*(Y377-168),IF(Y377&lt;=748,300+((400-300)/(748-208))*(Y377-208),IF(Y377&lt;=1000,400+((500-400)/(1000-748))*(Y377-748),500)))))))</f>
        <v>242.5</v>
      </c>
      <c r="AL377" s="4" t="n">
        <f aca="false">ROUND(MAX(AF377,AG377,AH377,AI377,AJ377,AK377),0)</f>
        <v>243</v>
      </c>
      <c r="AM377" s="4" t="str">
        <f aca="false">IF(AL377="","",IF(AL377&lt;=50,"Good",IF(AL377&lt;=100,"Satisfactory",IF(AL377&lt;=200,"Moderate",IF(AL377&lt;=300,"Poor",IF(AL377&lt;=400,"Very Poor","Severe"))))))</f>
        <v>Poor</v>
      </c>
    </row>
    <row r="378" customFormat="false" ht="15.75" hidden="false" customHeight="false" outlineLevel="0" collapsed="false">
      <c r="A378" s="1" t="s">
        <v>39</v>
      </c>
      <c r="B378" s="1" t="s">
        <v>40</v>
      </c>
      <c r="C378" s="1" t="n">
        <v>28.4595</v>
      </c>
      <c r="D378" s="1" t="n">
        <v>77.0266</v>
      </c>
      <c r="E378" s="5" t="n">
        <v>45916</v>
      </c>
      <c r="F378" s="6" t="s">
        <v>68</v>
      </c>
      <c r="G378" s="1" t="n">
        <v>9</v>
      </c>
      <c r="H378" s="7" t="s">
        <v>78</v>
      </c>
      <c r="I378" s="6" t="s">
        <v>43</v>
      </c>
      <c r="J378" s="7" t="s">
        <v>44</v>
      </c>
      <c r="K378" s="7" t="s">
        <v>65</v>
      </c>
      <c r="L378" s="1" t="n">
        <v>48</v>
      </c>
      <c r="M378" s="1" t="n">
        <v>20.9</v>
      </c>
      <c r="N378" s="1" t="n">
        <v>22.3</v>
      </c>
      <c r="O378" s="1" t="n">
        <v>0</v>
      </c>
      <c r="P378" s="6" t="s">
        <v>43</v>
      </c>
      <c r="Q378" s="6" t="s">
        <v>43</v>
      </c>
      <c r="R378" s="1" t="n">
        <v>1001.6</v>
      </c>
      <c r="S378" s="1" t="n">
        <v>5</v>
      </c>
      <c r="T378" s="1" t="n">
        <v>27.8</v>
      </c>
      <c r="U378" s="1" t="n">
        <v>47.5</v>
      </c>
      <c r="V378" s="1" t="n">
        <v>212</v>
      </c>
      <c r="W378" s="1" t="n">
        <v>8.4</v>
      </c>
      <c r="X378" s="1" t="n">
        <v>16</v>
      </c>
      <c r="Y378" s="1" t="n">
        <v>168</v>
      </c>
      <c r="Z378" s="1" t="n">
        <v>40</v>
      </c>
      <c r="AA378" s="1" t="n">
        <v>131</v>
      </c>
      <c r="AB378" s="7" t="s">
        <v>81</v>
      </c>
      <c r="AC378" s="7" t="s">
        <v>82</v>
      </c>
      <c r="AD378" s="7" t="s">
        <v>83</v>
      </c>
      <c r="AE378" s="7" t="s">
        <v>84</v>
      </c>
      <c r="AF378" s="4" t="n">
        <f aca="false">IF(T378="","",IF(T378&lt;=30,(50/30)*T378,IF(T378&lt;=60,50+((100-50)/(60-30))*(T378-30),IF(T378&lt;=90,100+((200-100)/(90-60))*(T378-60),IF(T378&lt;=120,200+((300-200)/(120-90))*(T378-90),IF(T378&lt;=250,300+((400-300)/(250-120))*(T378-120),IF(T378&lt;=380,400+((500-400)/(380-250))*(T378-250),500)))))))</f>
        <v>46.3333333333333</v>
      </c>
      <c r="AG378" s="4" t="n">
        <f aca="false">IF(U378="","",IF(U378&lt;=50,(50/50)*U378,IF(U378&lt;=100,50+((100-50)/(100-50))*(U378-50),IF(U378&lt;=250,100+((200-100)/(250-100))*(U378-100),IF(U378&lt;=350,200+((300-200)/(350-250))*(U378-250),IF(U378&lt;=430,300+((400-300)/(430-350))*(U378-350),IF(U378&lt;=600,400+((500-400)/(600-430))*(U378-430),500)))))))</f>
        <v>47.5</v>
      </c>
      <c r="AH378" s="4" t="n">
        <f aca="false">IF(V378="","",IF((V378/1000)&lt;=1,(50/1)*(V378/1000),IF((V378/1000)&lt;=2,50+((100-50)/(2-1))*(V378/1000-1),IF((V378/1000)&lt;=10,100+((200-100)/(10-2))*(V378/1000-2),IF((V378/1000)&lt;=17,200+((300-200)/(17-10))*(V378/1000-10),IF((V378/1000)&lt;=34,300+((400-300)/(34-17))*(V378/1000-17),IF((V378/1000)&lt;=57,400+((500-400)/(57-34))*(V378/1000-34),500)))))))</f>
        <v>10.6</v>
      </c>
      <c r="AI378" s="4" t="n">
        <f aca="false">IF(W378="","",IF(W378&lt;=40,(50/40)*W378,IF(W378&lt;=80,50+((100-50)/(80-40))*(W378-40),IF(W378&lt;=180,100+((200-100)/(180-80))*(W378-80),IF(W378&lt;=280,200+((300-200)/(280-180))*(W378-180),IF(W378&lt;=400,300+((400-300)/(400-280))*(W378-280),IF(W378&lt;=800,400+((500-400)/(800-400))*(W378-400),500)))))))</f>
        <v>10.5</v>
      </c>
      <c r="AJ378" s="4" t="n">
        <f aca="false">IF(X378="","",IF(X378&lt;=40,(50/40)*X378,IF(X378&lt;=80,50+((100-50)/(80-40))*(X378-40),IF(X378&lt;=380,100+((200-100)/(380-80))*(X378-80),IF(X378&lt;=800,200+((300-200)/(800-380))*(X378-380),IF(X378&lt;=1600,300+((400-300)/(1600-800))*(X378-800),IF(X378&lt;=2100,400+((500-400)/(2100-1600))*(X378-1600),500)))))))</f>
        <v>20</v>
      </c>
      <c r="AK378" s="4" t="n">
        <f aca="false">IF(Y378="","",IF(Y378&lt;=50,(50/50)*Y378,IF(Y378&lt;=100,50+((100-50)/(100-50))*(Y378-50),IF(Y378&lt;=168,100+((200-100)/(168-100))*(Y378-100),IF(Y378&lt;=208,200+((300-200)/(208-168))*(Y378-168),IF(Y378&lt;=748,300+((400-300)/(748-208))*(Y378-208),IF(Y378&lt;=1000,400+((500-400)/(1000-748))*(Y378-748),500)))))))</f>
        <v>200</v>
      </c>
      <c r="AL378" s="4" t="n">
        <f aca="false">ROUND(MAX(AF378,AG378,AH378,AI378,AJ378,AK378),0)</f>
        <v>200</v>
      </c>
      <c r="AM378" s="4" t="str">
        <f aca="false">IF(AL378="","",IF(AL378&lt;=50,"Good",IF(AL378&lt;=100,"Satisfactory",IF(AL378&lt;=200,"Moderate",IF(AL378&lt;=300,"Poor",IF(AL378&lt;=400,"Very Poor","Severe"))))))</f>
        <v>Moderate</v>
      </c>
    </row>
    <row r="379" customFormat="false" ht="15.75" hidden="false" customHeight="false" outlineLevel="0" collapsed="false">
      <c r="A379" s="1" t="s">
        <v>39</v>
      </c>
      <c r="B379" s="1" t="s">
        <v>40</v>
      </c>
      <c r="C379" s="1" t="n">
        <v>28.4595</v>
      </c>
      <c r="D379" s="1" t="n">
        <v>77.0266</v>
      </c>
      <c r="E379" s="5" t="n">
        <v>45916</v>
      </c>
      <c r="F379" s="6" t="s">
        <v>69</v>
      </c>
      <c r="G379" s="1" t="n">
        <v>9</v>
      </c>
      <c r="H379" s="7" t="s">
        <v>78</v>
      </c>
      <c r="I379" s="6" t="s">
        <v>43</v>
      </c>
      <c r="J379" s="7" t="s">
        <v>44</v>
      </c>
      <c r="K379" s="7" t="s">
        <v>65</v>
      </c>
      <c r="L379" s="1" t="n">
        <v>50</v>
      </c>
      <c r="M379" s="1" t="n">
        <v>20.8</v>
      </c>
      <c r="N379" s="1" t="n">
        <v>19.8</v>
      </c>
      <c r="O379" s="1" t="n">
        <v>0</v>
      </c>
      <c r="P379" s="6" t="s">
        <v>43</v>
      </c>
      <c r="Q379" s="6" t="s">
        <v>43</v>
      </c>
      <c r="R379" s="1" t="n">
        <v>1001.9</v>
      </c>
      <c r="S379" s="1" t="n">
        <v>13</v>
      </c>
      <c r="T379" s="1" t="n">
        <v>32.1</v>
      </c>
      <c r="U379" s="1" t="n">
        <v>57.4</v>
      </c>
      <c r="V379" s="1" t="n">
        <v>307</v>
      </c>
      <c r="W379" s="1" t="n">
        <v>18.1</v>
      </c>
      <c r="X379" s="1" t="n">
        <v>14.5</v>
      </c>
      <c r="Y379" s="1" t="n">
        <v>127</v>
      </c>
      <c r="Z379" s="1" t="n">
        <v>49</v>
      </c>
      <c r="AA379" s="1" t="n">
        <v>142</v>
      </c>
      <c r="AB379" s="7" t="s">
        <v>81</v>
      </c>
      <c r="AC379" s="7" t="s">
        <v>82</v>
      </c>
      <c r="AD379" s="7" t="s">
        <v>83</v>
      </c>
      <c r="AE379" s="7" t="s">
        <v>84</v>
      </c>
      <c r="AF379" s="4" t="n">
        <f aca="false">IF(T379="","",IF(T379&lt;=30,(50/30)*T379,IF(T379&lt;=60,50+((100-50)/(60-30))*(T379-30),IF(T379&lt;=90,100+((200-100)/(90-60))*(T379-60),IF(T379&lt;=120,200+((300-200)/(120-90))*(T379-90),IF(T379&lt;=250,300+((400-300)/(250-120))*(T379-120),IF(T379&lt;=380,400+((500-400)/(380-250))*(T379-250),500)))))))</f>
        <v>53.5</v>
      </c>
      <c r="AG379" s="4" t="n">
        <f aca="false">IF(U379="","",IF(U379&lt;=50,(50/50)*U379,IF(U379&lt;=100,50+((100-50)/(100-50))*(U379-50),IF(U379&lt;=250,100+((200-100)/(250-100))*(U379-100),IF(U379&lt;=350,200+((300-200)/(350-250))*(U379-250),IF(U379&lt;=430,300+((400-300)/(430-350))*(U379-350),IF(U379&lt;=600,400+((500-400)/(600-430))*(U379-430),500)))))))</f>
        <v>57.4</v>
      </c>
      <c r="AH379" s="4" t="n">
        <f aca="false">IF(V379="","",IF((V379/1000)&lt;=1,(50/1)*(V379/1000),IF((V379/1000)&lt;=2,50+((100-50)/(2-1))*(V379/1000-1),IF((V379/1000)&lt;=10,100+((200-100)/(10-2))*(V379/1000-2),IF((V379/1000)&lt;=17,200+((300-200)/(17-10))*(V379/1000-10),IF((V379/1000)&lt;=34,300+((400-300)/(34-17))*(V379/1000-17),IF((V379/1000)&lt;=57,400+((500-400)/(57-34))*(V379/1000-34),500)))))))</f>
        <v>15.35</v>
      </c>
      <c r="AI379" s="4" t="n">
        <f aca="false">IF(W379="","",IF(W379&lt;=40,(50/40)*W379,IF(W379&lt;=80,50+((100-50)/(80-40))*(W379-40),IF(W379&lt;=180,100+((200-100)/(180-80))*(W379-80),IF(W379&lt;=280,200+((300-200)/(280-180))*(W379-180),IF(W379&lt;=400,300+((400-300)/(400-280))*(W379-280),IF(W379&lt;=800,400+((500-400)/(800-400))*(W379-400),500)))))))</f>
        <v>22.625</v>
      </c>
      <c r="AJ379" s="4" t="n">
        <f aca="false">IF(X379="","",IF(X379&lt;=40,(50/40)*X379,IF(X379&lt;=80,50+((100-50)/(80-40))*(X379-40),IF(X379&lt;=380,100+((200-100)/(380-80))*(X379-80),IF(X379&lt;=800,200+((300-200)/(800-380))*(X379-380),IF(X379&lt;=1600,300+((400-300)/(1600-800))*(X379-800),IF(X379&lt;=2100,400+((500-400)/(2100-1600))*(X379-1600),500)))))))</f>
        <v>18.125</v>
      </c>
      <c r="AK379" s="4" t="n">
        <f aca="false">IF(Y379="","",IF(Y379&lt;=50,(50/50)*Y379,IF(Y379&lt;=100,50+((100-50)/(100-50))*(Y379-50),IF(Y379&lt;=168,100+((200-100)/(168-100))*(Y379-100),IF(Y379&lt;=208,200+((300-200)/(208-168))*(Y379-168),IF(Y379&lt;=748,300+((400-300)/(748-208))*(Y379-208),IF(Y379&lt;=1000,400+((500-400)/(1000-748))*(Y379-748),500)))))))</f>
        <v>139.705882352941</v>
      </c>
      <c r="AL379" s="4" t="n">
        <f aca="false">ROUND(MAX(AF379,AG379,AH379,AI379,AJ379,AK379),0)</f>
        <v>140</v>
      </c>
      <c r="AM379" s="4" t="str">
        <f aca="false">IF(AL379="","",IF(AL379&lt;=50,"Good",IF(AL379&lt;=100,"Satisfactory",IF(AL379&lt;=200,"Moderate",IF(AL379&lt;=300,"Poor",IF(AL379&lt;=400,"Very Poor","Severe"))))))</f>
        <v>Moderate</v>
      </c>
    </row>
    <row r="380" customFormat="false" ht="15.75" hidden="false" customHeight="false" outlineLevel="0" collapsed="false">
      <c r="A380" s="1" t="s">
        <v>39</v>
      </c>
      <c r="B380" s="1" t="s">
        <v>40</v>
      </c>
      <c r="C380" s="1" t="n">
        <v>28.4595</v>
      </c>
      <c r="D380" s="1" t="n">
        <v>77.0266</v>
      </c>
      <c r="E380" s="5" t="n">
        <v>45916</v>
      </c>
      <c r="F380" s="6" t="s">
        <v>70</v>
      </c>
      <c r="G380" s="1" t="n">
        <v>9</v>
      </c>
      <c r="H380" s="7" t="s">
        <v>78</v>
      </c>
      <c r="I380" s="6" t="s">
        <v>43</v>
      </c>
      <c r="J380" s="7" t="s">
        <v>44</v>
      </c>
      <c r="K380" s="7" t="s">
        <v>71</v>
      </c>
      <c r="L380" s="1" t="n">
        <v>63</v>
      </c>
      <c r="M380" s="1" t="n">
        <v>23.2</v>
      </c>
      <c r="N380" s="1" t="n">
        <v>11.9</v>
      </c>
      <c r="O380" s="1" t="n">
        <v>0</v>
      </c>
      <c r="P380" s="6" t="s">
        <v>43</v>
      </c>
      <c r="Q380" s="6" t="s">
        <v>43</v>
      </c>
      <c r="R380" s="1" t="n">
        <v>1003.1</v>
      </c>
      <c r="S380" s="1" t="n">
        <v>16</v>
      </c>
      <c r="T380" s="1" t="n">
        <v>37.6</v>
      </c>
      <c r="U380" s="1" t="n">
        <v>62.2</v>
      </c>
      <c r="V380" s="1" t="n">
        <v>606</v>
      </c>
      <c r="W380" s="1" t="n">
        <v>36.8</v>
      </c>
      <c r="X380" s="1" t="n">
        <v>18.7</v>
      </c>
      <c r="Y380" s="1" t="n">
        <v>99</v>
      </c>
      <c r="Z380" s="1" t="n">
        <v>49</v>
      </c>
      <c r="AA380" s="1" t="n">
        <v>149</v>
      </c>
      <c r="AB380" s="7" t="s">
        <v>81</v>
      </c>
      <c r="AC380" s="7" t="s">
        <v>82</v>
      </c>
      <c r="AD380" s="7" t="s">
        <v>83</v>
      </c>
      <c r="AE380" s="7" t="s">
        <v>84</v>
      </c>
      <c r="AF380" s="4" t="n">
        <f aca="false">IF(T380="","",IF(T380&lt;=30,(50/30)*T380,IF(T380&lt;=60,50+((100-50)/(60-30))*(T380-30),IF(T380&lt;=90,100+((200-100)/(90-60))*(T380-60),IF(T380&lt;=120,200+((300-200)/(120-90))*(T380-90),IF(T380&lt;=250,300+((400-300)/(250-120))*(T380-120),IF(T380&lt;=380,400+((500-400)/(380-250))*(T380-250),500)))))))</f>
        <v>62.6666666666667</v>
      </c>
      <c r="AG380" s="4" t="n">
        <f aca="false">IF(U380="","",IF(U380&lt;=50,(50/50)*U380,IF(U380&lt;=100,50+((100-50)/(100-50))*(U380-50),IF(U380&lt;=250,100+((200-100)/(250-100))*(U380-100),IF(U380&lt;=350,200+((300-200)/(350-250))*(U380-250),IF(U380&lt;=430,300+((400-300)/(430-350))*(U380-350),IF(U380&lt;=600,400+((500-400)/(600-430))*(U380-430),500)))))))</f>
        <v>62.2</v>
      </c>
      <c r="AH380" s="4" t="n">
        <f aca="false">IF(V380="","",IF((V380/1000)&lt;=1,(50/1)*(V380/1000),IF((V380/1000)&lt;=2,50+((100-50)/(2-1))*(V380/1000-1),IF((V380/1000)&lt;=10,100+((200-100)/(10-2))*(V380/1000-2),IF((V380/1000)&lt;=17,200+((300-200)/(17-10))*(V380/1000-10),IF((V380/1000)&lt;=34,300+((400-300)/(34-17))*(V380/1000-17),IF((V380/1000)&lt;=57,400+((500-400)/(57-34))*(V380/1000-34),500)))))))</f>
        <v>30.3</v>
      </c>
      <c r="AI380" s="4" t="n">
        <f aca="false">IF(W380="","",IF(W380&lt;=40,(50/40)*W380,IF(W380&lt;=80,50+((100-50)/(80-40))*(W380-40),IF(W380&lt;=180,100+((200-100)/(180-80))*(W380-80),IF(W380&lt;=280,200+((300-200)/(280-180))*(W380-180),IF(W380&lt;=400,300+((400-300)/(400-280))*(W380-280),IF(W380&lt;=800,400+((500-400)/(800-400))*(W380-400),500)))))))</f>
        <v>46</v>
      </c>
      <c r="AJ380" s="4" t="n">
        <f aca="false">IF(X380="","",IF(X380&lt;=40,(50/40)*X380,IF(X380&lt;=80,50+((100-50)/(80-40))*(X380-40),IF(X380&lt;=380,100+((200-100)/(380-80))*(X380-80),IF(X380&lt;=800,200+((300-200)/(800-380))*(X380-380),IF(X380&lt;=1600,300+((400-300)/(1600-800))*(X380-800),IF(X380&lt;=2100,400+((500-400)/(2100-1600))*(X380-1600),500)))))))</f>
        <v>23.375</v>
      </c>
      <c r="AK380" s="4" t="n">
        <f aca="false">IF(Y380="","",IF(Y380&lt;=50,(50/50)*Y380,IF(Y380&lt;=100,50+((100-50)/(100-50))*(Y380-50),IF(Y380&lt;=168,100+((200-100)/(168-100))*(Y380-100),IF(Y380&lt;=208,200+((300-200)/(208-168))*(Y380-168),IF(Y380&lt;=748,300+((400-300)/(748-208))*(Y380-208),IF(Y380&lt;=1000,400+((500-400)/(1000-748))*(Y380-748),500)))))))</f>
        <v>99</v>
      </c>
      <c r="AL380" s="4" t="n">
        <f aca="false">ROUND(MAX(AF380,AG380,AH380,AI380,AJ380,AK380),0)</f>
        <v>99</v>
      </c>
      <c r="AM380" s="4" t="str">
        <f aca="false">IF(AL380="","",IF(AL380&lt;=50,"Good",IF(AL380&lt;=100,"Satisfactory",IF(AL380&lt;=200,"Moderate",IF(AL380&lt;=300,"Poor",IF(AL380&lt;=400,"Very Poor","Severe"))))))</f>
        <v>Satisfactory</v>
      </c>
    </row>
    <row r="381" customFormat="false" ht="15.75" hidden="false" customHeight="false" outlineLevel="0" collapsed="false">
      <c r="A381" s="1" t="s">
        <v>39</v>
      </c>
      <c r="B381" s="1" t="s">
        <v>40</v>
      </c>
      <c r="C381" s="1" t="n">
        <v>28.4595</v>
      </c>
      <c r="D381" s="1" t="n">
        <v>77.0266</v>
      </c>
      <c r="E381" s="5" t="n">
        <v>45916</v>
      </c>
      <c r="F381" s="6" t="s">
        <v>72</v>
      </c>
      <c r="G381" s="1" t="n">
        <v>9</v>
      </c>
      <c r="H381" s="7" t="s">
        <v>78</v>
      </c>
      <c r="I381" s="6" t="s">
        <v>43</v>
      </c>
      <c r="J381" s="7" t="s">
        <v>44</v>
      </c>
      <c r="K381" s="7" t="s">
        <v>71</v>
      </c>
      <c r="L381" s="1" t="n">
        <v>69</v>
      </c>
      <c r="M381" s="1" t="n">
        <v>23.8</v>
      </c>
      <c r="N381" s="1" t="n">
        <v>8.3</v>
      </c>
      <c r="O381" s="1" t="n">
        <v>0</v>
      </c>
      <c r="P381" s="6" t="s">
        <v>43</v>
      </c>
      <c r="Q381" s="6" t="s">
        <v>43</v>
      </c>
      <c r="R381" s="1" t="n">
        <v>1004.2</v>
      </c>
      <c r="S381" s="1" t="n">
        <v>28</v>
      </c>
      <c r="T381" s="1" t="n">
        <v>47.7</v>
      </c>
      <c r="U381" s="1" t="n">
        <v>72.6</v>
      </c>
      <c r="V381" s="1" t="n">
        <v>998</v>
      </c>
      <c r="W381" s="1" t="n">
        <v>61.9</v>
      </c>
      <c r="X381" s="1" t="n">
        <v>24.5</v>
      </c>
      <c r="Y381" s="1" t="n">
        <v>60</v>
      </c>
      <c r="Z381" s="1" t="n">
        <v>48</v>
      </c>
      <c r="AA381" s="1" t="n">
        <v>143</v>
      </c>
      <c r="AB381" s="7" t="s">
        <v>81</v>
      </c>
      <c r="AC381" s="7" t="s">
        <v>82</v>
      </c>
      <c r="AD381" s="7" t="s">
        <v>83</v>
      </c>
      <c r="AE381" s="7" t="s">
        <v>84</v>
      </c>
      <c r="AF381" s="4" t="n">
        <f aca="false">IF(T381="","",IF(T381&lt;=30,(50/30)*T381,IF(T381&lt;=60,50+((100-50)/(60-30))*(T381-30),IF(T381&lt;=90,100+((200-100)/(90-60))*(T381-60),IF(T381&lt;=120,200+((300-200)/(120-90))*(T381-90),IF(T381&lt;=250,300+((400-300)/(250-120))*(T381-120),IF(T381&lt;=380,400+((500-400)/(380-250))*(T381-250),500)))))))</f>
        <v>79.5</v>
      </c>
      <c r="AG381" s="4" t="n">
        <f aca="false">IF(U381="","",IF(U381&lt;=50,(50/50)*U381,IF(U381&lt;=100,50+((100-50)/(100-50))*(U381-50),IF(U381&lt;=250,100+((200-100)/(250-100))*(U381-100),IF(U381&lt;=350,200+((300-200)/(350-250))*(U381-250),IF(U381&lt;=430,300+((400-300)/(430-350))*(U381-350),IF(U381&lt;=600,400+((500-400)/(600-430))*(U381-430),500)))))))</f>
        <v>72.6</v>
      </c>
      <c r="AH381" s="4" t="n">
        <f aca="false">IF(V381="","",IF((V381/1000)&lt;=1,(50/1)*(V381/1000),IF((V381/1000)&lt;=2,50+((100-50)/(2-1))*(V381/1000-1),IF((V381/1000)&lt;=10,100+((200-100)/(10-2))*(V381/1000-2),IF((V381/1000)&lt;=17,200+((300-200)/(17-10))*(V381/1000-10),IF((V381/1000)&lt;=34,300+((400-300)/(34-17))*(V381/1000-17),IF((V381/1000)&lt;=57,400+((500-400)/(57-34))*(V381/1000-34),500)))))))</f>
        <v>49.9</v>
      </c>
      <c r="AI381" s="4" t="n">
        <f aca="false">IF(W381="","",IF(W381&lt;=40,(50/40)*W381,IF(W381&lt;=80,50+((100-50)/(80-40))*(W381-40),IF(W381&lt;=180,100+((200-100)/(180-80))*(W381-80),IF(W381&lt;=280,200+((300-200)/(280-180))*(W381-180),IF(W381&lt;=400,300+((400-300)/(400-280))*(W381-280),IF(W381&lt;=800,400+((500-400)/(800-400))*(W381-400),500)))))))</f>
        <v>77.375</v>
      </c>
      <c r="AJ381" s="4" t="n">
        <f aca="false">IF(X381="","",IF(X381&lt;=40,(50/40)*X381,IF(X381&lt;=80,50+((100-50)/(80-40))*(X381-40),IF(X381&lt;=380,100+((200-100)/(380-80))*(X381-80),IF(X381&lt;=800,200+((300-200)/(800-380))*(X381-380),IF(X381&lt;=1600,300+((400-300)/(1600-800))*(X381-800),IF(X381&lt;=2100,400+((500-400)/(2100-1600))*(X381-1600),500)))))))</f>
        <v>30.625</v>
      </c>
      <c r="AK381" s="4" t="n">
        <f aca="false">IF(Y381="","",IF(Y381&lt;=50,(50/50)*Y381,IF(Y381&lt;=100,50+((100-50)/(100-50))*(Y381-50),IF(Y381&lt;=168,100+((200-100)/(168-100))*(Y381-100),IF(Y381&lt;=208,200+((300-200)/(208-168))*(Y381-168),IF(Y381&lt;=748,300+((400-300)/(748-208))*(Y381-208),IF(Y381&lt;=1000,400+((500-400)/(1000-748))*(Y381-748),500)))))))</f>
        <v>60</v>
      </c>
      <c r="AL381" s="4" t="n">
        <f aca="false">ROUND(MAX(AF381,AG381,AH381,AI381,AJ381,AK381),0)</f>
        <v>80</v>
      </c>
      <c r="AM381" s="4" t="str">
        <f aca="false">IF(AL381="","",IF(AL381&lt;=50,"Good",IF(AL381&lt;=100,"Satisfactory",IF(AL381&lt;=200,"Moderate",IF(AL381&lt;=300,"Poor",IF(AL381&lt;=400,"Very Poor","Severe"))))))</f>
        <v>Satisfactory</v>
      </c>
    </row>
    <row r="382" customFormat="false" ht="15.75" hidden="false" customHeight="false" outlineLevel="0" collapsed="false">
      <c r="A382" s="1" t="s">
        <v>39</v>
      </c>
      <c r="B382" s="1" t="s">
        <v>40</v>
      </c>
      <c r="C382" s="1" t="n">
        <v>28.4595</v>
      </c>
      <c r="D382" s="1" t="n">
        <v>77.0266</v>
      </c>
      <c r="E382" s="5" t="n">
        <v>45916</v>
      </c>
      <c r="F382" s="6" t="s">
        <v>73</v>
      </c>
      <c r="G382" s="1" t="n">
        <v>9</v>
      </c>
      <c r="H382" s="7" t="s">
        <v>78</v>
      </c>
      <c r="I382" s="6" t="s">
        <v>43</v>
      </c>
      <c r="J382" s="7" t="s">
        <v>44</v>
      </c>
      <c r="K382" s="7" t="s">
        <v>71</v>
      </c>
      <c r="L382" s="1" t="n">
        <v>71</v>
      </c>
      <c r="M382" s="1" t="n">
        <v>23.7</v>
      </c>
      <c r="N382" s="1" t="n">
        <v>20.2</v>
      </c>
      <c r="O382" s="1" t="n">
        <v>0</v>
      </c>
      <c r="P382" s="6" t="s">
        <v>43</v>
      </c>
      <c r="Q382" s="6" t="s">
        <v>43</v>
      </c>
      <c r="R382" s="1" t="n">
        <v>1004.9</v>
      </c>
      <c r="S382" s="1" t="n">
        <v>27</v>
      </c>
      <c r="T382" s="1" t="n">
        <v>56.3</v>
      </c>
      <c r="U382" s="1" t="n">
        <v>81</v>
      </c>
      <c r="V382" s="1" t="n">
        <v>1224</v>
      </c>
      <c r="W382" s="1" t="n">
        <v>76.3</v>
      </c>
      <c r="X382" s="1" t="n">
        <v>28.4</v>
      </c>
      <c r="Y382" s="1" t="n">
        <v>36</v>
      </c>
      <c r="Z382" s="1" t="n">
        <v>48</v>
      </c>
      <c r="AA382" s="1" t="n">
        <v>135</v>
      </c>
      <c r="AB382" s="7" t="s">
        <v>81</v>
      </c>
      <c r="AC382" s="7" t="s">
        <v>82</v>
      </c>
      <c r="AD382" s="7" t="s">
        <v>83</v>
      </c>
      <c r="AE382" s="7" t="s">
        <v>84</v>
      </c>
      <c r="AF382" s="4" t="n">
        <f aca="false">IF(T382="","",IF(T382&lt;=30,(50/30)*T382,IF(T382&lt;=60,50+((100-50)/(60-30))*(T382-30),IF(T382&lt;=90,100+((200-100)/(90-60))*(T382-60),IF(T382&lt;=120,200+((300-200)/(120-90))*(T382-90),IF(T382&lt;=250,300+((400-300)/(250-120))*(T382-120),IF(T382&lt;=380,400+((500-400)/(380-250))*(T382-250),500)))))))</f>
        <v>93.8333333333333</v>
      </c>
      <c r="AG382" s="4" t="n">
        <f aca="false">IF(U382="","",IF(U382&lt;=50,(50/50)*U382,IF(U382&lt;=100,50+((100-50)/(100-50))*(U382-50),IF(U382&lt;=250,100+((200-100)/(250-100))*(U382-100),IF(U382&lt;=350,200+((300-200)/(350-250))*(U382-250),IF(U382&lt;=430,300+((400-300)/(430-350))*(U382-350),IF(U382&lt;=600,400+((500-400)/(600-430))*(U382-430),500)))))))</f>
        <v>81</v>
      </c>
      <c r="AH382" s="4" t="n">
        <f aca="false">IF(V382="","",IF((V382/1000)&lt;=1,(50/1)*(V382/1000),IF((V382/1000)&lt;=2,50+((100-50)/(2-1))*(V382/1000-1),IF((V382/1000)&lt;=10,100+((200-100)/(10-2))*(V382/1000-2),IF((V382/1000)&lt;=17,200+((300-200)/(17-10))*(V382/1000-10),IF((V382/1000)&lt;=34,300+((400-300)/(34-17))*(V382/1000-17),IF((V382/1000)&lt;=57,400+((500-400)/(57-34))*(V382/1000-34),500)))))))</f>
        <v>61.2</v>
      </c>
      <c r="AI382" s="4" t="n">
        <f aca="false">IF(W382="","",IF(W382&lt;=40,(50/40)*W382,IF(W382&lt;=80,50+((100-50)/(80-40))*(W382-40),IF(W382&lt;=180,100+((200-100)/(180-80))*(W382-80),IF(W382&lt;=280,200+((300-200)/(280-180))*(W382-180),IF(W382&lt;=400,300+((400-300)/(400-280))*(W382-280),IF(W382&lt;=800,400+((500-400)/(800-400))*(W382-400),500)))))))</f>
        <v>95.375</v>
      </c>
      <c r="AJ382" s="4" t="n">
        <f aca="false">IF(X382="","",IF(X382&lt;=40,(50/40)*X382,IF(X382&lt;=80,50+((100-50)/(80-40))*(X382-40),IF(X382&lt;=380,100+((200-100)/(380-80))*(X382-80),IF(X382&lt;=800,200+((300-200)/(800-380))*(X382-380),IF(X382&lt;=1600,300+((400-300)/(1600-800))*(X382-800),IF(X382&lt;=2100,400+((500-400)/(2100-1600))*(X382-1600),500)))))))</f>
        <v>35.5</v>
      </c>
      <c r="AK382" s="4" t="n">
        <f aca="false">IF(Y382="","",IF(Y382&lt;=50,(50/50)*Y382,IF(Y382&lt;=100,50+((100-50)/(100-50))*(Y382-50),IF(Y382&lt;=168,100+((200-100)/(168-100))*(Y382-100),IF(Y382&lt;=208,200+((300-200)/(208-168))*(Y382-168),IF(Y382&lt;=748,300+((400-300)/(748-208))*(Y382-208),IF(Y382&lt;=1000,400+((500-400)/(1000-748))*(Y382-748),500)))))))</f>
        <v>36</v>
      </c>
      <c r="AL382" s="4" t="n">
        <f aca="false">ROUND(MAX(AF382,AG382,AH382,AI382,AJ382,AK382),0)</f>
        <v>95</v>
      </c>
      <c r="AM382" s="4" t="str">
        <f aca="false">IF(AL382="","",IF(AL382&lt;=50,"Good",IF(AL382&lt;=100,"Satisfactory",IF(AL382&lt;=200,"Moderate",IF(AL382&lt;=300,"Poor",IF(AL382&lt;=400,"Very Poor","Severe"))))))</f>
        <v>Satisfactory</v>
      </c>
    </row>
    <row r="383" customFormat="false" ht="15.75" hidden="false" customHeight="false" outlineLevel="0" collapsed="false">
      <c r="A383" s="1" t="s">
        <v>39</v>
      </c>
      <c r="B383" s="1" t="s">
        <v>40</v>
      </c>
      <c r="C383" s="1" t="n">
        <v>28.4595</v>
      </c>
      <c r="D383" s="1" t="n">
        <v>77.0266</v>
      </c>
      <c r="E383" s="5" t="n">
        <v>45916</v>
      </c>
      <c r="F383" s="6" t="s">
        <v>74</v>
      </c>
      <c r="G383" s="1" t="n">
        <v>9</v>
      </c>
      <c r="H383" s="7" t="s">
        <v>78</v>
      </c>
      <c r="I383" s="6" t="s">
        <v>43</v>
      </c>
      <c r="J383" s="7" t="s">
        <v>44</v>
      </c>
      <c r="K383" s="7" t="s">
        <v>75</v>
      </c>
      <c r="L383" s="1" t="n">
        <v>70</v>
      </c>
      <c r="M383" s="1" t="n">
        <v>22.9</v>
      </c>
      <c r="N383" s="1" t="n">
        <v>22.7</v>
      </c>
      <c r="O383" s="1" t="n">
        <v>0</v>
      </c>
      <c r="P383" s="6" t="s">
        <v>43</v>
      </c>
      <c r="Q383" s="6" t="s">
        <v>43</v>
      </c>
      <c r="R383" s="1" t="n">
        <v>1005.5</v>
      </c>
      <c r="S383" s="1" t="n">
        <v>18</v>
      </c>
      <c r="T383" s="1" t="n">
        <v>59.8</v>
      </c>
      <c r="U383" s="1" t="n">
        <v>84.3</v>
      </c>
      <c r="V383" s="1" t="n">
        <v>1130</v>
      </c>
      <c r="W383" s="1" t="n">
        <v>69.6</v>
      </c>
      <c r="X383" s="1" t="n">
        <v>28.7</v>
      </c>
      <c r="Y383" s="1" t="n">
        <v>41</v>
      </c>
      <c r="Z383" s="1" t="n">
        <v>49</v>
      </c>
      <c r="AA383" s="1" t="n">
        <v>135</v>
      </c>
      <c r="AB383" s="7" t="s">
        <v>81</v>
      </c>
      <c r="AC383" s="7" t="s">
        <v>82</v>
      </c>
      <c r="AD383" s="7" t="s">
        <v>83</v>
      </c>
      <c r="AE383" s="7" t="s">
        <v>84</v>
      </c>
      <c r="AF383" s="4" t="n">
        <f aca="false">IF(T383="","",IF(T383&lt;=30,(50/30)*T383,IF(T383&lt;=60,50+((100-50)/(60-30))*(T383-30),IF(T383&lt;=90,100+((200-100)/(90-60))*(T383-60),IF(T383&lt;=120,200+((300-200)/(120-90))*(T383-90),IF(T383&lt;=250,300+((400-300)/(250-120))*(T383-120),IF(T383&lt;=380,400+((500-400)/(380-250))*(T383-250),500)))))))</f>
        <v>99.6666666666667</v>
      </c>
      <c r="AG383" s="4" t="n">
        <f aca="false">IF(U383="","",IF(U383&lt;=50,(50/50)*U383,IF(U383&lt;=100,50+((100-50)/(100-50))*(U383-50),IF(U383&lt;=250,100+((200-100)/(250-100))*(U383-100),IF(U383&lt;=350,200+((300-200)/(350-250))*(U383-250),IF(U383&lt;=430,300+((400-300)/(430-350))*(U383-350),IF(U383&lt;=600,400+((500-400)/(600-430))*(U383-430),500)))))))</f>
        <v>84.3</v>
      </c>
      <c r="AH383" s="4" t="n">
        <f aca="false">IF(V383="","",IF((V383/1000)&lt;=1,(50/1)*(V383/1000),IF((V383/1000)&lt;=2,50+((100-50)/(2-1))*(V383/1000-1),IF((V383/1000)&lt;=10,100+((200-100)/(10-2))*(V383/1000-2),IF((V383/1000)&lt;=17,200+((300-200)/(17-10))*(V383/1000-10),IF((V383/1000)&lt;=34,300+((400-300)/(34-17))*(V383/1000-17),IF((V383/1000)&lt;=57,400+((500-400)/(57-34))*(V383/1000-34),500)))))))</f>
        <v>56.5</v>
      </c>
      <c r="AI383" s="4" t="n">
        <f aca="false">IF(W383="","",IF(W383&lt;=40,(50/40)*W383,IF(W383&lt;=80,50+((100-50)/(80-40))*(W383-40),IF(W383&lt;=180,100+((200-100)/(180-80))*(W383-80),IF(W383&lt;=280,200+((300-200)/(280-180))*(W383-180),IF(W383&lt;=400,300+((400-300)/(400-280))*(W383-280),IF(W383&lt;=800,400+((500-400)/(800-400))*(W383-400),500)))))))</f>
        <v>87</v>
      </c>
      <c r="AJ383" s="4" t="n">
        <f aca="false">IF(X383="","",IF(X383&lt;=40,(50/40)*X383,IF(X383&lt;=80,50+((100-50)/(80-40))*(X383-40),IF(X383&lt;=380,100+((200-100)/(380-80))*(X383-80),IF(X383&lt;=800,200+((300-200)/(800-380))*(X383-380),IF(X383&lt;=1600,300+((400-300)/(1600-800))*(X383-800),IF(X383&lt;=2100,400+((500-400)/(2100-1600))*(X383-1600),500)))))))</f>
        <v>35.875</v>
      </c>
      <c r="AK383" s="4" t="n">
        <f aca="false">IF(Y383="","",IF(Y383&lt;=50,(50/50)*Y383,IF(Y383&lt;=100,50+((100-50)/(100-50))*(Y383-50),IF(Y383&lt;=168,100+((200-100)/(168-100))*(Y383-100),IF(Y383&lt;=208,200+((300-200)/(208-168))*(Y383-168),IF(Y383&lt;=748,300+((400-300)/(748-208))*(Y383-208),IF(Y383&lt;=1000,400+((500-400)/(1000-748))*(Y383-748),500)))))))</f>
        <v>41</v>
      </c>
      <c r="AL383" s="4" t="n">
        <f aca="false">ROUND(MAX(AF383,AG383,AH383,AI383,AJ383,AK383),0)</f>
        <v>100</v>
      </c>
      <c r="AM383" s="4" t="str">
        <f aca="false">IF(AL383="","",IF(AL383&lt;=50,"Good",IF(AL383&lt;=100,"Satisfactory",IF(AL383&lt;=200,"Moderate",IF(AL383&lt;=300,"Poor",IF(AL383&lt;=400,"Very Poor","Severe"))))))</f>
        <v>Satisfactory</v>
      </c>
    </row>
    <row r="384" customFormat="false" ht="15.75" hidden="false" customHeight="false" outlineLevel="0" collapsed="false">
      <c r="A384" s="1" t="s">
        <v>39</v>
      </c>
      <c r="B384" s="1" t="s">
        <v>40</v>
      </c>
      <c r="C384" s="1" t="n">
        <v>28.4595</v>
      </c>
      <c r="D384" s="1" t="n">
        <v>77.0266</v>
      </c>
      <c r="E384" s="5" t="n">
        <v>45916</v>
      </c>
      <c r="F384" s="6" t="s">
        <v>76</v>
      </c>
      <c r="G384" s="1" t="n">
        <v>9</v>
      </c>
      <c r="H384" s="7" t="s">
        <v>78</v>
      </c>
      <c r="I384" s="6" t="s">
        <v>43</v>
      </c>
      <c r="J384" s="7" t="s">
        <v>44</v>
      </c>
      <c r="K384" s="7" t="s">
        <v>75</v>
      </c>
      <c r="L384" s="1" t="n">
        <v>76</v>
      </c>
      <c r="M384" s="1" t="n">
        <v>23.2</v>
      </c>
      <c r="N384" s="1" t="n">
        <v>21.2</v>
      </c>
      <c r="O384" s="1" t="n">
        <v>0</v>
      </c>
      <c r="P384" s="6" t="s">
        <v>43</v>
      </c>
      <c r="Q384" s="6" t="s">
        <v>43</v>
      </c>
      <c r="R384" s="1" t="n">
        <v>1006</v>
      </c>
      <c r="S384" s="1" t="n">
        <v>11</v>
      </c>
      <c r="T384" s="1" t="n">
        <v>55.8</v>
      </c>
      <c r="U384" s="1" t="n">
        <v>85.2</v>
      </c>
      <c r="V384" s="1" t="n">
        <v>870</v>
      </c>
      <c r="W384" s="1" t="n">
        <v>52.1</v>
      </c>
      <c r="X384" s="1" t="n">
        <v>27</v>
      </c>
      <c r="Y384" s="1" t="n">
        <v>61</v>
      </c>
      <c r="Z384" s="1" t="n">
        <v>51</v>
      </c>
      <c r="AA384" s="1" t="n">
        <v>135</v>
      </c>
      <c r="AB384" s="7" t="s">
        <v>81</v>
      </c>
      <c r="AC384" s="7" t="s">
        <v>82</v>
      </c>
      <c r="AD384" s="7" t="s">
        <v>83</v>
      </c>
      <c r="AE384" s="7" t="s">
        <v>84</v>
      </c>
      <c r="AF384" s="4" t="n">
        <f aca="false">IF(T384="","",IF(T384&lt;=30,(50/30)*T384,IF(T384&lt;=60,50+((100-50)/(60-30))*(T384-30),IF(T384&lt;=90,100+((200-100)/(90-60))*(T384-60),IF(T384&lt;=120,200+((300-200)/(120-90))*(T384-90),IF(T384&lt;=250,300+((400-300)/(250-120))*(T384-120),IF(T384&lt;=380,400+((500-400)/(380-250))*(T384-250),500)))))))</f>
        <v>93</v>
      </c>
      <c r="AG384" s="4" t="n">
        <f aca="false">IF(U384="","",IF(U384&lt;=50,(50/50)*U384,IF(U384&lt;=100,50+((100-50)/(100-50))*(U384-50),IF(U384&lt;=250,100+((200-100)/(250-100))*(U384-100),IF(U384&lt;=350,200+((300-200)/(350-250))*(U384-250),IF(U384&lt;=430,300+((400-300)/(430-350))*(U384-350),IF(U384&lt;=600,400+((500-400)/(600-430))*(U384-430),500)))))))</f>
        <v>85.2</v>
      </c>
      <c r="AH384" s="4" t="n">
        <f aca="false">IF(V384="","",IF((V384/1000)&lt;=1,(50/1)*(V384/1000),IF((V384/1000)&lt;=2,50+((100-50)/(2-1))*(V384/1000-1),IF((V384/1000)&lt;=10,100+((200-100)/(10-2))*(V384/1000-2),IF((V384/1000)&lt;=17,200+((300-200)/(17-10))*(V384/1000-10),IF((V384/1000)&lt;=34,300+((400-300)/(34-17))*(V384/1000-17),IF((V384/1000)&lt;=57,400+((500-400)/(57-34))*(V384/1000-34),500)))))))</f>
        <v>43.5</v>
      </c>
      <c r="AI384" s="4" t="n">
        <f aca="false">IF(W384="","",IF(W384&lt;=40,(50/40)*W384,IF(W384&lt;=80,50+((100-50)/(80-40))*(W384-40),IF(W384&lt;=180,100+((200-100)/(180-80))*(W384-80),IF(W384&lt;=280,200+((300-200)/(280-180))*(W384-180),IF(W384&lt;=400,300+((400-300)/(400-280))*(W384-280),IF(W384&lt;=800,400+((500-400)/(800-400))*(W384-400),500)))))))</f>
        <v>65.125</v>
      </c>
      <c r="AJ384" s="4" t="n">
        <f aca="false">IF(X384="","",IF(X384&lt;=40,(50/40)*X384,IF(X384&lt;=80,50+((100-50)/(80-40))*(X384-40),IF(X384&lt;=380,100+((200-100)/(380-80))*(X384-80),IF(X384&lt;=800,200+((300-200)/(800-380))*(X384-380),IF(X384&lt;=1600,300+((400-300)/(1600-800))*(X384-800),IF(X384&lt;=2100,400+((500-400)/(2100-1600))*(X384-1600),500)))))))</f>
        <v>33.75</v>
      </c>
      <c r="AK384" s="4" t="n">
        <f aca="false">IF(Y384="","",IF(Y384&lt;=50,(50/50)*Y384,IF(Y384&lt;=100,50+((100-50)/(100-50))*(Y384-50),IF(Y384&lt;=168,100+((200-100)/(168-100))*(Y384-100),IF(Y384&lt;=208,200+((300-200)/(208-168))*(Y384-168),IF(Y384&lt;=748,300+((400-300)/(748-208))*(Y384-208),IF(Y384&lt;=1000,400+((500-400)/(1000-748))*(Y384-748),500)))))))</f>
        <v>61</v>
      </c>
      <c r="AL384" s="4" t="n">
        <f aca="false">ROUND(MAX(AF384,AG384,AH384,AI384,AJ384,AK384),0)</f>
        <v>93</v>
      </c>
      <c r="AM384" s="4" t="str">
        <f aca="false">IF(AL384="","",IF(AL384&lt;=50,"Good",IF(AL384&lt;=100,"Satisfactory",IF(AL384&lt;=200,"Moderate",IF(AL384&lt;=300,"Poor",IF(AL384&lt;=400,"Very Poor","Severe"))))))</f>
        <v>Satisfactory</v>
      </c>
    </row>
    <row r="385" customFormat="false" ht="15.75" hidden="false" customHeight="false" outlineLevel="0" collapsed="false">
      <c r="A385" s="1" t="s">
        <v>39</v>
      </c>
      <c r="B385" s="1" t="s">
        <v>40</v>
      </c>
      <c r="C385" s="1" t="n">
        <v>28.4595</v>
      </c>
      <c r="D385" s="1" t="n">
        <v>77.0266</v>
      </c>
      <c r="E385" s="5" t="n">
        <v>45916</v>
      </c>
      <c r="F385" s="6" t="s">
        <v>77</v>
      </c>
      <c r="G385" s="1" t="n">
        <v>9</v>
      </c>
      <c r="H385" s="7" t="s">
        <v>78</v>
      </c>
      <c r="I385" s="6" t="s">
        <v>43</v>
      </c>
      <c r="J385" s="7" t="s">
        <v>44</v>
      </c>
      <c r="K385" s="7" t="s">
        <v>75</v>
      </c>
      <c r="L385" s="1" t="n">
        <v>82</v>
      </c>
      <c r="M385" s="1" t="n">
        <v>23.8</v>
      </c>
      <c r="N385" s="1" t="n">
        <v>19.8</v>
      </c>
      <c r="O385" s="1" t="n">
        <v>0</v>
      </c>
      <c r="P385" s="6" t="s">
        <v>43</v>
      </c>
      <c r="Q385" s="6" t="s">
        <v>43</v>
      </c>
      <c r="R385" s="1" t="n">
        <v>1006.1</v>
      </c>
      <c r="S385" s="1" t="n">
        <v>9</v>
      </c>
      <c r="T385" s="1" t="n">
        <v>54.4</v>
      </c>
      <c r="U385" s="1" t="n">
        <v>79.6</v>
      </c>
      <c r="V385" s="1" t="n">
        <v>653</v>
      </c>
      <c r="W385" s="1" t="n">
        <v>37.5</v>
      </c>
      <c r="X385" s="1" t="n">
        <v>25.2</v>
      </c>
      <c r="Y385" s="1" t="n">
        <v>77</v>
      </c>
      <c r="Z385" s="1" t="n">
        <v>49</v>
      </c>
      <c r="AA385" s="1" t="n">
        <v>132</v>
      </c>
      <c r="AB385" s="7" t="s">
        <v>81</v>
      </c>
      <c r="AC385" s="7" t="s">
        <v>82</v>
      </c>
      <c r="AD385" s="7" t="s">
        <v>83</v>
      </c>
      <c r="AE385" s="7" t="s">
        <v>84</v>
      </c>
      <c r="AF385" s="4" t="n">
        <f aca="false">IF(T385="","",IF(T385&lt;=30,(50/30)*T385,IF(T385&lt;=60,50+((100-50)/(60-30))*(T385-30),IF(T385&lt;=90,100+((200-100)/(90-60))*(T385-60),IF(T385&lt;=120,200+((300-200)/(120-90))*(T385-90),IF(T385&lt;=250,300+((400-300)/(250-120))*(T385-120),IF(T385&lt;=380,400+((500-400)/(380-250))*(T385-250),500)))))))</f>
        <v>90.6666666666667</v>
      </c>
      <c r="AG385" s="4" t="n">
        <f aca="false">IF(U385="","",IF(U385&lt;=50,(50/50)*U385,IF(U385&lt;=100,50+((100-50)/(100-50))*(U385-50),IF(U385&lt;=250,100+((200-100)/(250-100))*(U385-100),IF(U385&lt;=350,200+((300-200)/(350-250))*(U385-250),IF(U385&lt;=430,300+((400-300)/(430-350))*(U385-350),IF(U385&lt;=600,400+((500-400)/(600-430))*(U385-430),500)))))))</f>
        <v>79.6</v>
      </c>
      <c r="AH385" s="4" t="n">
        <f aca="false">IF(V385="","",IF((V385/1000)&lt;=1,(50/1)*(V385/1000),IF((V385/1000)&lt;=2,50+((100-50)/(2-1))*(V385/1000-1),IF((V385/1000)&lt;=10,100+((200-100)/(10-2))*(V385/1000-2),IF((V385/1000)&lt;=17,200+((300-200)/(17-10))*(V385/1000-10),IF((V385/1000)&lt;=34,300+((400-300)/(34-17))*(V385/1000-17),IF((V385/1000)&lt;=57,400+((500-400)/(57-34))*(V385/1000-34),500)))))))</f>
        <v>32.65</v>
      </c>
      <c r="AI385" s="4" t="n">
        <f aca="false">IF(W385="","",IF(W385&lt;=40,(50/40)*W385,IF(W385&lt;=80,50+((100-50)/(80-40))*(W385-40),IF(W385&lt;=180,100+((200-100)/(180-80))*(W385-80),IF(W385&lt;=280,200+((300-200)/(280-180))*(W385-180),IF(W385&lt;=400,300+((400-300)/(400-280))*(W385-280),IF(W385&lt;=800,400+((500-400)/(800-400))*(W385-400),500)))))))</f>
        <v>46.875</v>
      </c>
      <c r="AJ385" s="4" t="n">
        <f aca="false">IF(X385="","",IF(X385&lt;=40,(50/40)*X385,IF(X385&lt;=80,50+((100-50)/(80-40))*(X385-40),IF(X385&lt;=380,100+((200-100)/(380-80))*(X385-80),IF(X385&lt;=800,200+((300-200)/(800-380))*(X385-380),IF(X385&lt;=1600,300+((400-300)/(1600-800))*(X385-800),IF(X385&lt;=2100,400+((500-400)/(2100-1600))*(X385-1600),500)))))))</f>
        <v>31.5</v>
      </c>
      <c r="AK385" s="4" t="n">
        <f aca="false">IF(Y385="","",IF(Y385&lt;=50,(50/50)*Y385,IF(Y385&lt;=100,50+((100-50)/(100-50))*(Y385-50),IF(Y385&lt;=168,100+((200-100)/(168-100))*(Y385-100),IF(Y385&lt;=208,200+((300-200)/(208-168))*(Y385-168),IF(Y385&lt;=748,300+((400-300)/(748-208))*(Y385-208),IF(Y385&lt;=1000,400+((500-400)/(1000-748))*(Y385-748),500)))))))</f>
        <v>77</v>
      </c>
      <c r="AL385" s="4" t="n">
        <f aca="false">ROUND(MAX(AF385,AG385,AH385,AI385,AJ385,AK385),0)</f>
        <v>91</v>
      </c>
      <c r="AM385" s="4" t="str">
        <f aca="false">IF(AL385="","",IF(AL385&lt;=50,"Good",IF(AL385&lt;=100,"Satisfactory",IF(AL385&lt;=200,"Moderate",IF(AL385&lt;=300,"Poor",IF(AL385&lt;=400,"Very Poor","Severe"))))))</f>
        <v>Satisfactory</v>
      </c>
    </row>
    <row r="386" customFormat="false" ht="15.75" hidden="false" customHeight="false" outlineLevel="0" collapsed="false">
      <c r="A386" s="1" t="s">
        <v>39</v>
      </c>
      <c r="B386" s="1" t="s">
        <v>40</v>
      </c>
      <c r="C386" s="1" t="n">
        <v>28.4595</v>
      </c>
      <c r="D386" s="1" t="n">
        <v>77.0266</v>
      </c>
      <c r="E386" s="5" t="n">
        <v>45917</v>
      </c>
      <c r="F386" s="6" t="s">
        <v>41</v>
      </c>
      <c r="G386" s="1" t="n">
        <v>9</v>
      </c>
      <c r="H386" s="7" t="s">
        <v>79</v>
      </c>
      <c r="I386" s="6" t="s">
        <v>43</v>
      </c>
      <c r="J386" s="7" t="s">
        <v>44</v>
      </c>
      <c r="K386" s="7" t="s">
        <v>45</v>
      </c>
      <c r="L386" s="1" t="n">
        <v>85</v>
      </c>
      <c r="M386" s="1" t="n">
        <v>23.9</v>
      </c>
      <c r="N386" s="1" t="n">
        <v>20.2</v>
      </c>
      <c r="O386" s="1" t="n">
        <v>0</v>
      </c>
      <c r="P386" s="6" t="s">
        <v>43</v>
      </c>
      <c r="Q386" s="6" t="s">
        <v>43</v>
      </c>
      <c r="R386" s="1" t="n">
        <v>1006</v>
      </c>
      <c r="S386" s="1" t="n">
        <v>3</v>
      </c>
      <c r="T386" s="1" t="n">
        <v>53</v>
      </c>
      <c r="U386" s="1" t="n">
        <v>70.5</v>
      </c>
      <c r="V386" s="1" t="n">
        <v>554</v>
      </c>
      <c r="W386" s="1" t="n">
        <v>31</v>
      </c>
      <c r="X386" s="1" t="n">
        <v>23.5</v>
      </c>
      <c r="Y386" s="1" t="n">
        <v>82</v>
      </c>
      <c r="Z386" s="1" t="n">
        <v>41</v>
      </c>
      <c r="AA386" s="1" t="n">
        <v>128</v>
      </c>
      <c r="AB386" s="7" t="s">
        <v>81</v>
      </c>
      <c r="AC386" s="7" t="s">
        <v>82</v>
      </c>
      <c r="AD386" s="7" t="s">
        <v>83</v>
      </c>
      <c r="AE386" s="7" t="s">
        <v>84</v>
      </c>
      <c r="AF386" s="4" t="n">
        <f aca="false">IF(T386="","",IF(T386&lt;=30,(50/30)*T386,IF(T386&lt;=60,50+((100-50)/(60-30))*(T386-30),IF(T386&lt;=90,100+((200-100)/(90-60))*(T386-60),IF(T386&lt;=120,200+((300-200)/(120-90))*(T386-90),IF(T386&lt;=250,300+((400-300)/(250-120))*(T386-120),IF(T386&lt;=380,400+((500-400)/(380-250))*(T386-250),500)))))))</f>
        <v>88.3333333333333</v>
      </c>
      <c r="AG386" s="4" t="n">
        <f aca="false">IF(U386="","",IF(U386&lt;=50,(50/50)*U386,IF(U386&lt;=100,50+((100-50)/(100-50))*(U386-50),IF(U386&lt;=250,100+((200-100)/(250-100))*(U386-100),IF(U386&lt;=350,200+((300-200)/(350-250))*(U386-250),IF(U386&lt;=430,300+((400-300)/(430-350))*(U386-350),IF(U386&lt;=600,400+((500-400)/(600-430))*(U386-430),500)))))))</f>
        <v>70.5</v>
      </c>
      <c r="AH386" s="4" t="n">
        <f aca="false">IF(V386="","",IF((V386/1000)&lt;=1,(50/1)*(V386/1000),IF((V386/1000)&lt;=2,50+((100-50)/(2-1))*(V386/1000-1),IF((V386/1000)&lt;=10,100+((200-100)/(10-2))*(V386/1000-2),IF((V386/1000)&lt;=17,200+((300-200)/(17-10))*(V386/1000-10),IF((V386/1000)&lt;=34,300+((400-300)/(34-17))*(V386/1000-17),IF((V386/1000)&lt;=57,400+((500-400)/(57-34))*(V386/1000-34),500)))))))</f>
        <v>27.7</v>
      </c>
      <c r="AI386" s="4" t="n">
        <f aca="false">IF(W386="","",IF(W386&lt;=40,(50/40)*W386,IF(W386&lt;=80,50+((100-50)/(80-40))*(W386-40),IF(W386&lt;=180,100+((200-100)/(180-80))*(W386-80),IF(W386&lt;=280,200+((300-200)/(280-180))*(W386-180),IF(W386&lt;=400,300+((400-300)/(400-280))*(W386-280),IF(W386&lt;=800,400+((500-400)/(800-400))*(W386-400),500)))))))</f>
        <v>38.75</v>
      </c>
      <c r="AJ386" s="4" t="n">
        <f aca="false">IF(X386="","",IF(X386&lt;=40,(50/40)*X386,IF(X386&lt;=80,50+((100-50)/(80-40))*(X386-40),IF(X386&lt;=380,100+((200-100)/(380-80))*(X386-80),IF(X386&lt;=800,200+((300-200)/(800-380))*(X386-380),IF(X386&lt;=1600,300+((400-300)/(1600-800))*(X386-800),IF(X386&lt;=2100,400+((500-400)/(2100-1600))*(X386-1600),500)))))))</f>
        <v>29.375</v>
      </c>
      <c r="AK386" s="4" t="n">
        <f aca="false">IF(Y386="","",IF(Y386&lt;=50,(50/50)*Y386,IF(Y386&lt;=100,50+((100-50)/(100-50))*(Y386-50),IF(Y386&lt;=168,100+((200-100)/(168-100))*(Y386-100),IF(Y386&lt;=208,200+((300-200)/(208-168))*(Y386-168),IF(Y386&lt;=748,300+((400-300)/(748-208))*(Y386-208),IF(Y386&lt;=1000,400+((500-400)/(1000-748))*(Y386-748),500)))))))</f>
        <v>82</v>
      </c>
      <c r="AL386" s="4" t="n">
        <f aca="false">ROUND(MAX(AF386,AG386,AH386,AI386,AJ386,AK386),0)</f>
        <v>88</v>
      </c>
      <c r="AM386" s="4" t="str">
        <f aca="false">IF(AL386="","",IF(AL386&lt;=50,"Good",IF(AL386&lt;=100,"Satisfactory",IF(AL386&lt;=200,"Moderate",IF(AL386&lt;=300,"Poor",IF(AL386&lt;=400,"Very Poor","Severe"))))))</f>
        <v>Satisfactory</v>
      </c>
    </row>
    <row r="387" customFormat="false" ht="15.75" hidden="false" customHeight="false" outlineLevel="0" collapsed="false">
      <c r="A387" s="1" t="s">
        <v>39</v>
      </c>
      <c r="B387" s="1" t="s">
        <v>40</v>
      </c>
      <c r="C387" s="1" t="n">
        <v>28.4595</v>
      </c>
      <c r="D387" s="1" t="n">
        <v>77.0266</v>
      </c>
      <c r="E387" s="5" t="n">
        <v>45917</v>
      </c>
      <c r="F387" s="6" t="s">
        <v>49</v>
      </c>
      <c r="G387" s="1" t="n">
        <v>9</v>
      </c>
      <c r="H387" s="7" t="s">
        <v>79</v>
      </c>
      <c r="I387" s="6" t="s">
        <v>43</v>
      </c>
      <c r="J387" s="7" t="s">
        <v>44</v>
      </c>
      <c r="K387" s="7" t="s">
        <v>45</v>
      </c>
      <c r="L387" s="1" t="n">
        <v>86</v>
      </c>
      <c r="M387" s="1" t="n">
        <v>23.7</v>
      </c>
      <c r="N387" s="1" t="n">
        <v>20.5</v>
      </c>
      <c r="O387" s="1" t="n">
        <v>0</v>
      </c>
      <c r="P387" s="6" t="s">
        <v>43</v>
      </c>
      <c r="Q387" s="6" t="s">
        <v>43</v>
      </c>
      <c r="R387" s="1" t="n">
        <v>1005.6</v>
      </c>
      <c r="S387" s="1" t="n">
        <v>0</v>
      </c>
      <c r="T387" s="1" t="n">
        <v>51.6</v>
      </c>
      <c r="U387" s="1" t="n">
        <v>64.7</v>
      </c>
      <c r="V387" s="1" t="n">
        <v>498</v>
      </c>
      <c r="W387" s="1" t="n">
        <v>27.4</v>
      </c>
      <c r="X387" s="1" t="n">
        <v>21.6</v>
      </c>
      <c r="Y387" s="1" t="n">
        <v>84</v>
      </c>
      <c r="Z387" s="1" t="n">
        <v>30</v>
      </c>
      <c r="AA387" s="1" t="n">
        <v>123</v>
      </c>
      <c r="AB387" s="7" t="s">
        <v>81</v>
      </c>
      <c r="AC387" s="7" t="s">
        <v>82</v>
      </c>
      <c r="AD387" s="7" t="s">
        <v>83</v>
      </c>
      <c r="AE387" s="7" t="s">
        <v>84</v>
      </c>
      <c r="AF387" s="4" t="n">
        <f aca="false">IF(T387="","",IF(T387&lt;=30,(50/30)*T387,IF(T387&lt;=60,50+((100-50)/(60-30))*(T387-30),IF(T387&lt;=90,100+((200-100)/(90-60))*(T387-60),IF(T387&lt;=120,200+((300-200)/(120-90))*(T387-90),IF(T387&lt;=250,300+((400-300)/(250-120))*(T387-120),IF(T387&lt;=380,400+((500-400)/(380-250))*(T387-250),500)))))))</f>
        <v>86</v>
      </c>
      <c r="AG387" s="4" t="n">
        <f aca="false">IF(U387="","",IF(U387&lt;=50,(50/50)*U387,IF(U387&lt;=100,50+((100-50)/(100-50))*(U387-50),IF(U387&lt;=250,100+((200-100)/(250-100))*(U387-100),IF(U387&lt;=350,200+((300-200)/(350-250))*(U387-250),IF(U387&lt;=430,300+((400-300)/(430-350))*(U387-350),IF(U387&lt;=600,400+((500-400)/(600-430))*(U387-430),500)))))))</f>
        <v>64.7</v>
      </c>
      <c r="AH387" s="4" t="n">
        <f aca="false">IF(V387="","",IF((V387/1000)&lt;=1,(50/1)*(V387/1000),IF((V387/1000)&lt;=2,50+((100-50)/(2-1))*(V387/1000-1),IF((V387/1000)&lt;=10,100+((200-100)/(10-2))*(V387/1000-2),IF((V387/1000)&lt;=17,200+((300-200)/(17-10))*(V387/1000-10),IF((V387/1000)&lt;=34,300+((400-300)/(34-17))*(V387/1000-17),IF((V387/1000)&lt;=57,400+((500-400)/(57-34))*(V387/1000-34),500)))))))</f>
        <v>24.9</v>
      </c>
      <c r="AI387" s="4" t="n">
        <f aca="false">IF(W387="","",IF(W387&lt;=40,(50/40)*W387,IF(W387&lt;=80,50+((100-50)/(80-40))*(W387-40),IF(W387&lt;=180,100+((200-100)/(180-80))*(W387-80),IF(W387&lt;=280,200+((300-200)/(280-180))*(W387-180),IF(W387&lt;=400,300+((400-300)/(400-280))*(W387-280),IF(W387&lt;=800,400+((500-400)/(800-400))*(W387-400),500)))))))</f>
        <v>34.25</v>
      </c>
      <c r="AJ387" s="4" t="n">
        <f aca="false">IF(X387="","",IF(X387&lt;=40,(50/40)*X387,IF(X387&lt;=80,50+((100-50)/(80-40))*(X387-40),IF(X387&lt;=380,100+((200-100)/(380-80))*(X387-80),IF(X387&lt;=800,200+((300-200)/(800-380))*(X387-380),IF(X387&lt;=1600,300+((400-300)/(1600-800))*(X387-800),IF(X387&lt;=2100,400+((500-400)/(2100-1600))*(X387-1600),500)))))))</f>
        <v>27</v>
      </c>
      <c r="AK387" s="4" t="n">
        <f aca="false">IF(Y387="","",IF(Y387&lt;=50,(50/50)*Y387,IF(Y387&lt;=100,50+((100-50)/(100-50))*(Y387-50),IF(Y387&lt;=168,100+((200-100)/(168-100))*(Y387-100),IF(Y387&lt;=208,200+((300-200)/(208-168))*(Y387-168),IF(Y387&lt;=748,300+((400-300)/(748-208))*(Y387-208),IF(Y387&lt;=1000,400+((500-400)/(1000-748))*(Y387-748),500)))))))</f>
        <v>84</v>
      </c>
      <c r="AL387" s="4" t="n">
        <f aca="false">ROUND(MAX(AF387,AG387,AH387,AI387,AJ387,AK387),0)</f>
        <v>86</v>
      </c>
      <c r="AM387" s="4" t="str">
        <f aca="false">IF(AL387="","",IF(AL387&lt;=50,"Good",IF(AL387&lt;=100,"Satisfactory",IF(AL387&lt;=200,"Moderate",IF(AL387&lt;=300,"Poor",IF(AL387&lt;=400,"Very Poor","Severe"))))))</f>
        <v>Satisfactory</v>
      </c>
    </row>
    <row r="388" customFormat="false" ht="15.75" hidden="false" customHeight="false" outlineLevel="0" collapsed="false">
      <c r="A388" s="1" t="s">
        <v>39</v>
      </c>
      <c r="B388" s="1" t="s">
        <v>40</v>
      </c>
      <c r="C388" s="1" t="n">
        <v>28.4595</v>
      </c>
      <c r="D388" s="1" t="n">
        <v>77.0266</v>
      </c>
      <c r="E388" s="5" t="n">
        <v>45917</v>
      </c>
      <c r="F388" s="6" t="s">
        <v>51</v>
      </c>
      <c r="G388" s="1" t="n">
        <v>9</v>
      </c>
      <c r="H388" s="7" t="s">
        <v>79</v>
      </c>
      <c r="I388" s="6" t="s">
        <v>43</v>
      </c>
      <c r="J388" s="7" t="s">
        <v>44</v>
      </c>
      <c r="K388" s="7" t="s">
        <v>45</v>
      </c>
      <c r="L388" s="1" t="n">
        <v>87</v>
      </c>
      <c r="M388" s="1" t="n">
        <v>23.6</v>
      </c>
      <c r="N388" s="1" t="n">
        <v>19.8</v>
      </c>
      <c r="O388" s="1" t="n">
        <v>0</v>
      </c>
      <c r="P388" s="6" t="s">
        <v>43</v>
      </c>
      <c r="Q388" s="6" t="s">
        <v>43</v>
      </c>
      <c r="R388" s="1" t="n">
        <v>1005.2</v>
      </c>
      <c r="S388" s="1" t="n">
        <v>0</v>
      </c>
      <c r="T388" s="1" t="n">
        <v>50.4</v>
      </c>
      <c r="U388" s="1" t="n">
        <v>61.2</v>
      </c>
      <c r="V388" s="1" t="n">
        <v>463</v>
      </c>
      <c r="W388" s="1" t="n">
        <v>24.8</v>
      </c>
      <c r="X388" s="1" t="n">
        <v>20.1</v>
      </c>
      <c r="Y388" s="1" t="n">
        <v>83</v>
      </c>
      <c r="Z388" s="1" t="n">
        <v>21</v>
      </c>
      <c r="AA388" s="1" t="n">
        <v>120</v>
      </c>
      <c r="AB388" s="7" t="s">
        <v>81</v>
      </c>
      <c r="AC388" s="7" t="s">
        <v>82</v>
      </c>
      <c r="AD388" s="7" t="s">
        <v>83</v>
      </c>
      <c r="AE388" s="7" t="s">
        <v>84</v>
      </c>
      <c r="AF388" s="4" t="n">
        <f aca="false">IF(T388="","",IF(T388&lt;=30,(50/30)*T388,IF(T388&lt;=60,50+((100-50)/(60-30))*(T388-30),IF(T388&lt;=90,100+((200-100)/(90-60))*(T388-60),IF(T388&lt;=120,200+((300-200)/(120-90))*(T388-90),IF(T388&lt;=250,300+((400-300)/(250-120))*(T388-120),IF(T388&lt;=380,400+((500-400)/(380-250))*(T388-250),500)))))))</f>
        <v>84</v>
      </c>
      <c r="AG388" s="4" t="n">
        <f aca="false">IF(U388="","",IF(U388&lt;=50,(50/50)*U388,IF(U388&lt;=100,50+((100-50)/(100-50))*(U388-50),IF(U388&lt;=250,100+((200-100)/(250-100))*(U388-100),IF(U388&lt;=350,200+((300-200)/(350-250))*(U388-250),IF(U388&lt;=430,300+((400-300)/(430-350))*(U388-350),IF(U388&lt;=600,400+((500-400)/(600-430))*(U388-430),500)))))))</f>
        <v>61.2</v>
      </c>
      <c r="AH388" s="4" t="n">
        <f aca="false">IF(V388="","",IF((V388/1000)&lt;=1,(50/1)*(V388/1000),IF((V388/1000)&lt;=2,50+((100-50)/(2-1))*(V388/1000-1),IF((V388/1000)&lt;=10,100+((200-100)/(10-2))*(V388/1000-2),IF((V388/1000)&lt;=17,200+((300-200)/(17-10))*(V388/1000-10),IF((V388/1000)&lt;=34,300+((400-300)/(34-17))*(V388/1000-17),IF((V388/1000)&lt;=57,400+((500-400)/(57-34))*(V388/1000-34),500)))))))</f>
        <v>23.15</v>
      </c>
      <c r="AI388" s="4" t="n">
        <f aca="false">IF(W388="","",IF(W388&lt;=40,(50/40)*W388,IF(W388&lt;=80,50+((100-50)/(80-40))*(W388-40),IF(W388&lt;=180,100+((200-100)/(180-80))*(W388-80),IF(W388&lt;=280,200+((300-200)/(280-180))*(W388-180),IF(W388&lt;=400,300+((400-300)/(400-280))*(W388-280),IF(W388&lt;=800,400+((500-400)/(800-400))*(W388-400),500)))))))</f>
        <v>31</v>
      </c>
      <c r="AJ388" s="4" t="n">
        <f aca="false">IF(X388="","",IF(X388&lt;=40,(50/40)*X388,IF(X388&lt;=80,50+((100-50)/(80-40))*(X388-40),IF(X388&lt;=380,100+((200-100)/(380-80))*(X388-80),IF(X388&lt;=800,200+((300-200)/(800-380))*(X388-380),IF(X388&lt;=1600,300+((400-300)/(1600-800))*(X388-800),IF(X388&lt;=2100,400+((500-400)/(2100-1600))*(X388-1600),500)))))))</f>
        <v>25.125</v>
      </c>
      <c r="AK388" s="4" t="n">
        <f aca="false">IF(Y388="","",IF(Y388&lt;=50,(50/50)*Y388,IF(Y388&lt;=100,50+((100-50)/(100-50))*(Y388-50),IF(Y388&lt;=168,100+((200-100)/(168-100))*(Y388-100),IF(Y388&lt;=208,200+((300-200)/(208-168))*(Y388-168),IF(Y388&lt;=748,300+((400-300)/(748-208))*(Y388-208),IF(Y388&lt;=1000,400+((500-400)/(1000-748))*(Y388-748),500)))))))</f>
        <v>83</v>
      </c>
      <c r="AL388" s="4" t="n">
        <f aca="false">ROUND(MAX(AF388,AG388,AH388,AI388,AJ388,AK388),0)</f>
        <v>84</v>
      </c>
      <c r="AM388" s="4" t="str">
        <f aca="false">IF(AL388="","",IF(AL388&lt;=50,"Good",IF(AL388&lt;=100,"Satisfactory",IF(AL388&lt;=200,"Moderate",IF(AL388&lt;=300,"Poor",IF(AL388&lt;=400,"Very Poor","Severe"))))))</f>
        <v>Satisfactory</v>
      </c>
    </row>
    <row r="389" customFormat="false" ht="15.75" hidden="false" customHeight="false" outlineLevel="0" collapsed="false">
      <c r="A389" s="1" t="s">
        <v>39</v>
      </c>
      <c r="B389" s="1" t="s">
        <v>40</v>
      </c>
      <c r="C389" s="1" t="n">
        <v>28.4595</v>
      </c>
      <c r="D389" s="1" t="n">
        <v>77.0266</v>
      </c>
      <c r="E389" s="5" t="n">
        <v>45917</v>
      </c>
      <c r="F389" s="6" t="s">
        <v>52</v>
      </c>
      <c r="G389" s="1" t="n">
        <v>9</v>
      </c>
      <c r="H389" s="7" t="s">
        <v>79</v>
      </c>
      <c r="I389" s="6" t="s">
        <v>43</v>
      </c>
      <c r="J389" s="7" t="s">
        <v>44</v>
      </c>
      <c r="K389" s="7" t="s">
        <v>45</v>
      </c>
      <c r="L389" s="1" t="n">
        <v>89</v>
      </c>
      <c r="M389" s="1" t="n">
        <v>23.7</v>
      </c>
      <c r="N389" s="1" t="n">
        <v>17.6</v>
      </c>
      <c r="O389" s="1" t="n">
        <v>0</v>
      </c>
      <c r="P389" s="6" t="s">
        <v>43</v>
      </c>
      <c r="Q389" s="6" t="s">
        <v>43</v>
      </c>
      <c r="R389" s="1" t="n">
        <v>1005.2</v>
      </c>
      <c r="S389" s="1" t="n">
        <v>0</v>
      </c>
      <c r="T389" s="1" t="n">
        <v>49.9</v>
      </c>
      <c r="U389" s="1" t="n">
        <v>59.8</v>
      </c>
      <c r="V389" s="1" t="n">
        <v>442</v>
      </c>
      <c r="W389" s="1" t="n">
        <v>22.8</v>
      </c>
      <c r="X389" s="1" t="n">
        <v>19.2</v>
      </c>
      <c r="Y389" s="1" t="n">
        <v>80</v>
      </c>
      <c r="Z389" s="1" t="n">
        <v>18</v>
      </c>
      <c r="AA389" s="1" t="n">
        <v>116</v>
      </c>
      <c r="AB389" s="7" t="s">
        <v>81</v>
      </c>
      <c r="AC389" s="7" t="s">
        <v>82</v>
      </c>
      <c r="AD389" s="7" t="s">
        <v>83</v>
      </c>
      <c r="AE389" s="7" t="s">
        <v>84</v>
      </c>
      <c r="AF389" s="4" t="n">
        <f aca="false">IF(T389="","",IF(T389&lt;=30,(50/30)*T389,IF(T389&lt;=60,50+((100-50)/(60-30))*(T389-30),IF(T389&lt;=90,100+((200-100)/(90-60))*(T389-60),IF(T389&lt;=120,200+((300-200)/(120-90))*(T389-90),IF(T389&lt;=250,300+((400-300)/(250-120))*(T389-120),IF(T389&lt;=380,400+((500-400)/(380-250))*(T389-250),500)))))))</f>
        <v>83.1666666666667</v>
      </c>
      <c r="AG389" s="4" t="n">
        <f aca="false">IF(U389="","",IF(U389&lt;=50,(50/50)*U389,IF(U389&lt;=100,50+((100-50)/(100-50))*(U389-50),IF(U389&lt;=250,100+((200-100)/(250-100))*(U389-100),IF(U389&lt;=350,200+((300-200)/(350-250))*(U389-250),IF(U389&lt;=430,300+((400-300)/(430-350))*(U389-350),IF(U389&lt;=600,400+((500-400)/(600-430))*(U389-430),500)))))))</f>
        <v>59.8</v>
      </c>
      <c r="AH389" s="4" t="n">
        <f aca="false">IF(V389="","",IF((V389/1000)&lt;=1,(50/1)*(V389/1000),IF((V389/1000)&lt;=2,50+((100-50)/(2-1))*(V389/1000-1),IF((V389/1000)&lt;=10,100+((200-100)/(10-2))*(V389/1000-2),IF((V389/1000)&lt;=17,200+((300-200)/(17-10))*(V389/1000-10),IF((V389/1000)&lt;=34,300+((400-300)/(34-17))*(V389/1000-17),IF((V389/1000)&lt;=57,400+((500-400)/(57-34))*(V389/1000-34),500)))))))</f>
        <v>22.1</v>
      </c>
      <c r="AI389" s="4" t="n">
        <f aca="false">IF(W389="","",IF(W389&lt;=40,(50/40)*W389,IF(W389&lt;=80,50+((100-50)/(80-40))*(W389-40),IF(W389&lt;=180,100+((200-100)/(180-80))*(W389-80),IF(W389&lt;=280,200+((300-200)/(280-180))*(W389-180),IF(W389&lt;=400,300+((400-300)/(400-280))*(W389-280),IF(W389&lt;=800,400+((500-400)/(800-400))*(W389-400),500)))))))</f>
        <v>28.5</v>
      </c>
      <c r="AJ389" s="4" t="n">
        <f aca="false">IF(X389="","",IF(X389&lt;=40,(50/40)*X389,IF(X389&lt;=80,50+((100-50)/(80-40))*(X389-40),IF(X389&lt;=380,100+((200-100)/(380-80))*(X389-80),IF(X389&lt;=800,200+((300-200)/(800-380))*(X389-380),IF(X389&lt;=1600,300+((400-300)/(1600-800))*(X389-800),IF(X389&lt;=2100,400+((500-400)/(2100-1600))*(X389-1600),500)))))))</f>
        <v>24</v>
      </c>
      <c r="AK389" s="4" t="n">
        <f aca="false">IF(Y389="","",IF(Y389&lt;=50,(50/50)*Y389,IF(Y389&lt;=100,50+((100-50)/(100-50))*(Y389-50),IF(Y389&lt;=168,100+((200-100)/(168-100))*(Y389-100),IF(Y389&lt;=208,200+((300-200)/(208-168))*(Y389-168),IF(Y389&lt;=748,300+((400-300)/(748-208))*(Y389-208),IF(Y389&lt;=1000,400+((500-400)/(1000-748))*(Y389-748),500)))))))</f>
        <v>80</v>
      </c>
      <c r="AL389" s="4" t="n">
        <f aca="false">ROUND(MAX(AF389,AG389,AH389,AI389,AJ389,AK389),0)</f>
        <v>83</v>
      </c>
      <c r="AM389" s="4" t="str">
        <f aca="false">IF(AL389="","",IF(AL389&lt;=50,"Good",IF(AL389&lt;=100,"Satisfactory",IF(AL389&lt;=200,"Moderate",IF(AL389&lt;=300,"Poor",IF(AL389&lt;=400,"Very Poor","Severe"))))))</f>
        <v>Satisfactory</v>
      </c>
    </row>
    <row r="390" customFormat="false" ht="15.75" hidden="false" customHeight="false" outlineLevel="0" collapsed="false">
      <c r="A390" s="1" t="s">
        <v>39</v>
      </c>
      <c r="B390" s="1" t="s">
        <v>40</v>
      </c>
      <c r="C390" s="1" t="n">
        <v>28.4595</v>
      </c>
      <c r="D390" s="1" t="n">
        <v>77.0266</v>
      </c>
      <c r="E390" s="5" t="n">
        <v>45917</v>
      </c>
      <c r="F390" s="6" t="s">
        <v>53</v>
      </c>
      <c r="G390" s="1" t="n">
        <v>9</v>
      </c>
      <c r="H390" s="7" t="s">
        <v>79</v>
      </c>
      <c r="I390" s="6" t="s">
        <v>43</v>
      </c>
      <c r="J390" s="7" t="s">
        <v>44</v>
      </c>
      <c r="K390" s="7" t="s">
        <v>45</v>
      </c>
      <c r="L390" s="1" t="n">
        <v>91</v>
      </c>
      <c r="M390" s="1" t="n">
        <v>23.8</v>
      </c>
      <c r="N390" s="1" t="n">
        <v>13.3</v>
      </c>
      <c r="O390" s="1" t="n">
        <v>0</v>
      </c>
      <c r="P390" s="6" t="s">
        <v>43</v>
      </c>
      <c r="Q390" s="6" t="s">
        <v>43</v>
      </c>
      <c r="R390" s="1" t="n">
        <v>1005.4</v>
      </c>
      <c r="S390" s="1" t="n">
        <v>0</v>
      </c>
      <c r="T390" s="1" t="n">
        <v>49.5</v>
      </c>
      <c r="U390" s="1" t="n">
        <v>59.3</v>
      </c>
      <c r="V390" s="1" t="n">
        <v>442</v>
      </c>
      <c r="W390" s="1" t="n">
        <v>21.8</v>
      </c>
      <c r="X390" s="1" t="n">
        <v>18.7</v>
      </c>
      <c r="Y390" s="1" t="n">
        <v>74</v>
      </c>
      <c r="Z390" s="1" t="n">
        <v>17</v>
      </c>
      <c r="AA390" s="1" t="n">
        <v>113</v>
      </c>
      <c r="AB390" s="7" t="s">
        <v>81</v>
      </c>
      <c r="AC390" s="7" t="s">
        <v>82</v>
      </c>
      <c r="AD390" s="7" t="s">
        <v>83</v>
      </c>
      <c r="AE390" s="7" t="s">
        <v>84</v>
      </c>
      <c r="AF390" s="4" t="n">
        <f aca="false">IF(T390="","",IF(T390&lt;=30,(50/30)*T390,IF(T390&lt;=60,50+((100-50)/(60-30))*(T390-30),IF(T390&lt;=90,100+((200-100)/(90-60))*(T390-60),IF(T390&lt;=120,200+((300-200)/(120-90))*(T390-90),IF(T390&lt;=250,300+((400-300)/(250-120))*(T390-120),IF(T390&lt;=380,400+((500-400)/(380-250))*(T390-250),500)))))))</f>
        <v>82.5</v>
      </c>
      <c r="AG390" s="4" t="n">
        <f aca="false">IF(U390="","",IF(U390&lt;=50,(50/50)*U390,IF(U390&lt;=100,50+((100-50)/(100-50))*(U390-50),IF(U390&lt;=250,100+((200-100)/(250-100))*(U390-100),IF(U390&lt;=350,200+((300-200)/(350-250))*(U390-250),IF(U390&lt;=430,300+((400-300)/(430-350))*(U390-350),IF(U390&lt;=600,400+((500-400)/(600-430))*(U390-430),500)))))))</f>
        <v>59.3</v>
      </c>
      <c r="AH390" s="4" t="n">
        <f aca="false">IF(V390="","",IF((V390/1000)&lt;=1,(50/1)*(V390/1000),IF((V390/1000)&lt;=2,50+((100-50)/(2-1))*(V390/1000-1),IF((V390/1000)&lt;=10,100+((200-100)/(10-2))*(V390/1000-2),IF((V390/1000)&lt;=17,200+((300-200)/(17-10))*(V390/1000-10),IF((V390/1000)&lt;=34,300+((400-300)/(34-17))*(V390/1000-17),IF((V390/1000)&lt;=57,400+((500-400)/(57-34))*(V390/1000-34),500)))))))</f>
        <v>22.1</v>
      </c>
      <c r="AI390" s="4" t="n">
        <f aca="false">IF(W390="","",IF(W390&lt;=40,(50/40)*W390,IF(W390&lt;=80,50+((100-50)/(80-40))*(W390-40),IF(W390&lt;=180,100+((200-100)/(180-80))*(W390-80),IF(W390&lt;=280,200+((300-200)/(280-180))*(W390-180),IF(W390&lt;=400,300+((400-300)/(400-280))*(W390-280),IF(W390&lt;=800,400+((500-400)/(800-400))*(W390-400),500)))))))</f>
        <v>27.25</v>
      </c>
      <c r="AJ390" s="4" t="n">
        <f aca="false">IF(X390="","",IF(X390&lt;=40,(50/40)*X390,IF(X390&lt;=80,50+((100-50)/(80-40))*(X390-40),IF(X390&lt;=380,100+((200-100)/(380-80))*(X390-80),IF(X390&lt;=800,200+((300-200)/(800-380))*(X390-380),IF(X390&lt;=1600,300+((400-300)/(1600-800))*(X390-800),IF(X390&lt;=2100,400+((500-400)/(2100-1600))*(X390-1600),500)))))))</f>
        <v>23.375</v>
      </c>
      <c r="AK390" s="4" t="n">
        <f aca="false">IF(Y390="","",IF(Y390&lt;=50,(50/50)*Y390,IF(Y390&lt;=100,50+((100-50)/(100-50))*(Y390-50),IF(Y390&lt;=168,100+((200-100)/(168-100))*(Y390-100),IF(Y390&lt;=208,200+((300-200)/(208-168))*(Y390-168),IF(Y390&lt;=748,300+((400-300)/(748-208))*(Y390-208),IF(Y390&lt;=1000,400+((500-400)/(1000-748))*(Y390-748),500)))))))</f>
        <v>74</v>
      </c>
      <c r="AL390" s="4" t="n">
        <f aca="false">ROUND(MAX(AF390,AG390,AH390,AI390,AJ390,AK390),0)</f>
        <v>83</v>
      </c>
      <c r="AM390" s="4" t="str">
        <f aca="false">IF(AL390="","",IF(AL390&lt;=50,"Good",IF(AL390&lt;=100,"Satisfactory",IF(AL390&lt;=200,"Moderate",IF(AL390&lt;=300,"Poor",IF(AL390&lt;=400,"Very Poor","Severe"))))))</f>
        <v>Satisfactory</v>
      </c>
    </row>
    <row r="391" customFormat="false" ht="15.75" hidden="false" customHeight="false" outlineLevel="0" collapsed="false">
      <c r="A391" s="1" t="s">
        <v>39</v>
      </c>
      <c r="B391" s="1" t="s">
        <v>40</v>
      </c>
      <c r="C391" s="1" t="n">
        <v>28.4595</v>
      </c>
      <c r="D391" s="1" t="n">
        <v>77.0266</v>
      </c>
      <c r="E391" s="5" t="n">
        <v>45917</v>
      </c>
      <c r="F391" s="6" t="s">
        <v>54</v>
      </c>
      <c r="G391" s="1" t="n">
        <v>9</v>
      </c>
      <c r="H391" s="7" t="s">
        <v>79</v>
      </c>
      <c r="I391" s="6" t="s">
        <v>43</v>
      </c>
      <c r="J391" s="7" t="s">
        <v>44</v>
      </c>
      <c r="K391" s="7" t="s">
        <v>45</v>
      </c>
      <c r="L391" s="1" t="n">
        <v>95</v>
      </c>
      <c r="M391" s="1" t="n">
        <v>24.1</v>
      </c>
      <c r="N391" s="1" t="n">
        <v>10.4</v>
      </c>
      <c r="O391" s="1" t="n">
        <v>0</v>
      </c>
      <c r="P391" s="6" t="s">
        <v>43</v>
      </c>
      <c r="Q391" s="6" t="s">
        <v>43</v>
      </c>
      <c r="R391" s="1" t="n">
        <v>1005.8</v>
      </c>
      <c r="S391" s="1" t="n">
        <v>2</v>
      </c>
      <c r="T391" s="1" t="n">
        <v>45.6</v>
      </c>
      <c r="U391" s="1" t="n">
        <v>48.3</v>
      </c>
      <c r="V391" s="1" t="n">
        <v>465</v>
      </c>
      <c r="W391" s="1" t="n">
        <v>25.1</v>
      </c>
      <c r="X391" s="1" t="n">
        <v>18.3</v>
      </c>
      <c r="Y391" s="1" t="n">
        <v>60</v>
      </c>
      <c r="Z391" s="1" t="n">
        <v>5</v>
      </c>
      <c r="AA391" s="1" t="n">
        <v>110</v>
      </c>
      <c r="AB391" s="7" t="s">
        <v>81</v>
      </c>
      <c r="AC391" s="7" t="s">
        <v>82</v>
      </c>
      <c r="AD391" s="7" t="s">
        <v>83</v>
      </c>
      <c r="AE391" s="7" t="s">
        <v>84</v>
      </c>
      <c r="AF391" s="4" t="n">
        <f aca="false">IF(T391="","",IF(T391&lt;=30,(50/30)*T391,IF(T391&lt;=60,50+((100-50)/(60-30))*(T391-30),IF(T391&lt;=90,100+((200-100)/(90-60))*(T391-60),IF(T391&lt;=120,200+((300-200)/(120-90))*(T391-90),IF(T391&lt;=250,300+((400-300)/(250-120))*(T391-120),IF(T391&lt;=380,400+((500-400)/(380-250))*(T391-250),500)))))))</f>
        <v>76</v>
      </c>
      <c r="AG391" s="4" t="n">
        <f aca="false">IF(U391="","",IF(U391&lt;=50,(50/50)*U391,IF(U391&lt;=100,50+((100-50)/(100-50))*(U391-50),IF(U391&lt;=250,100+((200-100)/(250-100))*(U391-100),IF(U391&lt;=350,200+((300-200)/(350-250))*(U391-250),IF(U391&lt;=430,300+((400-300)/(430-350))*(U391-350),IF(U391&lt;=600,400+((500-400)/(600-430))*(U391-430),500)))))))</f>
        <v>48.3</v>
      </c>
      <c r="AH391" s="4" t="n">
        <f aca="false">IF(V391="","",IF((V391/1000)&lt;=1,(50/1)*(V391/1000),IF((V391/1000)&lt;=2,50+((100-50)/(2-1))*(V391/1000-1),IF((V391/1000)&lt;=10,100+((200-100)/(10-2))*(V391/1000-2),IF((V391/1000)&lt;=17,200+((300-200)/(17-10))*(V391/1000-10),IF((V391/1000)&lt;=34,300+((400-300)/(34-17))*(V391/1000-17),IF((V391/1000)&lt;=57,400+((500-400)/(57-34))*(V391/1000-34),500)))))))</f>
        <v>23.25</v>
      </c>
      <c r="AI391" s="4" t="n">
        <f aca="false">IF(W391="","",IF(W391&lt;=40,(50/40)*W391,IF(W391&lt;=80,50+((100-50)/(80-40))*(W391-40),IF(W391&lt;=180,100+((200-100)/(180-80))*(W391-80),IF(W391&lt;=280,200+((300-200)/(280-180))*(W391-180),IF(W391&lt;=400,300+((400-300)/(400-280))*(W391-280),IF(W391&lt;=800,400+((500-400)/(800-400))*(W391-400),500)))))))</f>
        <v>31.375</v>
      </c>
      <c r="AJ391" s="4" t="n">
        <f aca="false">IF(X391="","",IF(X391&lt;=40,(50/40)*X391,IF(X391&lt;=80,50+((100-50)/(80-40))*(X391-40),IF(X391&lt;=380,100+((200-100)/(380-80))*(X391-80),IF(X391&lt;=800,200+((300-200)/(800-380))*(X391-380),IF(X391&lt;=1600,300+((400-300)/(1600-800))*(X391-800),IF(X391&lt;=2100,400+((500-400)/(2100-1600))*(X391-1600),500)))))))</f>
        <v>22.875</v>
      </c>
      <c r="AK391" s="4" t="n">
        <f aca="false">IF(Y391="","",IF(Y391&lt;=50,(50/50)*Y391,IF(Y391&lt;=100,50+((100-50)/(100-50))*(Y391-50),IF(Y391&lt;=168,100+((200-100)/(168-100))*(Y391-100),IF(Y391&lt;=208,200+((300-200)/(208-168))*(Y391-168),IF(Y391&lt;=748,300+((400-300)/(748-208))*(Y391-208),IF(Y391&lt;=1000,400+((500-400)/(1000-748))*(Y391-748),500)))))))</f>
        <v>60</v>
      </c>
      <c r="AL391" s="4" t="n">
        <f aca="false">ROUND(MAX(AF391,AG391,AH391,AI391,AJ391,AK391),0)</f>
        <v>76</v>
      </c>
      <c r="AM391" s="4" t="str">
        <f aca="false">IF(AL391="","",IF(AL391&lt;=50,"Good",IF(AL391&lt;=100,"Satisfactory",IF(AL391&lt;=200,"Moderate",IF(AL391&lt;=300,"Poor",IF(AL391&lt;=400,"Very Poor","Severe"))))))</f>
        <v>Satisfactory</v>
      </c>
    </row>
    <row r="392" customFormat="false" ht="15.75" hidden="false" customHeight="false" outlineLevel="0" collapsed="false">
      <c r="A392" s="1" t="s">
        <v>39</v>
      </c>
      <c r="B392" s="1" t="s">
        <v>40</v>
      </c>
      <c r="C392" s="1" t="n">
        <v>28.4595</v>
      </c>
      <c r="D392" s="1" t="n">
        <v>77.0266</v>
      </c>
      <c r="E392" s="5" t="n">
        <v>45917</v>
      </c>
      <c r="F392" s="6" t="s">
        <v>55</v>
      </c>
      <c r="G392" s="1" t="n">
        <v>9</v>
      </c>
      <c r="H392" s="7" t="s">
        <v>79</v>
      </c>
      <c r="I392" s="6" t="s">
        <v>43</v>
      </c>
      <c r="J392" s="7" t="s">
        <v>44</v>
      </c>
      <c r="K392" s="7" t="s">
        <v>56</v>
      </c>
      <c r="L392" s="1" t="n">
        <v>91</v>
      </c>
      <c r="M392" s="1" t="n">
        <v>24.9</v>
      </c>
      <c r="N392" s="1" t="n">
        <v>10.1</v>
      </c>
      <c r="O392" s="1" t="n">
        <v>0</v>
      </c>
      <c r="P392" s="6" t="s">
        <v>43</v>
      </c>
      <c r="Q392" s="6" t="s">
        <v>43</v>
      </c>
      <c r="R392" s="1" t="n">
        <v>1006</v>
      </c>
      <c r="S392" s="1" t="n">
        <v>15</v>
      </c>
      <c r="T392" s="1" t="n">
        <v>44.6</v>
      </c>
      <c r="U392" s="1" t="n">
        <v>49.1</v>
      </c>
      <c r="V392" s="1" t="n">
        <v>538</v>
      </c>
      <c r="W392" s="1" t="n">
        <v>27.6</v>
      </c>
      <c r="X392" s="1" t="n">
        <v>19.2</v>
      </c>
      <c r="Y392" s="1" t="n">
        <v>60</v>
      </c>
      <c r="Z392" s="1" t="n">
        <v>5</v>
      </c>
      <c r="AA392" s="1" t="n">
        <v>111</v>
      </c>
      <c r="AB392" s="7" t="s">
        <v>81</v>
      </c>
      <c r="AC392" s="7" t="s">
        <v>82</v>
      </c>
      <c r="AD392" s="7" t="s">
        <v>83</v>
      </c>
      <c r="AE392" s="7" t="s">
        <v>84</v>
      </c>
      <c r="AF392" s="4" t="n">
        <f aca="false">IF(T392="","",IF(T392&lt;=30,(50/30)*T392,IF(T392&lt;=60,50+((100-50)/(60-30))*(T392-30),IF(T392&lt;=90,100+((200-100)/(90-60))*(T392-60),IF(T392&lt;=120,200+((300-200)/(120-90))*(T392-90),IF(T392&lt;=250,300+((400-300)/(250-120))*(T392-120),IF(T392&lt;=380,400+((500-400)/(380-250))*(T392-250),500)))))))</f>
        <v>74.3333333333333</v>
      </c>
      <c r="AG392" s="4" t="n">
        <f aca="false">IF(U392="","",IF(U392&lt;=50,(50/50)*U392,IF(U392&lt;=100,50+((100-50)/(100-50))*(U392-50),IF(U392&lt;=250,100+((200-100)/(250-100))*(U392-100),IF(U392&lt;=350,200+((300-200)/(350-250))*(U392-250),IF(U392&lt;=430,300+((400-300)/(430-350))*(U392-350),IF(U392&lt;=600,400+((500-400)/(600-430))*(U392-430),500)))))))</f>
        <v>49.1</v>
      </c>
      <c r="AH392" s="4" t="n">
        <f aca="false">IF(V392="","",IF((V392/1000)&lt;=1,(50/1)*(V392/1000),IF((V392/1000)&lt;=2,50+((100-50)/(2-1))*(V392/1000-1),IF((V392/1000)&lt;=10,100+((200-100)/(10-2))*(V392/1000-2),IF((V392/1000)&lt;=17,200+((300-200)/(17-10))*(V392/1000-10),IF((V392/1000)&lt;=34,300+((400-300)/(34-17))*(V392/1000-17),IF((V392/1000)&lt;=57,400+((500-400)/(57-34))*(V392/1000-34),500)))))))</f>
        <v>26.9</v>
      </c>
      <c r="AI392" s="4" t="n">
        <f aca="false">IF(W392="","",IF(W392&lt;=40,(50/40)*W392,IF(W392&lt;=80,50+((100-50)/(80-40))*(W392-40),IF(W392&lt;=180,100+((200-100)/(180-80))*(W392-80),IF(W392&lt;=280,200+((300-200)/(280-180))*(W392-180),IF(W392&lt;=400,300+((400-300)/(400-280))*(W392-280),IF(W392&lt;=800,400+((500-400)/(800-400))*(W392-400),500)))))))</f>
        <v>34.5</v>
      </c>
      <c r="AJ392" s="4" t="n">
        <f aca="false">IF(X392="","",IF(X392&lt;=40,(50/40)*X392,IF(X392&lt;=80,50+((100-50)/(80-40))*(X392-40),IF(X392&lt;=380,100+((200-100)/(380-80))*(X392-80),IF(X392&lt;=800,200+((300-200)/(800-380))*(X392-380),IF(X392&lt;=1600,300+((400-300)/(1600-800))*(X392-800),IF(X392&lt;=2100,400+((500-400)/(2100-1600))*(X392-1600),500)))))))</f>
        <v>24</v>
      </c>
      <c r="AK392" s="4" t="n">
        <f aca="false">IF(Y392="","",IF(Y392&lt;=50,(50/50)*Y392,IF(Y392&lt;=100,50+((100-50)/(100-50))*(Y392-50),IF(Y392&lt;=168,100+((200-100)/(168-100))*(Y392-100),IF(Y392&lt;=208,200+((300-200)/(208-168))*(Y392-168),IF(Y392&lt;=748,300+((400-300)/(748-208))*(Y392-208),IF(Y392&lt;=1000,400+((500-400)/(1000-748))*(Y392-748),500)))))))</f>
        <v>60</v>
      </c>
      <c r="AL392" s="4" t="n">
        <f aca="false">ROUND(MAX(AF392,AG392,AH392,AI392,AJ392,AK392),0)</f>
        <v>74</v>
      </c>
      <c r="AM392" s="4" t="str">
        <f aca="false">IF(AL392="","",IF(AL392&lt;=50,"Good",IF(AL392&lt;=100,"Satisfactory",IF(AL392&lt;=200,"Moderate",IF(AL392&lt;=300,"Poor",IF(AL392&lt;=400,"Very Poor","Severe"))))))</f>
        <v>Satisfactory</v>
      </c>
    </row>
    <row r="393" customFormat="false" ht="15.75" hidden="false" customHeight="false" outlineLevel="0" collapsed="false">
      <c r="A393" s="1" t="s">
        <v>39</v>
      </c>
      <c r="B393" s="1" t="s">
        <v>40</v>
      </c>
      <c r="C393" s="1" t="n">
        <v>28.4595</v>
      </c>
      <c r="D393" s="1" t="n">
        <v>77.0266</v>
      </c>
      <c r="E393" s="5" t="n">
        <v>45917</v>
      </c>
      <c r="F393" s="6" t="s">
        <v>57</v>
      </c>
      <c r="G393" s="1" t="n">
        <v>9</v>
      </c>
      <c r="H393" s="7" t="s">
        <v>79</v>
      </c>
      <c r="I393" s="6" t="s">
        <v>43</v>
      </c>
      <c r="J393" s="7" t="s">
        <v>44</v>
      </c>
      <c r="K393" s="7" t="s">
        <v>56</v>
      </c>
      <c r="L393" s="1" t="n">
        <v>85</v>
      </c>
      <c r="M393" s="1" t="n">
        <v>24.7</v>
      </c>
      <c r="N393" s="1" t="n">
        <v>11.5</v>
      </c>
      <c r="O393" s="1" t="n">
        <v>0</v>
      </c>
      <c r="P393" s="6" t="s">
        <v>43</v>
      </c>
      <c r="Q393" s="6" t="s">
        <v>43</v>
      </c>
      <c r="R393" s="1" t="n">
        <v>1006.5</v>
      </c>
      <c r="S393" s="1" t="n">
        <v>11</v>
      </c>
      <c r="T393" s="1" t="n">
        <v>47</v>
      </c>
      <c r="U393" s="1" t="n">
        <v>51.7</v>
      </c>
      <c r="V393" s="1" t="n">
        <v>633</v>
      </c>
      <c r="W393" s="1" t="n">
        <v>30.6</v>
      </c>
      <c r="X393" s="1" t="n">
        <v>20.6</v>
      </c>
      <c r="Y393" s="1" t="n">
        <v>61</v>
      </c>
      <c r="Z393" s="1" t="n">
        <v>5</v>
      </c>
      <c r="AA393" s="1" t="n">
        <v>112</v>
      </c>
      <c r="AB393" s="7" t="s">
        <v>81</v>
      </c>
      <c r="AC393" s="7" t="s">
        <v>82</v>
      </c>
      <c r="AD393" s="7" t="s">
        <v>83</v>
      </c>
      <c r="AE393" s="7" t="s">
        <v>84</v>
      </c>
      <c r="AF393" s="4" t="n">
        <f aca="false">IF(T393="","",IF(T393&lt;=30,(50/30)*T393,IF(T393&lt;=60,50+((100-50)/(60-30))*(T393-30),IF(T393&lt;=90,100+((200-100)/(90-60))*(T393-60),IF(T393&lt;=120,200+((300-200)/(120-90))*(T393-90),IF(T393&lt;=250,300+((400-300)/(250-120))*(T393-120),IF(T393&lt;=380,400+((500-400)/(380-250))*(T393-250),500)))))))</f>
        <v>78.3333333333333</v>
      </c>
      <c r="AG393" s="4" t="n">
        <f aca="false">IF(U393="","",IF(U393&lt;=50,(50/50)*U393,IF(U393&lt;=100,50+((100-50)/(100-50))*(U393-50),IF(U393&lt;=250,100+((200-100)/(250-100))*(U393-100),IF(U393&lt;=350,200+((300-200)/(350-250))*(U393-250),IF(U393&lt;=430,300+((400-300)/(430-350))*(U393-350),IF(U393&lt;=600,400+((500-400)/(600-430))*(U393-430),500)))))))</f>
        <v>51.7</v>
      </c>
      <c r="AH393" s="4" t="n">
        <f aca="false">IF(V393="","",IF((V393/1000)&lt;=1,(50/1)*(V393/1000),IF((V393/1000)&lt;=2,50+((100-50)/(2-1))*(V393/1000-1),IF((V393/1000)&lt;=10,100+((200-100)/(10-2))*(V393/1000-2),IF((V393/1000)&lt;=17,200+((300-200)/(17-10))*(V393/1000-10),IF((V393/1000)&lt;=34,300+((400-300)/(34-17))*(V393/1000-17),IF((V393/1000)&lt;=57,400+((500-400)/(57-34))*(V393/1000-34),500)))))))</f>
        <v>31.65</v>
      </c>
      <c r="AI393" s="4" t="n">
        <f aca="false">IF(W393="","",IF(W393&lt;=40,(50/40)*W393,IF(W393&lt;=80,50+((100-50)/(80-40))*(W393-40),IF(W393&lt;=180,100+((200-100)/(180-80))*(W393-80),IF(W393&lt;=280,200+((300-200)/(280-180))*(W393-180),IF(W393&lt;=400,300+((400-300)/(400-280))*(W393-280),IF(W393&lt;=800,400+((500-400)/(800-400))*(W393-400),500)))))))</f>
        <v>38.25</v>
      </c>
      <c r="AJ393" s="4" t="n">
        <f aca="false">IF(X393="","",IF(X393&lt;=40,(50/40)*X393,IF(X393&lt;=80,50+((100-50)/(80-40))*(X393-40),IF(X393&lt;=380,100+((200-100)/(380-80))*(X393-80),IF(X393&lt;=800,200+((300-200)/(800-380))*(X393-380),IF(X393&lt;=1600,300+((400-300)/(1600-800))*(X393-800),IF(X393&lt;=2100,400+((500-400)/(2100-1600))*(X393-1600),500)))))))</f>
        <v>25.75</v>
      </c>
      <c r="AK393" s="4" t="n">
        <f aca="false">IF(Y393="","",IF(Y393&lt;=50,(50/50)*Y393,IF(Y393&lt;=100,50+((100-50)/(100-50))*(Y393-50),IF(Y393&lt;=168,100+((200-100)/(168-100))*(Y393-100),IF(Y393&lt;=208,200+((300-200)/(208-168))*(Y393-168),IF(Y393&lt;=748,300+((400-300)/(748-208))*(Y393-208),IF(Y393&lt;=1000,400+((500-400)/(1000-748))*(Y393-748),500)))))))</f>
        <v>61</v>
      </c>
      <c r="AL393" s="4" t="n">
        <f aca="false">ROUND(MAX(AF393,AG393,AH393,AI393,AJ393,AK393),0)</f>
        <v>78</v>
      </c>
      <c r="AM393" s="4" t="str">
        <f aca="false">IF(AL393="","",IF(AL393&lt;=50,"Good",IF(AL393&lt;=100,"Satisfactory",IF(AL393&lt;=200,"Moderate",IF(AL393&lt;=300,"Poor",IF(AL393&lt;=400,"Very Poor","Severe"))))))</f>
        <v>Satisfactory</v>
      </c>
    </row>
    <row r="394" customFormat="false" ht="15.75" hidden="false" customHeight="false" outlineLevel="0" collapsed="false">
      <c r="A394" s="1" t="s">
        <v>39</v>
      </c>
      <c r="B394" s="1" t="s">
        <v>40</v>
      </c>
      <c r="C394" s="1" t="n">
        <v>28.4595</v>
      </c>
      <c r="D394" s="1" t="n">
        <v>77.0266</v>
      </c>
      <c r="E394" s="5" t="n">
        <v>45917</v>
      </c>
      <c r="F394" s="6" t="s">
        <v>58</v>
      </c>
      <c r="G394" s="1" t="n">
        <v>9</v>
      </c>
      <c r="H394" s="7" t="s">
        <v>79</v>
      </c>
      <c r="I394" s="6" t="s">
        <v>43</v>
      </c>
      <c r="J394" s="7" t="s">
        <v>44</v>
      </c>
      <c r="K394" s="7" t="s">
        <v>56</v>
      </c>
      <c r="L394" s="1" t="n">
        <v>77</v>
      </c>
      <c r="M394" s="1" t="n">
        <v>24.8</v>
      </c>
      <c r="N394" s="1" t="n">
        <v>11.9</v>
      </c>
      <c r="O394" s="1" t="n">
        <v>0</v>
      </c>
      <c r="P394" s="6" t="s">
        <v>43</v>
      </c>
      <c r="Q394" s="6" t="s">
        <v>43</v>
      </c>
      <c r="R394" s="1" t="n">
        <v>1007</v>
      </c>
      <c r="S394" s="1" t="n">
        <v>9</v>
      </c>
      <c r="T394" s="1" t="n">
        <v>44.8</v>
      </c>
      <c r="U394" s="1" t="n">
        <v>50.3</v>
      </c>
      <c r="V394" s="1" t="n">
        <v>667</v>
      </c>
      <c r="W394" s="1" t="n">
        <v>30.7</v>
      </c>
      <c r="X394" s="1" t="n">
        <v>22</v>
      </c>
      <c r="Y394" s="1" t="n">
        <v>72</v>
      </c>
      <c r="Z394" s="1" t="n">
        <v>10</v>
      </c>
      <c r="AA394" s="1" t="n">
        <v>113</v>
      </c>
      <c r="AB394" s="7" t="s">
        <v>81</v>
      </c>
      <c r="AC394" s="7" t="s">
        <v>82</v>
      </c>
      <c r="AD394" s="7" t="s">
        <v>83</v>
      </c>
      <c r="AE394" s="7" t="s">
        <v>84</v>
      </c>
      <c r="AF394" s="4" t="n">
        <f aca="false">IF(T394="","",IF(T394&lt;=30,(50/30)*T394,IF(T394&lt;=60,50+((100-50)/(60-30))*(T394-30),IF(T394&lt;=90,100+((200-100)/(90-60))*(T394-60),IF(T394&lt;=120,200+((300-200)/(120-90))*(T394-90),IF(T394&lt;=250,300+((400-300)/(250-120))*(T394-120),IF(T394&lt;=380,400+((500-400)/(380-250))*(T394-250),500)))))))</f>
        <v>74.6666666666667</v>
      </c>
      <c r="AG394" s="4" t="n">
        <f aca="false">IF(U394="","",IF(U394&lt;=50,(50/50)*U394,IF(U394&lt;=100,50+((100-50)/(100-50))*(U394-50),IF(U394&lt;=250,100+((200-100)/(250-100))*(U394-100),IF(U394&lt;=350,200+((300-200)/(350-250))*(U394-250),IF(U394&lt;=430,300+((400-300)/(430-350))*(U394-350),IF(U394&lt;=600,400+((500-400)/(600-430))*(U394-430),500)))))))</f>
        <v>50.3</v>
      </c>
      <c r="AH394" s="4" t="n">
        <f aca="false">IF(V394="","",IF((V394/1000)&lt;=1,(50/1)*(V394/1000),IF((V394/1000)&lt;=2,50+((100-50)/(2-1))*(V394/1000-1),IF((V394/1000)&lt;=10,100+((200-100)/(10-2))*(V394/1000-2),IF((V394/1000)&lt;=17,200+((300-200)/(17-10))*(V394/1000-10),IF((V394/1000)&lt;=34,300+((400-300)/(34-17))*(V394/1000-17),IF((V394/1000)&lt;=57,400+((500-400)/(57-34))*(V394/1000-34),500)))))))</f>
        <v>33.35</v>
      </c>
      <c r="AI394" s="4" t="n">
        <f aca="false">IF(W394="","",IF(W394&lt;=40,(50/40)*W394,IF(W394&lt;=80,50+((100-50)/(80-40))*(W394-40),IF(W394&lt;=180,100+((200-100)/(180-80))*(W394-80),IF(W394&lt;=280,200+((300-200)/(280-180))*(W394-180),IF(W394&lt;=400,300+((400-300)/(400-280))*(W394-280),IF(W394&lt;=800,400+((500-400)/(800-400))*(W394-400),500)))))))</f>
        <v>38.375</v>
      </c>
      <c r="AJ394" s="4" t="n">
        <f aca="false">IF(X394="","",IF(X394&lt;=40,(50/40)*X394,IF(X394&lt;=80,50+((100-50)/(80-40))*(X394-40),IF(X394&lt;=380,100+((200-100)/(380-80))*(X394-80),IF(X394&lt;=800,200+((300-200)/(800-380))*(X394-380),IF(X394&lt;=1600,300+((400-300)/(1600-800))*(X394-800),IF(X394&lt;=2100,400+((500-400)/(2100-1600))*(X394-1600),500)))))))</f>
        <v>27.5</v>
      </c>
      <c r="AK394" s="4" t="n">
        <f aca="false">IF(Y394="","",IF(Y394&lt;=50,(50/50)*Y394,IF(Y394&lt;=100,50+((100-50)/(100-50))*(Y394-50),IF(Y394&lt;=168,100+((200-100)/(168-100))*(Y394-100),IF(Y394&lt;=208,200+((300-200)/(208-168))*(Y394-168),IF(Y394&lt;=748,300+((400-300)/(748-208))*(Y394-208),IF(Y394&lt;=1000,400+((500-400)/(1000-748))*(Y394-748),500)))))))</f>
        <v>72</v>
      </c>
      <c r="AL394" s="4" t="n">
        <f aca="false">ROUND(MAX(AF394,AG394,AH394,AI394,AJ394,AK394),0)</f>
        <v>75</v>
      </c>
      <c r="AM394" s="4" t="str">
        <f aca="false">IF(AL394="","",IF(AL394&lt;=50,"Good",IF(AL394&lt;=100,"Satisfactory",IF(AL394&lt;=200,"Moderate",IF(AL394&lt;=300,"Poor",IF(AL394&lt;=400,"Very Poor","Severe"))))))</f>
        <v>Satisfactory</v>
      </c>
    </row>
    <row r="395" customFormat="false" ht="15.75" hidden="false" customHeight="false" outlineLevel="0" collapsed="false">
      <c r="A395" s="1" t="s">
        <v>39</v>
      </c>
      <c r="B395" s="1" t="s">
        <v>40</v>
      </c>
      <c r="C395" s="1" t="n">
        <v>28.4595</v>
      </c>
      <c r="D395" s="1" t="n">
        <v>77.0266</v>
      </c>
      <c r="E395" s="5" t="n">
        <v>45917</v>
      </c>
      <c r="F395" s="6" t="s">
        <v>59</v>
      </c>
      <c r="G395" s="1" t="n">
        <v>9</v>
      </c>
      <c r="H395" s="7" t="s">
        <v>79</v>
      </c>
      <c r="I395" s="6" t="s">
        <v>43</v>
      </c>
      <c r="J395" s="7" t="s">
        <v>44</v>
      </c>
      <c r="K395" s="7" t="s">
        <v>60</v>
      </c>
      <c r="L395" s="1" t="n">
        <v>64</v>
      </c>
      <c r="M395" s="1" t="n">
        <v>23.7</v>
      </c>
      <c r="N395" s="1" t="n">
        <v>18.4</v>
      </c>
      <c r="O395" s="1" t="n">
        <v>0</v>
      </c>
      <c r="P395" s="6" t="s">
        <v>43</v>
      </c>
      <c r="Q395" s="6" t="s">
        <v>43</v>
      </c>
      <c r="R395" s="1" t="n">
        <v>1007.3</v>
      </c>
      <c r="S395" s="1" t="n">
        <v>2</v>
      </c>
      <c r="T395" s="1" t="n">
        <v>42.6</v>
      </c>
      <c r="U395" s="1" t="n">
        <v>51.6</v>
      </c>
      <c r="V395" s="1" t="n">
        <v>579</v>
      </c>
      <c r="W395" s="1" t="n">
        <v>24.8</v>
      </c>
      <c r="X395" s="1" t="n">
        <v>23.7</v>
      </c>
      <c r="Y395" s="1" t="n">
        <v>104</v>
      </c>
      <c r="Z395" s="1" t="n">
        <v>25</v>
      </c>
      <c r="AA395" s="1" t="n">
        <v>115</v>
      </c>
      <c r="AB395" s="7" t="s">
        <v>81</v>
      </c>
      <c r="AC395" s="7" t="s">
        <v>82</v>
      </c>
      <c r="AD395" s="7" t="s">
        <v>83</v>
      </c>
      <c r="AE395" s="7" t="s">
        <v>84</v>
      </c>
      <c r="AF395" s="4" t="n">
        <f aca="false">IF(T395="","",IF(T395&lt;=30,(50/30)*T395,IF(T395&lt;=60,50+((100-50)/(60-30))*(T395-30),IF(T395&lt;=90,100+((200-100)/(90-60))*(T395-60),IF(T395&lt;=120,200+((300-200)/(120-90))*(T395-90),IF(T395&lt;=250,300+((400-300)/(250-120))*(T395-120),IF(T395&lt;=380,400+((500-400)/(380-250))*(T395-250),500)))))))</f>
        <v>71</v>
      </c>
      <c r="AG395" s="4" t="n">
        <f aca="false">IF(U395="","",IF(U395&lt;=50,(50/50)*U395,IF(U395&lt;=100,50+((100-50)/(100-50))*(U395-50),IF(U395&lt;=250,100+((200-100)/(250-100))*(U395-100),IF(U395&lt;=350,200+((300-200)/(350-250))*(U395-250),IF(U395&lt;=430,300+((400-300)/(430-350))*(U395-350),IF(U395&lt;=600,400+((500-400)/(600-430))*(U395-430),500)))))))</f>
        <v>51.6</v>
      </c>
      <c r="AH395" s="4" t="n">
        <f aca="false">IF(V395="","",IF((V395/1000)&lt;=1,(50/1)*(V395/1000),IF((V395/1000)&lt;=2,50+((100-50)/(2-1))*(V395/1000-1),IF((V395/1000)&lt;=10,100+((200-100)/(10-2))*(V395/1000-2),IF((V395/1000)&lt;=17,200+((300-200)/(17-10))*(V395/1000-10),IF((V395/1000)&lt;=34,300+((400-300)/(34-17))*(V395/1000-17),IF((V395/1000)&lt;=57,400+((500-400)/(57-34))*(V395/1000-34),500)))))))</f>
        <v>28.95</v>
      </c>
      <c r="AI395" s="4" t="n">
        <f aca="false">IF(W395="","",IF(W395&lt;=40,(50/40)*W395,IF(W395&lt;=80,50+((100-50)/(80-40))*(W395-40),IF(W395&lt;=180,100+((200-100)/(180-80))*(W395-80),IF(W395&lt;=280,200+((300-200)/(280-180))*(W395-180),IF(W395&lt;=400,300+((400-300)/(400-280))*(W395-280),IF(W395&lt;=800,400+((500-400)/(800-400))*(W395-400),500)))))))</f>
        <v>31</v>
      </c>
      <c r="AJ395" s="4" t="n">
        <f aca="false">IF(X395="","",IF(X395&lt;=40,(50/40)*X395,IF(X395&lt;=80,50+((100-50)/(80-40))*(X395-40),IF(X395&lt;=380,100+((200-100)/(380-80))*(X395-80),IF(X395&lt;=800,200+((300-200)/(800-380))*(X395-380),IF(X395&lt;=1600,300+((400-300)/(1600-800))*(X395-800),IF(X395&lt;=2100,400+((500-400)/(2100-1600))*(X395-1600),500)))))))</f>
        <v>29.625</v>
      </c>
      <c r="AK395" s="4" t="n">
        <f aca="false">IF(Y395="","",IF(Y395&lt;=50,(50/50)*Y395,IF(Y395&lt;=100,50+((100-50)/(100-50))*(Y395-50),IF(Y395&lt;=168,100+((200-100)/(168-100))*(Y395-100),IF(Y395&lt;=208,200+((300-200)/(208-168))*(Y395-168),IF(Y395&lt;=748,300+((400-300)/(748-208))*(Y395-208),IF(Y395&lt;=1000,400+((500-400)/(1000-748))*(Y395-748),500)))))))</f>
        <v>105.882352941176</v>
      </c>
      <c r="AL395" s="4" t="n">
        <f aca="false">ROUND(MAX(AF395,AG395,AH395,AI395,AJ395,AK395),0)</f>
        <v>106</v>
      </c>
      <c r="AM395" s="4" t="str">
        <f aca="false">IF(AL395="","",IF(AL395&lt;=50,"Good",IF(AL395&lt;=100,"Satisfactory",IF(AL395&lt;=200,"Moderate",IF(AL395&lt;=300,"Poor",IF(AL395&lt;=400,"Very Poor","Severe"))))))</f>
        <v>Moderate</v>
      </c>
    </row>
    <row r="396" customFormat="false" ht="15.75" hidden="false" customHeight="false" outlineLevel="0" collapsed="false">
      <c r="A396" s="1" t="s">
        <v>39</v>
      </c>
      <c r="B396" s="1" t="s">
        <v>40</v>
      </c>
      <c r="C396" s="1" t="n">
        <v>28.4595</v>
      </c>
      <c r="D396" s="1" t="n">
        <v>77.0266</v>
      </c>
      <c r="E396" s="5" t="n">
        <v>45917</v>
      </c>
      <c r="F396" s="6" t="s">
        <v>61</v>
      </c>
      <c r="G396" s="1" t="n">
        <v>9</v>
      </c>
      <c r="H396" s="7" t="s">
        <v>79</v>
      </c>
      <c r="I396" s="6" t="s">
        <v>43</v>
      </c>
      <c r="J396" s="7" t="s">
        <v>44</v>
      </c>
      <c r="K396" s="7" t="s">
        <v>60</v>
      </c>
      <c r="L396" s="1" t="n">
        <v>52</v>
      </c>
      <c r="M396" s="1" t="n">
        <v>21.7</v>
      </c>
      <c r="N396" s="1" t="n">
        <v>21.2</v>
      </c>
      <c r="O396" s="1" t="n">
        <v>0</v>
      </c>
      <c r="P396" s="6" t="s">
        <v>43</v>
      </c>
      <c r="Q396" s="6" t="s">
        <v>43</v>
      </c>
      <c r="R396" s="1" t="n">
        <v>1007.1</v>
      </c>
      <c r="S396" s="1" t="n">
        <v>20</v>
      </c>
      <c r="T396" s="1" t="n">
        <v>39.3</v>
      </c>
      <c r="U396" s="1" t="n">
        <v>59.6</v>
      </c>
      <c r="V396" s="1" t="n">
        <v>429</v>
      </c>
      <c r="W396" s="1" t="n">
        <v>15.9</v>
      </c>
      <c r="X396" s="1" t="n">
        <v>25.5</v>
      </c>
      <c r="Y396" s="1" t="n">
        <v>146</v>
      </c>
      <c r="Z396" s="1" t="n">
        <v>44</v>
      </c>
      <c r="AA396" s="1" t="n">
        <v>117</v>
      </c>
      <c r="AB396" s="7" t="s">
        <v>81</v>
      </c>
      <c r="AC396" s="7" t="s">
        <v>82</v>
      </c>
      <c r="AD396" s="7" t="s">
        <v>83</v>
      </c>
      <c r="AE396" s="7" t="s">
        <v>84</v>
      </c>
      <c r="AF396" s="4" t="n">
        <f aca="false">IF(T396="","",IF(T396&lt;=30,(50/30)*T396,IF(T396&lt;=60,50+((100-50)/(60-30))*(T396-30),IF(T396&lt;=90,100+((200-100)/(90-60))*(T396-60),IF(T396&lt;=120,200+((300-200)/(120-90))*(T396-90),IF(T396&lt;=250,300+((400-300)/(250-120))*(T396-120),IF(T396&lt;=380,400+((500-400)/(380-250))*(T396-250),500)))))))</f>
        <v>65.5</v>
      </c>
      <c r="AG396" s="4" t="n">
        <f aca="false">IF(U396="","",IF(U396&lt;=50,(50/50)*U396,IF(U396&lt;=100,50+((100-50)/(100-50))*(U396-50),IF(U396&lt;=250,100+((200-100)/(250-100))*(U396-100),IF(U396&lt;=350,200+((300-200)/(350-250))*(U396-250),IF(U396&lt;=430,300+((400-300)/(430-350))*(U396-350),IF(U396&lt;=600,400+((500-400)/(600-430))*(U396-430),500)))))))</f>
        <v>59.6</v>
      </c>
      <c r="AH396" s="4" t="n">
        <f aca="false">IF(V396="","",IF((V396/1000)&lt;=1,(50/1)*(V396/1000),IF((V396/1000)&lt;=2,50+((100-50)/(2-1))*(V396/1000-1),IF((V396/1000)&lt;=10,100+((200-100)/(10-2))*(V396/1000-2),IF((V396/1000)&lt;=17,200+((300-200)/(17-10))*(V396/1000-10),IF((V396/1000)&lt;=34,300+((400-300)/(34-17))*(V396/1000-17),IF((V396/1000)&lt;=57,400+((500-400)/(57-34))*(V396/1000-34),500)))))))</f>
        <v>21.45</v>
      </c>
      <c r="AI396" s="4" t="n">
        <f aca="false">IF(W396="","",IF(W396&lt;=40,(50/40)*W396,IF(W396&lt;=80,50+((100-50)/(80-40))*(W396-40),IF(W396&lt;=180,100+((200-100)/(180-80))*(W396-80),IF(W396&lt;=280,200+((300-200)/(280-180))*(W396-180),IF(W396&lt;=400,300+((400-300)/(400-280))*(W396-280),IF(W396&lt;=800,400+((500-400)/(800-400))*(W396-400),500)))))))</f>
        <v>19.875</v>
      </c>
      <c r="AJ396" s="4" t="n">
        <f aca="false">IF(X396="","",IF(X396&lt;=40,(50/40)*X396,IF(X396&lt;=80,50+((100-50)/(80-40))*(X396-40),IF(X396&lt;=380,100+((200-100)/(380-80))*(X396-80),IF(X396&lt;=800,200+((300-200)/(800-380))*(X396-380),IF(X396&lt;=1600,300+((400-300)/(1600-800))*(X396-800),IF(X396&lt;=2100,400+((500-400)/(2100-1600))*(X396-1600),500)))))))</f>
        <v>31.875</v>
      </c>
      <c r="AK396" s="4" t="n">
        <f aca="false">IF(Y396="","",IF(Y396&lt;=50,(50/50)*Y396,IF(Y396&lt;=100,50+((100-50)/(100-50))*(Y396-50),IF(Y396&lt;=168,100+((200-100)/(168-100))*(Y396-100),IF(Y396&lt;=208,200+((300-200)/(208-168))*(Y396-168),IF(Y396&lt;=748,300+((400-300)/(748-208))*(Y396-208),IF(Y396&lt;=1000,400+((500-400)/(1000-748))*(Y396-748),500)))))))</f>
        <v>167.647058823529</v>
      </c>
      <c r="AL396" s="4" t="n">
        <f aca="false">ROUND(MAX(AF396,AG396,AH396,AI396,AJ396,AK396),0)</f>
        <v>168</v>
      </c>
      <c r="AM396" s="4" t="str">
        <f aca="false">IF(AL396="","",IF(AL396&lt;=50,"Good",IF(AL396&lt;=100,"Satisfactory",IF(AL396&lt;=200,"Moderate",IF(AL396&lt;=300,"Poor",IF(AL396&lt;=400,"Very Poor","Severe"))))))</f>
        <v>Moderate</v>
      </c>
    </row>
    <row r="397" customFormat="false" ht="15.75" hidden="false" customHeight="false" outlineLevel="0" collapsed="false">
      <c r="A397" s="1" t="s">
        <v>39</v>
      </c>
      <c r="B397" s="1" t="s">
        <v>40</v>
      </c>
      <c r="C397" s="1" t="n">
        <v>28.4595</v>
      </c>
      <c r="D397" s="1" t="n">
        <v>77.0266</v>
      </c>
      <c r="E397" s="5" t="n">
        <v>45917</v>
      </c>
      <c r="F397" s="6" t="s">
        <v>62</v>
      </c>
      <c r="G397" s="1" t="n">
        <v>9</v>
      </c>
      <c r="H397" s="7" t="s">
        <v>79</v>
      </c>
      <c r="I397" s="6" t="s">
        <v>43</v>
      </c>
      <c r="J397" s="7" t="s">
        <v>44</v>
      </c>
      <c r="K397" s="7" t="s">
        <v>60</v>
      </c>
      <c r="L397" s="1" t="n">
        <v>48</v>
      </c>
      <c r="M397" s="1" t="n">
        <v>21.2</v>
      </c>
      <c r="N397" s="1" t="n">
        <v>22.7</v>
      </c>
      <c r="O397" s="1" t="n">
        <v>0</v>
      </c>
      <c r="P397" s="6" t="s">
        <v>43</v>
      </c>
      <c r="Q397" s="6" t="s">
        <v>43</v>
      </c>
      <c r="R397" s="1" t="n">
        <v>1006.6</v>
      </c>
      <c r="S397" s="1" t="n">
        <v>16</v>
      </c>
      <c r="T397" s="1" t="n">
        <v>38.1</v>
      </c>
      <c r="U397" s="1" t="n">
        <v>67.8</v>
      </c>
      <c r="V397" s="1" t="n">
        <v>316</v>
      </c>
      <c r="W397" s="1" t="n">
        <v>9</v>
      </c>
      <c r="X397" s="1" t="n">
        <v>26</v>
      </c>
      <c r="Y397" s="1" t="n">
        <v>179</v>
      </c>
      <c r="Z397" s="1" t="n">
        <v>58</v>
      </c>
      <c r="AA397" s="1" t="n">
        <v>118</v>
      </c>
      <c r="AB397" s="7" t="s">
        <v>81</v>
      </c>
      <c r="AC397" s="7" t="s">
        <v>82</v>
      </c>
      <c r="AD397" s="7" t="s">
        <v>83</v>
      </c>
      <c r="AE397" s="7" t="s">
        <v>84</v>
      </c>
      <c r="AF397" s="4" t="n">
        <f aca="false">IF(T397="","",IF(T397&lt;=30,(50/30)*T397,IF(T397&lt;=60,50+((100-50)/(60-30))*(T397-30),IF(T397&lt;=90,100+((200-100)/(90-60))*(T397-60),IF(T397&lt;=120,200+((300-200)/(120-90))*(T397-90),IF(T397&lt;=250,300+((400-300)/(250-120))*(T397-120),IF(T397&lt;=380,400+((500-400)/(380-250))*(T397-250),500)))))))</f>
        <v>63.5</v>
      </c>
      <c r="AG397" s="4" t="n">
        <f aca="false">IF(U397="","",IF(U397&lt;=50,(50/50)*U397,IF(U397&lt;=100,50+((100-50)/(100-50))*(U397-50),IF(U397&lt;=250,100+((200-100)/(250-100))*(U397-100),IF(U397&lt;=350,200+((300-200)/(350-250))*(U397-250),IF(U397&lt;=430,300+((400-300)/(430-350))*(U397-350),IF(U397&lt;=600,400+((500-400)/(600-430))*(U397-430),500)))))))</f>
        <v>67.8</v>
      </c>
      <c r="AH397" s="4" t="n">
        <f aca="false">IF(V397="","",IF((V397/1000)&lt;=1,(50/1)*(V397/1000),IF((V397/1000)&lt;=2,50+((100-50)/(2-1))*(V397/1000-1),IF((V397/1000)&lt;=10,100+((200-100)/(10-2))*(V397/1000-2),IF((V397/1000)&lt;=17,200+((300-200)/(17-10))*(V397/1000-10),IF((V397/1000)&lt;=34,300+((400-300)/(34-17))*(V397/1000-17),IF((V397/1000)&lt;=57,400+((500-400)/(57-34))*(V397/1000-34),500)))))))</f>
        <v>15.8</v>
      </c>
      <c r="AI397" s="4" t="n">
        <f aca="false">IF(W397="","",IF(W397&lt;=40,(50/40)*W397,IF(W397&lt;=80,50+((100-50)/(80-40))*(W397-40),IF(W397&lt;=180,100+((200-100)/(180-80))*(W397-80),IF(W397&lt;=280,200+((300-200)/(280-180))*(W397-180),IF(W397&lt;=400,300+((400-300)/(400-280))*(W397-280),IF(W397&lt;=800,400+((500-400)/(800-400))*(W397-400),500)))))))</f>
        <v>11.25</v>
      </c>
      <c r="AJ397" s="4" t="n">
        <f aca="false">IF(X397="","",IF(X397&lt;=40,(50/40)*X397,IF(X397&lt;=80,50+((100-50)/(80-40))*(X397-40),IF(X397&lt;=380,100+((200-100)/(380-80))*(X397-80),IF(X397&lt;=800,200+((300-200)/(800-380))*(X397-380),IF(X397&lt;=1600,300+((400-300)/(1600-800))*(X397-800),IF(X397&lt;=2100,400+((500-400)/(2100-1600))*(X397-1600),500)))))))</f>
        <v>32.5</v>
      </c>
      <c r="AK397" s="4" t="n">
        <f aca="false">IF(Y397="","",IF(Y397&lt;=50,(50/50)*Y397,IF(Y397&lt;=100,50+((100-50)/(100-50))*(Y397-50),IF(Y397&lt;=168,100+((200-100)/(168-100))*(Y397-100),IF(Y397&lt;=208,200+((300-200)/(208-168))*(Y397-168),IF(Y397&lt;=748,300+((400-300)/(748-208))*(Y397-208),IF(Y397&lt;=1000,400+((500-400)/(1000-748))*(Y397-748),500)))))))</f>
        <v>227.5</v>
      </c>
      <c r="AL397" s="4" t="n">
        <f aca="false">ROUND(MAX(AF397,AG397,AH397,AI397,AJ397,AK397),0)</f>
        <v>228</v>
      </c>
      <c r="AM397" s="4" t="str">
        <f aca="false">IF(AL397="","",IF(AL397&lt;=50,"Good",IF(AL397&lt;=100,"Satisfactory",IF(AL397&lt;=200,"Moderate",IF(AL397&lt;=300,"Poor",IF(AL397&lt;=400,"Very Poor","Severe"))))))</f>
        <v>Poor</v>
      </c>
    </row>
    <row r="398" customFormat="false" ht="15.75" hidden="false" customHeight="false" outlineLevel="0" collapsed="false">
      <c r="A398" s="1" t="s">
        <v>39</v>
      </c>
      <c r="B398" s="1" t="s">
        <v>40</v>
      </c>
      <c r="C398" s="1" t="n">
        <v>28.4595</v>
      </c>
      <c r="D398" s="1" t="n">
        <v>77.0266</v>
      </c>
      <c r="E398" s="5" t="n">
        <v>45917</v>
      </c>
      <c r="F398" s="6" t="s">
        <v>63</v>
      </c>
      <c r="G398" s="1" t="n">
        <v>9</v>
      </c>
      <c r="H398" s="7" t="s">
        <v>79</v>
      </c>
      <c r="I398" s="6" t="s">
        <v>43</v>
      </c>
      <c r="J398" s="7" t="s">
        <v>44</v>
      </c>
      <c r="K398" s="7" t="s">
        <v>60</v>
      </c>
      <c r="L398" s="1" t="n">
        <v>45</v>
      </c>
      <c r="M398" s="1" t="n">
        <v>20.8</v>
      </c>
      <c r="N398" s="1" t="n">
        <v>23</v>
      </c>
      <c r="O398" s="1" t="n">
        <v>0</v>
      </c>
      <c r="P398" s="6" t="s">
        <v>43</v>
      </c>
      <c r="Q398" s="6" t="s">
        <v>43</v>
      </c>
      <c r="R398" s="1" t="n">
        <v>1005.8</v>
      </c>
      <c r="S398" s="1" t="n">
        <v>26</v>
      </c>
      <c r="T398" s="1" t="n">
        <v>36.9</v>
      </c>
      <c r="U398" s="1" t="n">
        <v>67.3</v>
      </c>
      <c r="V398" s="1" t="n">
        <v>279</v>
      </c>
      <c r="W398" s="1" t="n">
        <v>6.1</v>
      </c>
      <c r="X398" s="1" t="n">
        <v>24.3</v>
      </c>
      <c r="Y398" s="1" t="n">
        <v>196</v>
      </c>
      <c r="Z398" s="1" t="n">
        <v>62</v>
      </c>
      <c r="AA398" s="1" t="n">
        <v>120</v>
      </c>
      <c r="AB398" s="7" t="s">
        <v>81</v>
      </c>
      <c r="AC398" s="7" t="s">
        <v>82</v>
      </c>
      <c r="AD398" s="7" t="s">
        <v>83</v>
      </c>
      <c r="AE398" s="7" t="s">
        <v>84</v>
      </c>
      <c r="AF398" s="4" t="n">
        <f aca="false">IF(T398="","",IF(T398&lt;=30,(50/30)*T398,IF(T398&lt;=60,50+((100-50)/(60-30))*(T398-30),IF(T398&lt;=90,100+((200-100)/(90-60))*(T398-60),IF(T398&lt;=120,200+((300-200)/(120-90))*(T398-90),IF(T398&lt;=250,300+((400-300)/(250-120))*(T398-120),IF(T398&lt;=380,400+((500-400)/(380-250))*(T398-250),500)))))))</f>
        <v>61.5</v>
      </c>
      <c r="AG398" s="4" t="n">
        <f aca="false">IF(U398="","",IF(U398&lt;=50,(50/50)*U398,IF(U398&lt;=100,50+((100-50)/(100-50))*(U398-50),IF(U398&lt;=250,100+((200-100)/(250-100))*(U398-100),IF(U398&lt;=350,200+((300-200)/(350-250))*(U398-250),IF(U398&lt;=430,300+((400-300)/(430-350))*(U398-350),IF(U398&lt;=600,400+((500-400)/(600-430))*(U398-430),500)))))))</f>
        <v>67.3</v>
      </c>
      <c r="AH398" s="4" t="n">
        <f aca="false">IF(V398="","",IF((V398/1000)&lt;=1,(50/1)*(V398/1000),IF((V398/1000)&lt;=2,50+((100-50)/(2-1))*(V398/1000-1),IF((V398/1000)&lt;=10,100+((200-100)/(10-2))*(V398/1000-2),IF((V398/1000)&lt;=17,200+((300-200)/(17-10))*(V398/1000-10),IF((V398/1000)&lt;=34,300+((400-300)/(34-17))*(V398/1000-17),IF((V398/1000)&lt;=57,400+((500-400)/(57-34))*(V398/1000-34),500)))))))</f>
        <v>13.95</v>
      </c>
      <c r="AI398" s="4" t="n">
        <f aca="false">IF(W398="","",IF(W398&lt;=40,(50/40)*W398,IF(W398&lt;=80,50+((100-50)/(80-40))*(W398-40),IF(W398&lt;=180,100+((200-100)/(180-80))*(W398-80),IF(W398&lt;=280,200+((300-200)/(280-180))*(W398-180),IF(W398&lt;=400,300+((400-300)/(400-280))*(W398-280),IF(W398&lt;=800,400+((500-400)/(800-400))*(W398-400),500)))))))</f>
        <v>7.625</v>
      </c>
      <c r="AJ398" s="4" t="n">
        <f aca="false">IF(X398="","",IF(X398&lt;=40,(50/40)*X398,IF(X398&lt;=80,50+((100-50)/(80-40))*(X398-40),IF(X398&lt;=380,100+((200-100)/(380-80))*(X398-80),IF(X398&lt;=800,200+((300-200)/(800-380))*(X398-380),IF(X398&lt;=1600,300+((400-300)/(1600-800))*(X398-800),IF(X398&lt;=2100,400+((500-400)/(2100-1600))*(X398-1600),500)))))))</f>
        <v>30.375</v>
      </c>
      <c r="AK398" s="4" t="n">
        <f aca="false">IF(Y398="","",IF(Y398&lt;=50,(50/50)*Y398,IF(Y398&lt;=100,50+((100-50)/(100-50))*(Y398-50),IF(Y398&lt;=168,100+((200-100)/(168-100))*(Y398-100),IF(Y398&lt;=208,200+((300-200)/(208-168))*(Y398-168),IF(Y398&lt;=748,300+((400-300)/(748-208))*(Y398-208),IF(Y398&lt;=1000,400+((500-400)/(1000-748))*(Y398-748),500)))))))</f>
        <v>270</v>
      </c>
      <c r="AL398" s="4" t="n">
        <f aca="false">ROUND(MAX(AF398,AG398,AH398,AI398,AJ398,AK398),0)</f>
        <v>270</v>
      </c>
      <c r="AM398" s="4" t="str">
        <f aca="false">IF(AL398="","",IF(AL398&lt;=50,"Good",IF(AL398&lt;=100,"Satisfactory",IF(AL398&lt;=200,"Moderate",IF(AL398&lt;=300,"Poor",IF(AL398&lt;=400,"Very Poor","Severe"))))))</f>
        <v>Poor</v>
      </c>
    </row>
    <row r="399" customFormat="false" ht="15.75" hidden="false" customHeight="false" outlineLevel="0" collapsed="false">
      <c r="A399" s="1" t="s">
        <v>39</v>
      </c>
      <c r="B399" s="1" t="s">
        <v>40</v>
      </c>
      <c r="C399" s="1" t="n">
        <v>28.4595</v>
      </c>
      <c r="D399" s="1" t="n">
        <v>77.0266</v>
      </c>
      <c r="E399" s="5" t="n">
        <v>45917</v>
      </c>
      <c r="F399" s="6" t="s">
        <v>64</v>
      </c>
      <c r="G399" s="1" t="n">
        <v>9</v>
      </c>
      <c r="H399" s="7" t="s">
        <v>79</v>
      </c>
      <c r="I399" s="6" t="s">
        <v>43</v>
      </c>
      <c r="J399" s="7" t="s">
        <v>44</v>
      </c>
      <c r="K399" s="7" t="s">
        <v>65</v>
      </c>
      <c r="L399" s="1" t="n">
        <v>44</v>
      </c>
      <c r="M399" s="1" t="n">
        <v>20.4</v>
      </c>
      <c r="N399" s="1" t="n">
        <v>22.7</v>
      </c>
      <c r="O399" s="1" t="n">
        <v>0</v>
      </c>
      <c r="P399" s="6" t="s">
        <v>43</v>
      </c>
      <c r="Q399" s="6" t="s">
        <v>43</v>
      </c>
      <c r="R399" s="1" t="n">
        <v>1004.8</v>
      </c>
      <c r="S399" s="1" t="n">
        <v>28</v>
      </c>
      <c r="T399" s="1" t="n">
        <v>36.7</v>
      </c>
      <c r="U399" s="1" t="n">
        <v>65.2</v>
      </c>
      <c r="V399" s="1" t="n">
        <v>279</v>
      </c>
      <c r="W399" s="1" t="n">
        <v>5.2</v>
      </c>
      <c r="X399" s="1" t="n">
        <v>21.4</v>
      </c>
      <c r="Y399" s="1" t="n">
        <v>203</v>
      </c>
      <c r="Z399" s="1" t="n">
        <v>61</v>
      </c>
      <c r="AA399" s="1" t="n">
        <v>121</v>
      </c>
      <c r="AB399" s="7" t="s">
        <v>81</v>
      </c>
      <c r="AC399" s="7" t="s">
        <v>82</v>
      </c>
      <c r="AD399" s="7" t="s">
        <v>83</v>
      </c>
      <c r="AE399" s="7" t="s">
        <v>84</v>
      </c>
      <c r="AF399" s="4" t="n">
        <f aca="false">IF(T399="","",IF(T399&lt;=30,(50/30)*T399,IF(T399&lt;=60,50+((100-50)/(60-30))*(T399-30),IF(T399&lt;=90,100+((200-100)/(90-60))*(T399-60),IF(T399&lt;=120,200+((300-200)/(120-90))*(T399-90),IF(T399&lt;=250,300+((400-300)/(250-120))*(T399-120),IF(T399&lt;=380,400+((500-400)/(380-250))*(T399-250),500)))))))</f>
        <v>61.1666666666667</v>
      </c>
      <c r="AG399" s="4" t="n">
        <f aca="false">IF(U399="","",IF(U399&lt;=50,(50/50)*U399,IF(U399&lt;=100,50+((100-50)/(100-50))*(U399-50),IF(U399&lt;=250,100+((200-100)/(250-100))*(U399-100),IF(U399&lt;=350,200+((300-200)/(350-250))*(U399-250),IF(U399&lt;=430,300+((400-300)/(430-350))*(U399-350),IF(U399&lt;=600,400+((500-400)/(600-430))*(U399-430),500)))))))</f>
        <v>65.2</v>
      </c>
      <c r="AH399" s="4" t="n">
        <f aca="false">IF(V399="","",IF((V399/1000)&lt;=1,(50/1)*(V399/1000),IF((V399/1000)&lt;=2,50+((100-50)/(2-1))*(V399/1000-1),IF((V399/1000)&lt;=10,100+((200-100)/(10-2))*(V399/1000-2),IF((V399/1000)&lt;=17,200+((300-200)/(17-10))*(V399/1000-10),IF((V399/1000)&lt;=34,300+((400-300)/(34-17))*(V399/1000-17),IF((V399/1000)&lt;=57,400+((500-400)/(57-34))*(V399/1000-34),500)))))))</f>
        <v>13.95</v>
      </c>
      <c r="AI399" s="4" t="n">
        <f aca="false">IF(W399="","",IF(W399&lt;=40,(50/40)*W399,IF(W399&lt;=80,50+((100-50)/(80-40))*(W399-40),IF(W399&lt;=180,100+((200-100)/(180-80))*(W399-80),IF(W399&lt;=280,200+((300-200)/(280-180))*(W399-180),IF(W399&lt;=400,300+((400-300)/(400-280))*(W399-280),IF(W399&lt;=800,400+((500-400)/(800-400))*(W399-400),500)))))))</f>
        <v>6.5</v>
      </c>
      <c r="AJ399" s="4" t="n">
        <f aca="false">IF(X399="","",IF(X399&lt;=40,(50/40)*X399,IF(X399&lt;=80,50+((100-50)/(80-40))*(X399-40),IF(X399&lt;=380,100+((200-100)/(380-80))*(X399-80),IF(X399&lt;=800,200+((300-200)/(800-380))*(X399-380),IF(X399&lt;=1600,300+((400-300)/(1600-800))*(X399-800),IF(X399&lt;=2100,400+((500-400)/(2100-1600))*(X399-1600),500)))))))</f>
        <v>26.75</v>
      </c>
      <c r="AK399" s="4" t="n">
        <f aca="false">IF(Y399="","",IF(Y399&lt;=50,(50/50)*Y399,IF(Y399&lt;=100,50+((100-50)/(100-50))*(Y399-50),IF(Y399&lt;=168,100+((200-100)/(168-100))*(Y399-100),IF(Y399&lt;=208,200+((300-200)/(208-168))*(Y399-168),IF(Y399&lt;=748,300+((400-300)/(748-208))*(Y399-208),IF(Y399&lt;=1000,400+((500-400)/(1000-748))*(Y399-748),500)))))))</f>
        <v>287.5</v>
      </c>
      <c r="AL399" s="4" t="n">
        <f aca="false">ROUND(MAX(AF399,AG399,AH399,AI399,AJ399,AK399),0)</f>
        <v>288</v>
      </c>
      <c r="AM399" s="4" t="str">
        <f aca="false">IF(AL399="","",IF(AL399&lt;=50,"Good",IF(AL399&lt;=100,"Satisfactory",IF(AL399&lt;=200,"Moderate",IF(AL399&lt;=300,"Poor",IF(AL399&lt;=400,"Very Poor","Severe"))))))</f>
        <v>Poor</v>
      </c>
    </row>
    <row r="400" customFormat="false" ht="15.75" hidden="false" customHeight="false" outlineLevel="0" collapsed="false">
      <c r="A400" s="1" t="s">
        <v>39</v>
      </c>
      <c r="B400" s="1" t="s">
        <v>40</v>
      </c>
      <c r="C400" s="1" t="n">
        <v>28.4595</v>
      </c>
      <c r="D400" s="1" t="n">
        <v>77.0266</v>
      </c>
      <c r="E400" s="5" t="n">
        <v>45917</v>
      </c>
      <c r="F400" s="6" t="s">
        <v>66</v>
      </c>
      <c r="G400" s="1" t="n">
        <v>9</v>
      </c>
      <c r="H400" s="7" t="s">
        <v>79</v>
      </c>
      <c r="I400" s="6" t="s">
        <v>43</v>
      </c>
      <c r="J400" s="7" t="s">
        <v>44</v>
      </c>
      <c r="K400" s="7" t="s">
        <v>65</v>
      </c>
      <c r="L400" s="1" t="n">
        <v>44</v>
      </c>
      <c r="M400" s="1" t="n">
        <v>20.5</v>
      </c>
      <c r="N400" s="1" t="n">
        <v>23.8</v>
      </c>
      <c r="O400" s="1" t="n">
        <v>0.1</v>
      </c>
      <c r="P400" s="6" t="s">
        <v>46</v>
      </c>
      <c r="Q400" s="6" t="s">
        <v>43</v>
      </c>
      <c r="R400" s="1" t="n">
        <v>1003.5</v>
      </c>
      <c r="S400" s="1" t="n">
        <v>20</v>
      </c>
      <c r="T400" s="1" t="n">
        <v>35.7</v>
      </c>
      <c r="U400" s="1" t="n">
        <v>65</v>
      </c>
      <c r="V400" s="1" t="n">
        <v>289</v>
      </c>
      <c r="W400" s="1" t="n">
        <v>6</v>
      </c>
      <c r="X400" s="1" t="n">
        <v>18.9</v>
      </c>
      <c r="Y400" s="1" t="n">
        <v>201</v>
      </c>
      <c r="Z400" s="1" t="n">
        <v>58</v>
      </c>
      <c r="AA400" s="1" t="n">
        <v>122</v>
      </c>
      <c r="AB400" s="7" t="s">
        <v>81</v>
      </c>
      <c r="AC400" s="7" t="s">
        <v>82</v>
      </c>
      <c r="AD400" s="7" t="s">
        <v>83</v>
      </c>
      <c r="AE400" s="7" t="s">
        <v>84</v>
      </c>
      <c r="AF400" s="4" t="n">
        <f aca="false">IF(T400="","",IF(T400&lt;=30,(50/30)*T400,IF(T400&lt;=60,50+((100-50)/(60-30))*(T400-30),IF(T400&lt;=90,100+((200-100)/(90-60))*(T400-60),IF(T400&lt;=120,200+((300-200)/(120-90))*(T400-90),IF(T400&lt;=250,300+((400-300)/(250-120))*(T400-120),IF(T400&lt;=380,400+((500-400)/(380-250))*(T400-250),500)))))))</f>
        <v>59.5</v>
      </c>
      <c r="AG400" s="4" t="n">
        <f aca="false">IF(U400="","",IF(U400&lt;=50,(50/50)*U400,IF(U400&lt;=100,50+((100-50)/(100-50))*(U400-50),IF(U400&lt;=250,100+((200-100)/(250-100))*(U400-100),IF(U400&lt;=350,200+((300-200)/(350-250))*(U400-250),IF(U400&lt;=430,300+((400-300)/(430-350))*(U400-350),IF(U400&lt;=600,400+((500-400)/(600-430))*(U400-430),500)))))))</f>
        <v>65</v>
      </c>
      <c r="AH400" s="4" t="n">
        <f aca="false">IF(V400="","",IF((V400/1000)&lt;=1,(50/1)*(V400/1000),IF((V400/1000)&lt;=2,50+((100-50)/(2-1))*(V400/1000-1),IF((V400/1000)&lt;=10,100+((200-100)/(10-2))*(V400/1000-2),IF((V400/1000)&lt;=17,200+((300-200)/(17-10))*(V400/1000-10),IF((V400/1000)&lt;=34,300+((400-300)/(34-17))*(V400/1000-17),IF((V400/1000)&lt;=57,400+((500-400)/(57-34))*(V400/1000-34),500)))))))</f>
        <v>14.45</v>
      </c>
      <c r="AI400" s="4" t="n">
        <f aca="false">IF(W400="","",IF(W400&lt;=40,(50/40)*W400,IF(W400&lt;=80,50+((100-50)/(80-40))*(W400-40),IF(W400&lt;=180,100+((200-100)/(180-80))*(W400-80),IF(W400&lt;=280,200+((300-200)/(280-180))*(W400-180),IF(W400&lt;=400,300+((400-300)/(400-280))*(W400-280),IF(W400&lt;=800,400+((500-400)/(800-400))*(W400-400),500)))))))</f>
        <v>7.5</v>
      </c>
      <c r="AJ400" s="4" t="n">
        <f aca="false">IF(X400="","",IF(X400&lt;=40,(50/40)*X400,IF(X400&lt;=80,50+((100-50)/(80-40))*(X400-40),IF(X400&lt;=380,100+((200-100)/(380-80))*(X400-80),IF(X400&lt;=800,200+((300-200)/(800-380))*(X400-380),IF(X400&lt;=1600,300+((400-300)/(1600-800))*(X400-800),IF(X400&lt;=2100,400+((500-400)/(2100-1600))*(X400-1600),500)))))))</f>
        <v>23.625</v>
      </c>
      <c r="AK400" s="4" t="n">
        <f aca="false">IF(Y400="","",IF(Y400&lt;=50,(50/50)*Y400,IF(Y400&lt;=100,50+((100-50)/(100-50))*(Y400-50),IF(Y400&lt;=168,100+((200-100)/(168-100))*(Y400-100),IF(Y400&lt;=208,200+((300-200)/(208-168))*(Y400-168),IF(Y400&lt;=748,300+((400-300)/(748-208))*(Y400-208),IF(Y400&lt;=1000,400+((500-400)/(1000-748))*(Y400-748),500)))))))</f>
        <v>282.5</v>
      </c>
      <c r="AL400" s="4" t="n">
        <f aca="false">ROUND(MAX(AF400,AG400,AH400,AI400,AJ400,AK400),0)</f>
        <v>283</v>
      </c>
      <c r="AM400" s="4" t="str">
        <f aca="false">IF(AL400="","",IF(AL400&lt;=50,"Good",IF(AL400&lt;=100,"Satisfactory",IF(AL400&lt;=200,"Moderate",IF(AL400&lt;=300,"Poor",IF(AL400&lt;=400,"Very Poor","Severe"))))))</f>
        <v>Poor</v>
      </c>
    </row>
    <row r="401" customFormat="false" ht="15.75" hidden="false" customHeight="false" outlineLevel="0" collapsed="false">
      <c r="A401" s="1" t="s">
        <v>39</v>
      </c>
      <c r="B401" s="1" t="s">
        <v>40</v>
      </c>
      <c r="C401" s="1" t="n">
        <v>28.4595</v>
      </c>
      <c r="D401" s="1" t="n">
        <v>77.0266</v>
      </c>
      <c r="E401" s="5" t="n">
        <v>45917</v>
      </c>
      <c r="F401" s="6" t="s">
        <v>67</v>
      </c>
      <c r="G401" s="1" t="n">
        <v>9</v>
      </c>
      <c r="H401" s="7" t="s">
        <v>79</v>
      </c>
      <c r="I401" s="6" t="s">
        <v>43</v>
      </c>
      <c r="J401" s="7" t="s">
        <v>44</v>
      </c>
      <c r="K401" s="7" t="s">
        <v>65</v>
      </c>
      <c r="L401" s="1" t="n">
        <v>45</v>
      </c>
      <c r="M401" s="1" t="n">
        <v>20.8</v>
      </c>
      <c r="N401" s="1" t="n">
        <v>24.5</v>
      </c>
      <c r="O401" s="1" t="n">
        <v>0</v>
      </c>
      <c r="P401" s="6" t="s">
        <v>43</v>
      </c>
      <c r="Q401" s="6" t="s">
        <v>43</v>
      </c>
      <c r="R401" s="1" t="n">
        <v>1002.4</v>
      </c>
      <c r="S401" s="1" t="n">
        <v>15</v>
      </c>
      <c r="T401" s="1" t="n">
        <v>34.6</v>
      </c>
      <c r="U401" s="1" t="n">
        <v>65.2</v>
      </c>
      <c r="V401" s="1" t="n">
        <v>264</v>
      </c>
      <c r="W401" s="1" t="n">
        <v>7.4</v>
      </c>
      <c r="X401" s="1" t="n">
        <v>16.9</v>
      </c>
      <c r="Y401" s="1" t="n">
        <v>188</v>
      </c>
      <c r="Z401" s="1" t="n">
        <v>52</v>
      </c>
      <c r="AA401" s="1" t="n">
        <v>122</v>
      </c>
      <c r="AB401" s="7" t="s">
        <v>81</v>
      </c>
      <c r="AC401" s="7" t="s">
        <v>82</v>
      </c>
      <c r="AD401" s="7" t="s">
        <v>83</v>
      </c>
      <c r="AE401" s="7" t="s">
        <v>84</v>
      </c>
      <c r="AF401" s="4" t="n">
        <f aca="false">IF(T401="","",IF(T401&lt;=30,(50/30)*T401,IF(T401&lt;=60,50+((100-50)/(60-30))*(T401-30),IF(T401&lt;=90,100+((200-100)/(90-60))*(T401-60),IF(T401&lt;=120,200+((300-200)/(120-90))*(T401-90),IF(T401&lt;=250,300+((400-300)/(250-120))*(T401-120),IF(T401&lt;=380,400+((500-400)/(380-250))*(T401-250),500)))))))</f>
        <v>57.6666666666667</v>
      </c>
      <c r="AG401" s="4" t="n">
        <f aca="false">IF(U401="","",IF(U401&lt;=50,(50/50)*U401,IF(U401&lt;=100,50+((100-50)/(100-50))*(U401-50),IF(U401&lt;=250,100+((200-100)/(250-100))*(U401-100),IF(U401&lt;=350,200+((300-200)/(350-250))*(U401-250),IF(U401&lt;=430,300+((400-300)/(430-350))*(U401-350),IF(U401&lt;=600,400+((500-400)/(600-430))*(U401-430),500)))))))</f>
        <v>65.2</v>
      </c>
      <c r="AH401" s="4" t="n">
        <f aca="false">IF(V401="","",IF((V401/1000)&lt;=1,(50/1)*(V401/1000),IF((V401/1000)&lt;=2,50+((100-50)/(2-1))*(V401/1000-1),IF((V401/1000)&lt;=10,100+((200-100)/(10-2))*(V401/1000-2),IF((V401/1000)&lt;=17,200+((300-200)/(17-10))*(V401/1000-10),IF((V401/1000)&lt;=34,300+((400-300)/(34-17))*(V401/1000-17),IF((V401/1000)&lt;=57,400+((500-400)/(57-34))*(V401/1000-34),500)))))))</f>
        <v>13.2</v>
      </c>
      <c r="AI401" s="4" t="n">
        <f aca="false">IF(W401="","",IF(W401&lt;=40,(50/40)*W401,IF(W401&lt;=80,50+((100-50)/(80-40))*(W401-40),IF(W401&lt;=180,100+((200-100)/(180-80))*(W401-80),IF(W401&lt;=280,200+((300-200)/(280-180))*(W401-180),IF(W401&lt;=400,300+((400-300)/(400-280))*(W401-280),IF(W401&lt;=800,400+((500-400)/(800-400))*(W401-400),500)))))))</f>
        <v>9.25</v>
      </c>
      <c r="AJ401" s="4" t="n">
        <f aca="false">IF(X401="","",IF(X401&lt;=40,(50/40)*X401,IF(X401&lt;=80,50+((100-50)/(80-40))*(X401-40),IF(X401&lt;=380,100+((200-100)/(380-80))*(X401-80),IF(X401&lt;=800,200+((300-200)/(800-380))*(X401-380),IF(X401&lt;=1600,300+((400-300)/(1600-800))*(X401-800),IF(X401&lt;=2100,400+((500-400)/(2100-1600))*(X401-1600),500)))))))</f>
        <v>21.125</v>
      </c>
      <c r="AK401" s="4" t="n">
        <f aca="false">IF(Y401="","",IF(Y401&lt;=50,(50/50)*Y401,IF(Y401&lt;=100,50+((100-50)/(100-50))*(Y401-50),IF(Y401&lt;=168,100+((200-100)/(168-100))*(Y401-100),IF(Y401&lt;=208,200+((300-200)/(208-168))*(Y401-168),IF(Y401&lt;=748,300+((400-300)/(748-208))*(Y401-208),IF(Y401&lt;=1000,400+((500-400)/(1000-748))*(Y401-748),500)))))))</f>
        <v>250</v>
      </c>
      <c r="AL401" s="4" t="n">
        <f aca="false">ROUND(MAX(AF401,AG401,AH401,AI401,AJ401,AK401),0)</f>
        <v>250</v>
      </c>
      <c r="AM401" s="4" t="str">
        <f aca="false">IF(AL401="","",IF(AL401&lt;=50,"Good",IF(AL401&lt;=100,"Satisfactory",IF(AL401&lt;=200,"Moderate",IF(AL401&lt;=300,"Poor",IF(AL401&lt;=400,"Very Poor","Severe"))))))</f>
        <v>Poor</v>
      </c>
    </row>
    <row r="402" customFormat="false" ht="15.75" hidden="false" customHeight="false" outlineLevel="0" collapsed="false">
      <c r="A402" s="1" t="s">
        <v>39</v>
      </c>
      <c r="B402" s="1" t="s">
        <v>40</v>
      </c>
      <c r="C402" s="1" t="n">
        <v>28.4595</v>
      </c>
      <c r="D402" s="1" t="n">
        <v>77.0266</v>
      </c>
      <c r="E402" s="5" t="n">
        <v>45917</v>
      </c>
      <c r="F402" s="6" t="s">
        <v>68</v>
      </c>
      <c r="G402" s="1" t="n">
        <v>9</v>
      </c>
      <c r="H402" s="7" t="s">
        <v>79</v>
      </c>
      <c r="I402" s="6" t="s">
        <v>43</v>
      </c>
      <c r="J402" s="7" t="s">
        <v>44</v>
      </c>
      <c r="K402" s="7" t="s">
        <v>65</v>
      </c>
      <c r="L402" s="1" t="n">
        <v>48</v>
      </c>
      <c r="M402" s="1" t="n">
        <v>21.2</v>
      </c>
      <c r="N402" s="1" t="n">
        <v>23.8</v>
      </c>
      <c r="O402" s="1" t="n">
        <v>0</v>
      </c>
      <c r="P402" s="6" t="s">
        <v>43</v>
      </c>
      <c r="Q402" s="6" t="s">
        <v>43</v>
      </c>
      <c r="R402" s="1" t="n">
        <v>1002.2</v>
      </c>
      <c r="S402" s="1" t="n">
        <v>5</v>
      </c>
      <c r="T402" s="1" t="n">
        <v>31.9</v>
      </c>
      <c r="U402" s="1" t="n">
        <v>56.9</v>
      </c>
      <c r="V402" s="1" t="n">
        <v>251</v>
      </c>
      <c r="W402" s="1" t="n">
        <v>10.5</v>
      </c>
      <c r="X402" s="1" t="n">
        <v>15.2</v>
      </c>
      <c r="Y402" s="1" t="n">
        <v>166</v>
      </c>
      <c r="Z402" s="1" t="n">
        <v>44</v>
      </c>
      <c r="AA402" s="1" t="n">
        <v>141</v>
      </c>
      <c r="AB402" s="7" t="s">
        <v>81</v>
      </c>
      <c r="AC402" s="7" t="s">
        <v>82</v>
      </c>
      <c r="AD402" s="7" t="s">
        <v>83</v>
      </c>
      <c r="AE402" s="7" t="s">
        <v>84</v>
      </c>
      <c r="AF402" s="4" t="n">
        <f aca="false">IF(T402="","",IF(T402&lt;=30,(50/30)*T402,IF(T402&lt;=60,50+((100-50)/(60-30))*(T402-30),IF(T402&lt;=90,100+((200-100)/(90-60))*(T402-60),IF(T402&lt;=120,200+((300-200)/(120-90))*(T402-90),IF(T402&lt;=250,300+((400-300)/(250-120))*(T402-120),IF(T402&lt;=380,400+((500-400)/(380-250))*(T402-250),500)))))))</f>
        <v>53.1666666666667</v>
      </c>
      <c r="AG402" s="4" t="n">
        <f aca="false">IF(U402="","",IF(U402&lt;=50,(50/50)*U402,IF(U402&lt;=100,50+((100-50)/(100-50))*(U402-50),IF(U402&lt;=250,100+((200-100)/(250-100))*(U402-100),IF(U402&lt;=350,200+((300-200)/(350-250))*(U402-250),IF(U402&lt;=430,300+((400-300)/(430-350))*(U402-350),IF(U402&lt;=600,400+((500-400)/(600-430))*(U402-430),500)))))))</f>
        <v>56.9</v>
      </c>
      <c r="AH402" s="4" t="n">
        <f aca="false">IF(V402="","",IF((V402/1000)&lt;=1,(50/1)*(V402/1000),IF((V402/1000)&lt;=2,50+((100-50)/(2-1))*(V402/1000-1),IF((V402/1000)&lt;=10,100+((200-100)/(10-2))*(V402/1000-2),IF((V402/1000)&lt;=17,200+((300-200)/(17-10))*(V402/1000-10),IF((V402/1000)&lt;=34,300+((400-300)/(34-17))*(V402/1000-17),IF((V402/1000)&lt;=57,400+((500-400)/(57-34))*(V402/1000-34),500)))))))</f>
        <v>12.55</v>
      </c>
      <c r="AI402" s="4" t="n">
        <f aca="false">IF(W402="","",IF(W402&lt;=40,(50/40)*W402,IF(W402&lt;=80,50+((100-50)/(80-40))*(W402-40),IF(W402&lt;=180,100+((200-100)/(180-80))*(W402-80),IF(W402&lt;=280,200+((300-200)/(280-180))*(W402-180),IF(W402&lt;=400,300+((400-300)/(400-280))*(W402-280),IF(W402&lt;=800,400+((500-400)/(800-400))*(W402-400),500)))))))</f>
        <v>13.125</v>
      </c>
      <c r="AJ402" s="4" t="n">
        <f aca="false">IF(X402="","",IF(X402&lt;=40,(50/40)*X402,IF(X402&lt;=80,50+((100-50)/(80-40))*(X402-40),IF(X402&lt;=380,100+((200-100)/(380-80))*(X402-80),IF(X402&lt;=800,200+((300-200)/(800-380))*(X402-380),IF(X402&lt;=1600,300+((400-300)/(1600-800))*(X402-800),IF(X402&lt;=2100,400+((500-400)/(2100-1600))*(X402-1600),500)))))))</f>
        <v>19</v>
      </c>
      <c r="AK402" s="4" t="n">
        <f aca="false">IF(Y402="","",IF(Y402&lt;=50,(50/50)*Y402,IF(Y402&lt;=100,50+((100-50)/(100-50))*(Y402-50),IF(Y402&lt;=168,100+((200-100)/(168-100))*(Y402-100),IF(Y402&lt;=208,200+((300-200)/(208-168))*(Y402-168),IF(Y402&lt;=748,300+((400-300)/(748-208))*(Y402-208),IF(Y402&lt;=1000,400+((500-400)/(1000-748))*(Y402-748),500)))))))</f>
        <v>197.058823529412</v>
      </c>
      <c r="AL402" s="4" t="n">
        <f aca="false">ROUND(MAX(AF402,AG402,AH402,AI402,AJ402,AK402),0)</f>
        <v>197</v>
      </c>
      <c r="AM402" s="4" t="str">
        <f aca="false">IF(AL402="","",IF(AL402&lt;=50,"Good",IF(AL402&lt;=100,"Satisfactory",IF(AL402&lt;=200,"Moderate",IF(AL402&lt;=300,"Poor",IF(AL402&lt;=400,"Very Poor","Severe"))))))</f>
        <v>Moderate</v>
      </c>
    </row>
    <row r="403" customFormat="false" ht="15.75" hidden="false" customHeight="false" outlineLevel="0" collapsed="false">
      <c r="A403" s="1" t="s">
        <v>39</v>
      </c>
      <c r="B403" s="1" t="s">
        <v>40</v>
      </c>
      <c r="C403" s="1" t="n">
        <v>28.4595</v>
      </c>
      <c r="D403" s="1" t="n">
        <v>77.0266</v>
      </c>
      <c r="E403" s="5" t="n">
        <v>45917</v>
      </c>
      <c r="F403" s="6" t="s">
        <v>69</v>
      </c>
      <c r="G403" s="1" t="n">
        <v>9</v>
      </c>
      <c r="H403" s="7" t="s">
        <v>79</v>
      </c>
      <c r="I403" s="6" t="s">
        <v>43</v>
      </c>
      <c r="J403" s="7" t="s">
        <v>44</v>
      </c>
      <c r="K403" s="7" t="s">
        <v>65</v>
      </c>
      <c r="L403" s="1" t="n">
        <v>51</v>
      </c>
      <c r="M403" s="1" t="n">
        <v>21.5</v>
      </c>
      <c r="N403" s="1" t="n">
        <v>23</v>
      </c>
      <c r="O403" s="1" t="n">
        <v>0</v>
      </c>
      <c r="P403" s="6" t="s">
        <v>43</v>
      </c>
      <c r="Q403" s="6" t="s">
        <v>43</v>
      </c>
      <c r="R403" s="1" t="n">
        <v>1002.2</v>
      </c>
      <c r="S403" s="1" t="n">
        <v>4</v>
      </c>
      <c r="T403" s="1" t="n">
        <v>61.5</v>
      </c>
      <c r="U403" s="1" t="n">
        <v>106.9</v>
      </c>
      <c r="V403" s="1" t="n">
        <v>361</v>
      </c>
      <c r="W403" s="1" t="n">
        <v>21.7</v>
      </c>
      <c r="X403" s="1" t="n">
        <v>28.3</v>
      </c>
      <c r="Y403" s="1" t="n">
        <v>156</v>
      </c>
      <c r="Z403" s="1" t="n">
        <v>89</v>
      </c>
      <c r="AA403" s="1" t="n">
        <v>158</v>
      </c>
      <c r="AB403" s="7" t="s">
        <v>81</v>
      </c>
      <c r="AC403" s="7" t="s">
        <v>88</v>
      </c>
      <c r="AD403" s="6" t="s">
        <v>43</v>
      </c>
      <c r="AE403" s="6" t="s">
        <v>43</v>
      </c>
      <c r="AF403" s="4" t="n">
        <f aca="false">IF(T403="","",IF(T403&lt;=30,(50/30)*T403,IF(T403&lt;=60,50+((100-50)/(60-30))*(T403-30),IF(T403&lt;=90,100+((200-100)/(90-60))*(T403-60),IF(T403&lt;=120,200+((300-200)/(120-90))*(T403-90),IF(T403&lt;=250,300+((400-300)/(250-120))*(T403-120),IF(T403&lt;=380,400+((500-400)/(380-250))*(T403-250),500)))))))</f>
        <v>105</v>
      </c>
      <c r="AG403" s="4" t="n">
        <f aca="false">IF(U403="","",IF(U403&lt;=50,(50/50)*U403,IF(U403&lt;=100,50+((100-50)/(100-50))*(U403-50),IF(U403&lt;=250,100+((200-100)/(250-100))*(U403-100),IF(U403&lt;=350,200+((300-200)/(350-250))*(U403-250),IF(U403&lt;=430,300+((400-300)/(430-350))*(U403-350),IF(U403&lt;=600,400+((500-400)/(600-430))*(U403-430),500)))))))</f>
        <v>104.6</v>
      </c>
      <c r="AH403" s="4" t="n">
        <f aca="false">IF(V403="","",IF((V403/1000)&lt;=1,(50/1)*(V403/1000),IF((V403/1000)&lt;=2,50+((100-50)/(2-1))*(V403/1000-1),IF((V403/1000)&lt;=10,100+((200-100)/(10-2))*(V403/1000-2),IF((V403/1000)&lt;=17,200+((300-200)/(17-10))*(V403/1000-10),IF((V403/1000)&lt;=34,300+((400-300)/(34-17))*(V403/1000-17),IF((V403/1000)&lt;=57,400+((500-400)/(57-34))*(V403/1000-34),500)))))))</f>
        <v>18.05</v>
      </c>
      <c r="AI403" s="4" t="n">
        <f aca="false">IF(W403="","",IF(W403&lt;=40,(50/40)*W403,IF(W403&lt;=80,50+((100-50)/(80-40))*(W403-40),IF(W403&lt;=180,100+((200-100)/(180-80))*(W403-80),IF(W403&lt;=280,200+((300-200)/(280-180))*(W403-180),IF(W403&lt;=400,300+((400-300)/(400-280))*(W403-280),IF(W403&lt;=800,400+((500-400)/(800-400))*(W403-400),500)))))))</f>
        <v>27.125</v>
      </c>
      <c r="AJ403" s="4" t="n">
        <f aca="false">IF(X403="","",IF(X403&lt;=40,(50/40)*X403,IF(X403&lt;=80,50+((100-50)/(80-40))*(X403-40),IF(X403&lt;=380,100+((200-100)/(380-80))*(X403-80),IF(X403&lt;=800,200+((300-200)/(800-380))*(X403-380),IF(X403&lt;=1600,300+((400-300)/(1600-800))*(X403-800),IF(X403&lt;=2100,400+((500-400)/(2100-1600))*(X403-1600),500)))))))</f>
        <v>35.375</v>
      </c>
      <c r="AK403" s="4" t="n">
        <f aca="false">IF(Y403="","",IF(Y403&lt;=50,(50/50)*Y403,IF(Y403&lt;=100,50+((100-50)/(100-50))*(Y403-50),IF(Y403&lt;=168,100+((200-100)/(168-100))*(Y403-100),IF(Y403&lt;=208,200+((300-200)/(208-168))*(Y403-168),IF(Y403&lt;=748,300+((400-300)/(748-208))*(Y403-208),IF(Y403&lt;=1000,400+((500-400)/(1000-748))*(Y403-748),500)))))))</f>
        <v>182.352941176471</v>
      </c>
      <c r="AL403" s="4" t="n">
        <f aca="false">ROUND(MAX(AF403,AG403,AH403,AI403,AJ403,AK403),0)</f>
        <v>182</v>
      </c>
      <c r="AM403" s="4" t="str">
        <f aca="false">IF(AL403="","",IF(AL403&lt;=50,"Good",IF(AL403&lt;=100,"Satisfactory",IF(AL403&lt;=200,"Moderate",IF(AL403&lt;=300,"Poor",IF(AL403&lt;=400,"Very Poor","Severe"))))))</f>
        <v>Moderate</v>
      </c>
    </row>
    <row r="404" customFormat="false" ht="15.75" hidden="false" customHeight="false" outlineLevel="0" collapsed="false">
      <c r="A404" s="1" t="s">
        <v>39</v>
      </c>
      <c r="B404" s="1" t="s">
        <v>40</v>
      </c>
      <c r="C404" s="1" t="n">
        <v>28.4595</v>
      </c>
      <c r="D404" s="1" t="n">
        <v>77.0266</v>
      </c>
      <c r="E404" s="5" t="n">
        <v>45917</v>
      </c>
      <c r="F404" s="6" t="s">
        <v>70</v>
      </c>
      <c r="G404" s="1" t="n">
        <v>9</v>
      </c>
      <c r="H404" s="7" t="s">
        <v>79</v>
      </c>
      <c r="I404" s="6" t="s">
        <v>43</v>
      </c>
      <c r="J404" s="7" t="s">
        <v>44</v>
      </c>
      <c r="K404" s="7" t="s">
        <v>71</v>
      </c>
      <c r="L404" s="1" t="n">
        <v>69</v>
      </c>
      <c r="M404" s="1" t="n">
        <v>23.9</v>
      </c>
      <c r="N404" s="1" t="n">
        <v>15.5</v>
      </c>
      <c r="O404" s="1" t="n">
        <v>0</v>
      </c>
      <c r="P404" s="6" t="s">
        <v>43</v>
      </c>
      <c r="Q404" s="6" t="s">
        <v>43</v>
      </c>
      <c r="R404" s="1" t="n">
        <v>1003.7</v>
      </c>
      <c r="S404" s="1" t="n">
        <v>20</v>
      </c>
      <c r="T404" s="1" t="n">
        <v>68.2</v>
      </c>
      <c r="U404" s="1" t="n">
        <v>110.8</v>
      </c>
      <c r="V404" s="1" t="n">
        <v>742</v>
      </c>
      <c r="W404" s="1" t="n">
        <v>34.9</v>
      </c>
      <c r="X404" s="1" t="n">
        <v>31.5</v>
      </c>
      <c r="Y404" s="1" t="n">
        <v>128</v>
      </c>
      <c r="Z404" s="1" t="n">
        <v>84</v>
      </c>
      <c r="AA404" s="1" t="n">
        <v>166</v>
      </c>
      <c r="AB404" s="7" t="s">
        <v>81</v>
      </c>
      <c r="AC404" s="7" t="s">
        <v>88</v>
      </c>
      <c r="AD404" s="6" t="s">
        <v>43</v>
      </c>
      <c r="AE404" s="6" t="s">
        <v>43</v>
      </c>
      <c r="AF404" s="4" t="n">
        <f aca="false">IF(T404="","",IF(T404&lt;=30,(50/30)*T404,IF(T404&lt;=60,50+((100-50)/(60-30))*(T404-30),IF(T404&lt;=90,100+((200-100)/(90-60))*(T404-60),IF(T404&lt;=120,200+((300-200)/(120-90))*(T404-90),IF(T404&lt;=250,300+((400-300)/(250-120))*(T404-120),IF(T404&lt;=380,400+((500-400)/(380-250))*(T404-250),500)))))))</f>
        <v>127.333333333333</v>
      </c>
      <c r="AG404" s="4" t="n">
        <f aca="false">IF(U404="","",IF(U404&lt;=50,(50/50)*U404,IF(U404&lt;=100,50+((100-50)/(100-50))*(U404-50),IF(U404&lt;=250,100+((200-100)/(250-100))*(U404-100),IF(U404&lt;=350,200+((300-200)/(350-250))*(U404-250),IF(U404&lt;=430,300+((400-300)/(430-350))*(U404-350),IF(U404&lt;=600,400+((500-400)/(600-430))*(U404-430),500)))))))</f>
        <v>107.2</v>
      </c>
      <c r="AH404" s="4" t="n">
        <f aca="false">IF(V404="","",IF((V404/1000)&lt;=1,(50/1)*(V404/1000),IF((V404/1000)&lt;=2,50+((100-50)/(2-1))*(V404/1000-1),IF((V404/1000)&lt;=10,100+((200-100)/(10-2))*(V404/1000-2),IF((V404/1000)&lt;=17,200+((300-200)/(17-10))*(V404/1000-10),IF((V404/1000)&lt;=34,300+((400-300)/(34-17))*(V404/1000-17),IF((V404/1000)&lt;=57,400+((500-400)/(57-34))*(V404/1000-34),500)))))))</f>
        <v>37.1</v>
      </c>
      <c r="AI404" s="4" t="n">
        <f aca="false">IF(W404="","",IF(W404&lt;=40,(50/40)*W404,IF(W404&lt;=80,50+((100-50)/(80-40))*(W404-40),IF(W404&lt;=180,100+((200-100)/(180-80))*(W404-80),IF(W404&lt;=280,200+((300-200)/(280-180))*(W404-180),IF(W404&lt;=400,300+((400-300)/(400-280))*(W404-280),IF(W404&lt;=800,400+((500-400)/(800-400))*(W404-400),500)))))))</f>
        <v>43.625</v>
      </c>
      <c r="AJ404" s="4" t="n">
        <f aca="false">IF(X404="","",IF(X404&lt;=40,(50/40)*X404,IF(X404&lt;=80,50+((100-50)/(80-40))*(X404-40),IF(X404&lt;=380,100+((200-100)/(380-80))*(X404-80),IF(X404&lt;=800,200+((300-200)/(800-380))*(X404-380),IF(X404&lt;=1600,300+((400-300)/(1600-800))*(X404-800),IF(X404&lt;=2100,400+((500-400)/(2100-1600))*(X404-1600),500)))))))</f>
        <v>39.375</v>
      </c>
      <c r="AK404" s="4" t="n">
        <f aca="false">IF(Y404="","",IF(Y404&lt;=50,(50/50)*Y404,IF(Y404&lt;=100,50+((100-50)/(100-50))*(Y404-50),IF(Y404&lt;=168,100+((200-100)/(168-100))*(Y404-100),IF(Y404&lt;=208,200+((300-200)/(208-168))*(Y404-168),IF(Y404&lt;=748,300+((400-300)/(748-208))*(Y404-208),IF(Y404&lt;=1000,400+((500-400)/(1000-748))*(Y404-748),500)))))))</f>
        <v>141.176470588235</v>
      </c>
      <c r="AL404" s="4" t="n">
        <f aca="false">ROUND(MAX(AF404,AG404,AH404,AI404,AJ404,AK404),0)</f>
        <v>141</v>
      </c>
      <c r="AM404" s="4" t="str">
        <f aca="false">IF(AL404="","",IF(AL404&lt;=50,"Good",IF(AL404&lt;=100,"Satisfactory",IF(AL404&lt;=200,"Moderate",IF(AL404&lt;=300,"Poor",IF(AL404&lt;=400,"Very Poor","Severe"))))))</f>
        <v>Moderate</v>
      </c>
    </row>
    <row r="405" customFormat="false" ht="15.75" hidden="false" customHeight="false" outlineLevel="0" collapsed="false">
      <c r="A405" s="1" t="s">
        <v>39</v>
      </c>
      <c r="B405" s="1" t="s">
        <v>40</v>
      </c>
      <c r="C405" s="1" t="n">
        <v>28.4595</v>
      </c>
      <c r="D405" s="1" t="n">
        <v>77.0266</v>
      </c>
      <c r="E405" s="5" t="n">
        <v>45917</v>
      </c>
      <c r="F405" s="6" t="s">
        <v>72</v>
      </c>
      <c r="G405" s="1" t="n">
        <v>9</v>
      </c>
      <c r="H405" s="7" t="s">
        <v>79</v>
      </c>
      <c r="I405" s="6" t="s">
        <v>43</v>
      </c>
      <c r="J405" s="7" t="s">
        <v>44</v>
      </c>
      <c r="K405" s="7" t="s">
        <v>71</v>
      </c>
      <c r="L405" s="1" t="n">
        <v>74</v>
      </c>
      <c r="M405" s="1" t="n">
        <v>24.2</v>
      </c>
      <c r="N405" s="1" t="n">
        <v>12.6</v>
      </c>
      <c r="O405" s="1" t="n">
        <v>0</v>
      </c>
      <c r="P405" s="6" t="s">
        <v>43</v>
      </c>
      <c r="Q405" s="6" t="s">
        <v>43</v>
      </c>
      <c r="R405" s="1" t="n">
        <v>1004.3</v>
      </c>
      <c r="S405" s="1" t="n">
        <v>15</v>
      </c>
      <c r="T405" s="1" t="n">
        <v>77.1</v>
      </c>
      <c r="U405" s="1" t="n">
        <v>117.6</v>
      </c>
      <c r="V405" s="1" t="n">
        <v>1247</v>
      </c>
      <c r="W405" s="1" t="n">
        <v>52.7</v>
      </c>
      <c r="X405" s="1" t="n">
        <v>35.8</v>
      </c>
      <c r="Y405" s="1" t="n">
        <v>89</v>
      </c>
      <c r="Z405" s="1" t="n">
        <v>76</v>
      </c>
      <c r="AA405" s="1" t="n">
        <v>163</v>
      </c>
      <c r="AB405" s="7" t="s">
        <v>81</v>
      </c>
      <c r="AC405" s="7" t="s">
        <v>88</v>
      </c>
      <c r="AD405" s="6" t="s">
        <v>43</v>
      </c>
      <c r="AE405" s="6" t="s">
        <v>43</v>
      </c>
      <c r="AF405" s="4" t="n">
        <f aca="false">IF(T405="","",IF(T405&lt;=30,(50/30)*T405,IF(T405&lt;=60,50+((100-50)/(60-30))*(T405-30),IF(T405&lt;=90,100+((200-100)/(90-60))*(T405-60),IF(T405&lt;=120,200+((300-200)/(120-90))*(T405-90),IF(T405&lt;=250,300+((400-300)/(250-120))*(T405-120),IF(T405&lt;=380,400+((500-400)/(380-250))*(T405-250),500)))))))</f>
        <v>157</v>
      </c>
      <c r="AG405" s="4" t="n">
        <f aca="false">IF(U405="","",IF(U405&lt;=50,(50/50)*U405,IF(U405&lt;=100,50+((100-50)/(100-50))*(U405-50),IF(U405&lt;=250,100+((200-100)/(250-100))*(U405-100),IF(U405&lt;=350,200+((300-200)/(350-250))*(U405-250),IF(U405&lt;=430,300+((400-300)/(430-350))*(U405-350),IF(U405&lt;=600,400+((500-400)/(600-430))*(U405-430),500)))))))</f>
        <v>111.733333333333</v>
      </c>
      <c r="AH405" s="4" t="n">
        <f aca="false">IF(V405="","",IF((V405/1000)&lt;=1,(50/1)*(V405/1000),IF((V405/1000)&lt;=2,50+((100-50)/(2-1))*(V405/1000-1),IF((V405/1000)&lt;=10,100+((200-100)/(10-2))*(V405/1000-2),IF((V405/1000)&lt;=17,200+((300-200)/(17-10))*(V405/1000-10),IF((V405/1000)&lt;=34,300+((400-300)/(34-17))*(V405/1000-17),IF((V405/1000)&lt;=57,400+((500-400)/(57-34))*(V405/1000-34),500)))))))</f>
        <v>62.35</v>
      </c>
      <c r="AI405" s="4" t="n">
        <f aca="false">IF(W405="","",IF(W405&lt;=40,(50/40)*W405,IF(W405&lt;=80,50+((100-50)/(80-40))*(W405-40),IF(W405&lt;=180,100+((200-100)/(180-80))*(W405-80),IF(W405&lt;=280,200+((300-200)/(280-180))*(W405-180),IF(W405&lt;=400,300+((400-300)/(400-280))*(W405-280),IF(W405&lt;=800,400+((500-400)/(800-400))*(W405-400),500)))))))</f>
        <v>65.875</v>
      </c>
      <c r="AJ405" s="4" t="n">
        <f aca="false">IF(X405="","",IF(X405&lt;=40,(50/40)*X405,IF(X405&lt;=80,50+((100-50)/(80-40))*(X405-40),IF(X405&lt;=380,100+((200-100)/(380-80))*(X405-80),IF(X405&lt;=800,200+((300-200)/(800-380))*(X405-380),IF(X405&lt;=1600,300+((400-300)/(1600-800))*(X405-800),IF(X405&lt;=2100,400+((500-400)/(2100-1600))*(X405-1600),500)))))))</f>
        <v>44.75</v>
      </c>
      <c r="AK405" s="4" t="n">
        <f aca="false">IF(Y405="","",IF(Y405&lt;=50,(50/50)*Y405,IF(Y405&lt;=100,50+((100-50)/(100-50))*(Y405-50),IF(Y405&lt;=168,100+((200-100)/(168-100))*(Y405-100),IF(Y405&lt;=208,200+((300-200)/(208-168))*(Y405-168),IF(Y405&lt;=748,300+((400-300)/(748-208))*(Y405-208),IF(Y405&lt;=1000,400+((500-400)/(1000-748))*(Y405-748),500)))))))</f>
        <v>89</v>
      </c>
      <c r="AL405" s="4" t="n">
        <f aca="false">ROUND(MAX(AF405,AG405,AH405,AI405,AJ405,AK405),0)</f>
        <v>157</v>
      </c>
      <c r="AM405" s="4" t="str">
        <f aca="false">IF(AL405="","",IF(AL405&lt;=50,"Good",IF(AL405&lt;=100,"Satisfactory",IF(AL405&lt;=200,"Moderate",IF(AL405&lt;=300,"Poor",IF(AL405&lt;=400,"Very Poor","Severe"))))))</f>
        <v>Moderate</v>
      </c>
    </row>
    <row r="406" customFormat="false" ht="15.75" hidden="false" customHeight="false" outlineLevel="0" collapsed="false">
      <c r="A406" s="1" t="s">
        <v>39</v>
      </c>
      <c r="B406" s="1" t="s">
        <v>40</v>
      </c>
      <c r="C406" s="1" t="n">
        <v>28.4595</v>
      </c>
      <c r="D406" s="1" t="n">
        <v>77.0266</v>
      </c>
      <c r="E406" s="5" t="n">
        <v>45917</v>
      </c>
      <c r="F406" s="6" t="s">
        <v>73</v>
      </c>
      <c r="G406" s="1" t="n">
        <v>9</v>
      </c>
      <c r="H406" s="7" t="s">
        <v>79</v>
      </c>
      <c r="I406" s="6" t="s">
        <v>43</v>
      </c>
      <c r="J406" s="7" t="s">
        <v>44</v>
      </c>
      <c r="K406" s="7" t="s">
        <v>71</v>
      </c>
      <c r="L406" s="1" t="n">
        <v>78</v>
      </c>
      <c r="M406" s="1" t="n">
        <v>24.3</v>
      </c>
      <c r="N406" s="1" t="n">
        <v>12.2</v>
      </c>
      <c r="O406" s="1" t="n">
        <v>0</v>
      </c>
      <c r="P406" s="6" t="s">
        <v>43</v>
      </c>
      <c r="Q406" s="6" t="s">
        <v>43</v>
      </c>
      <c r="R406" s="1" t="n">
        <v>1005</v>
      </c>
      <c r="S406" s="1" t="n">
        <v>10</v>
      </c>
      <c r="T406" s="1" t="n">
        <v>85.4</v>
      </c>
      <c r="U406" s="1" t="n">
        <v>120.6</v>
      </c>
      <c r="V406" s="1" t="n">
        <v>1547</v>
      </c>
      <c r="W406" s="1" t="n">
        <v>63.2</v>
      </c>
      <c r="X406" s="1" t="n">
        <v>37.8</v>
      </c>
      <c r="Y406" s="1" t="n">
        <v>61</v>
      </c>
      <c r="Z406" s="1" t="n">
        <v>69</v>
      </c>
      <c r="AA406" s="1" t="n">
        <v>149</v>
      </c>
      <c r="AB406" s="7" t="s">
        <v>81</v>
      </c>
      <c r="AC406" s="7" t="s">
        <v>82</v>
      </c>
      <c r="AD406" s="7" t="s">
        <v>83</v>
      </c>
      <c r="AE406" s="7" t="s">
        <v>84</v>
      </c>
      <c r="AF406" s="4" t="n">
        <f aca="false">IF(T406="","",IF(T406&lt;=30,(50/30)*T406,IF(T406&lt;=60,50+((100-50)/(60-30))*(T406-30),IF(T406&lt;=90,100+((200-100)/(90-60))*(T406-60),IF(T406&lt;=120,200+((300-200)/(120-90))*(T406-90),IF(T406&lt;=250,300+((400-300)/(250-120))*(T406-120),IF(T406&lt;=380,400+((500-400)/(380-250))*(T406-250),500)))))))</f>
        <v>184.666666666667</v>
      </c>
      <c r="AG406" s="4" t="n">
        <f aca="false">IF(U406="","",IF(U406&lt;=50,(50/50)*U406,IF(U406&lt;=100,50+((100-50)/(100-50))*(U406-50),IF(U406&lt;=250,100+((200-100)/(250-100))*(U406-100),IF(U406&lt;=350,200+((300-200)/(350-250))*(U406-250),IF(U406&lt;=430,300+((400-300)/(430-350))*(U406-350),IF(U406&lt;=600,400+((500-400)/(600-430))*(U406-430),500)))))))</f>
        <v>113.733333333333</v>
      </c>
      <c r="AH406" s="4" t="n">
        <f aca="false">IF(V406="","",IF((V406/1000)&lt;=1,(50/1)*(V406/1000),IF((V406/1000)&lt;=2,50+((100-50)/(2-1))*(V406/1000-1),IF((V406/1000)&lt;=10,100+((200-100)/(10-2))*(V406/1000-2),IF((V406/1000)&lt;=17,200+((300-200)/(17-10))*(V406/1000-10),IF((V406/1000)&lt;=34,300+((400-300)/(34-17))*(V406/1000-17),IF((V406/1000)&lt;=57,400+((500-400)/(57-34))*(V406/1000-34),500)))))))</f>
        <v>77.35</v>
      </c>
      <c r="AI406" s="4" t="n">
        <f aca="false">IF(W406="","",IF(W406&lt;=40,(50/40)*W406,IF(W406&lt;=80,50+((100-50)/(80-40))*(W406-40),IF(W406&lt;=180,100+((200-100)/(180-80))*(W406-80),IF(W406&lt;=280,200+((300-200)/(280-180))*(W406-180),IF(W406&lt;=400,300+((400-300)/(400-280))*(W406-280),IF(W406&lt;=800,400+((500-400)/(800-400))*(W406-400),500)))))))</f>
        <v>79</v>
      </c>
      <c r="AJ406" s="4" t="n">
        <f aca="false">IF(X406="","",IF(X406&lt;=40,(50/40)*X406,IF(X406&lt;=80,50+((100-50)/(80-40))*(X406-40),IF(X406&lt;=380,100+((200-100)/(380-80))*(X406-80),IF(X406&lt;=800,200+((300-200)/(800-380))*(X406-380),IF(X406&lt;=1600,300+((400-300)/(1600-800))*(X406-800),IF(X406&lt;=2100,400+((500-400)/(2100-1600))*(X406-1600),500)))))))</f>
        <v>47.25</v>
      </c>
      <c r="AK406" s="4" t="n">
        <f aca="false">IF(Y406="","",IF(Y406&lt;=50,(50/50)*Y406,IF(Y406&lt;=100,50+((100-50)/(100-50))*(Y406-50),IF(Y406&lt;=168,100+((200-100)/(168-100))*(Y406-100),IF(Y406&lt;=208,200+((300-200)/(208-168))*(Y406-168),IF(Y406&lt;=748,300+((400-300)/(748-208))*(Y406-208),IF(Y406&lt;=1000,400+((500-400)/(1000-748))*(Y406-748),500)))))))</f>
        <v>61</v>
      </c>
      <c r="AL406" s="4" t="n">
        <f aca="false">ROUND(MAX(AF406,AG406,AH406,AI406,AJ406,AK406),0)</f>
        <v>185</v>
      </c>
      <c r="AM406" s="4" t="str">
        <f aca="false">IF(AL406="","",IF(AL406&lt;=50,"Good",IF(AL406&lt;=100,"Satisfactory",IF(AL406&lt;=200,"Moderate",IF(AL406&lt;=300,"Poor",IF(AL406&lt;=400,"Very Poor","Severe"))))))</f>
        <v>Moderate</v>
      </c>
    </row>
    <row r="407" customFormat="false" ht="15.75" hidden="false" customHeight="false" outlineLevel="0" collapsed="false">
      <c r="A407" s="1" t="s">
        <v>39</v>
      </c>
      <c r="B407" s="1" t="s">
        <v>40</v>
      </c>
      <c r="C407" s="1" t="n">
        <v>28.4595</v>
      </c>
      <c r="D407" s="1" t="n">
        <v>77.0266</v>
      </c>
      <c r="E407" s="5" t="n">
        <v>45917</v>
      </c>
      <c r="F407" s="6" t="s">
        <v>74</v>
      </c>
      <c r="G407" s="1" t="n">
        <v>9</v>
      </c>
      <c r="H407" s="7" t="s">
        <v>79</v>
      </c>
      <c r="I407" s="6" t="s">
        <v>43</v>
      </c>
      <c r="J407" s="7" t="s">
        <v>44</v>
      </c>
      <c r="K407" s="7" t="s">
        <v>75</v>
      </c>
      <c r="L407" s="1" t="n">
        <v>84</v>
      </c>
      <c r="M407" s="1" t="n">
        <v>24.6</v>
      </c>
      <c r="N407" s="1" t="n">
        <v>14.8</v>
      </c>
      <c r="O407" s="1" t="n">
        <v>0</v>
      </c>
      <c r="P407" s="6" t="s">
        <v>43</v>
      </c>
      <c r="Q407" s="6" t="s">
        <v>43</v>
      </c>
      <c r="R407" s="1" t="n">
        <v>1006</v>
      </c>
      <c r="S407" s="1" t="n">
        <v>14</v>
      </c>
      <c r="T407" s="1" t="n">
        <v>83.8</v>
      </c>
      <c r="U407" s="1" t="n">
        <v>116.2</v>
      </c>
      <c r="V407" s="1" t="n">
        <v>1453</v>
      </c>
      <c r="W407" s="1" t="n">
        <v>59.4</v>
      </c>
      <c r="X407" s="1" t="n">
        <v>35.6</v>
      </c>
      <c r="Y407" s="1" t="n">
        <v>56</v>
      </c>
      <c r="Z407" s="1" t="n">
        <v>63</v>
      </c>
      <c r="AA407" s="1" t="n">
        <v>136</v>
      </c>
      <c r="AB407" s="7" t="s">
        <v>81</v>
      </c>
      <c r="AC407" s="7" t="s">
        <v>82</v>
      </c>
      <c r="AD407" s="7" t="s">
        <v>83</v>
      </c>
      <c r="AE407" s="7" t="s">
        <v>84</v>
      </c>
      <c r="AF407" s="4" t="n">
        <f aca="false">IF(T407="","",IF(T407&lt;=30,(50/30)*T407,IF(T407&lt;=60,50+((100-50)/(60-30))*(T407-30),IF(T407&lt;=90,100+((200-100)/(90-60))*(T407-60),IF(T407&lt;=120,200+((300-200)/(120-90))*(T407-90),IF(T407&lt;=250,300+((400-300)/(250-120))*(T407-120),IF(T407&lt;=380,400+((500-400)/(380-250))*(T407-250),500)))))))</f>
        <v>179.333333333333</v>
      </c>
      <c r="AG407" s="4" t="n">
        <f aca="false">IF(U407="","",IF(U407&lt;=50,(50/50)*U407,IF(U407&lt;=100,50+((100-50)/(100-50))*(U407-50),IF(U407&lt;=250,100+((200-100)/(250-100))*(U407-100),IF(U407&lt;=350,200+((300-200)/(350-250))*(U407-250),IF(U407&lt;=430,300+((400-300)/(430-350))*(U407-350),IF(U407&lt;=600,400+((500-400)/(600-430))*(U407-430),500)))))))</f>
        <v>110.8</v>
      </c>
      <c r="AH407" s="4" t="n">
        <f aca="false">IF(V407="","",IF((V407/1000)&lt;=1,(50/1)*(V407/1000),IF((V407/1000)&lt;=2,50+((100-50)/(2-1))*(V407/1000-1),IF((V407/1000)&lt;=10,100+((200-100)/(10-2))*(V407/1000-2),IF((V407/1000)&lt;=17,200+((300-200)/(17-10))*(V407/1000-10),IF((V407/1000)&lt;=34,300+((400-300)/(34-17))*(V407/1000-17),IF((V407/1000)&lt;=57,400+((500-400)/(57-34))*(V407/1000-34),500)))))))</f>
        <v>72.65</v>
      </c>
      <c r="AI407" s="4" t="n">
        <f aca="false">IF(W407="","",IF(W407&lt;=40,(50/40)*W407,IF(W407&lt;=80,50+((100-50)/(80-40))*(W407-40),IF(W407&lt;=180,100+((200-100)/(180-80))*(W407-80),IF(W407&lt;=280,200+((300-200)/(280-180))*(W407-180),IF(W407&lt;=400,300+((400-300)/(400-280))*(W407-280),IF(W407&lt;=800,400+((500-400)/(800-400))*(W407-400),500)))))))</f>
        <v>74.25</v>
      </c>
      <c r="AJ407" s="4" t="n">
        <f aca="false">IF(X407="","",IF(X407&lt;=40,(50/40)*X407,IF(X407&lt;=80,50+((100-50)/(80-40))*(X407-40),IF(X407&lt;=380,100+((200-100)/(380-80))*(X407-80),IF(X407&lt;=800,200+((300-200)/(800-380))*(X407-380),IF(X407&lt;=1600,300+((400-300)/(1600-800))*(X407-800),IF(X407&lt;=2100,400+((500-400)/(2100-1600))*(X407-1600),500)))))))</f>
        <v>44.5</v>
      </c>
      <c r="AK407" s="4" t="n">
        <f aca="false">IF(Y407="","",IF(Y407&lt;=50,(50/50)*Y407,IF(Y407&lt;=100,50+((100-50)/(100-50))*(Y407-50),IF(Y407&lt;=168,100+((200-100)/(168-100))*(Y407-100),IF(Y407&lt;=208,200+((300-200)/(208-168))*(Y407-168),IF(Y407&lt;=748,300+((400-300)/(748-208))*(Y407-208),IF(Y407&lt;=1000,400+((500-400)/(1000-748))*(Y407-748),500)))))))</f>
        <v>56</v>
      </c>
      <c r="AL407" s="4" t="n">
        <f aca="false">ROUND(MAX(AF407,AG407,AH407,AI407,AJ407,AK407),0)</f>
        <v>179</v>
      </c>
      <c r="AM407" s="4" t="str">
        <f aca="false">IF(AL407="","",IF(AL407&lt;=50,"Good",IF(AL407&lt;=100,"Satisfactory",IF(AL407&lt;=200,"Moderate",IF(AL407&lt;=300,"Poor",IF(AL407&lt;=400,"Very Poor","Severe"))))))</f>
        <v>Moderate</v>
      </c>
    </row>
    <row r="408" customFormat="false" ht="15.75" hidden="false" customHeight="false" outlineLevel="0" collapsed="false">
      <c r="A408" s="1" t="s">
        <v>39</v>
      </c>
      <c r="B408" s="1" t="s">
        <v>40</v>
      </c>
      <c r="C408" s="1" t="n">
        <v>28.4595</v>
      </c>
      <c r="D408" s="1" t="n">
        <v>77.0266</v>
      </c>
      <c r="E408" s="5" t="n">
        <v>45917</v>
      </c>
      <c r="F408" s="6" t="s">
        <v>76</v>
      </c>
      <c r="G408" s="1" t="n">
        <v>9</v>
      </c>
      <c r="H408" s="7" t="s">
        <v>79</v>
      </c>
      <c r="I408" s="6" t="s">
        <v>43</v>
      </c>
      <c r="J408" s="7" t="s">
        <v>44</v>
      </c>
      <c r="K408" s="7" t="s">
        <v>75</v>
      </c>
      <c r="L408" s="1" t="n">
        <v>87</v>
      </c>
      <c r="M408" s="1" t="n">
        <v>24.9</v>
      </c>
      <c r="N408" s="1" t="n">
        <v>15.5</v>
      </c>
      <c r="O408" s="1" t="n">
        <v>0</v>
      </c>
      <c r="P408" s="6" t="s">
        <v>43</v>
      </c>
      <c r="Q408" s="6" t="s">
        <v>43</v>
      </c>
      <c r="R408" s="1" t="n">
        <v>1006.2</v>
      </c>
      <c r="S408" s="1" t="n">
        <v>13</v>
      </c>
      <c r="T408" s="1" t="n">
        <v>79.9</v>
      </c>
      <c r="U408" s="1" t="n">
        <v>109.7</v>
      </c>
      <c r="V408" s="1" t="n">
        <v>1154</v>
      </c>
      <c r="W408" s="1" t="n">
        <v>48.2</v>
      </c>
      <c r="X408" s="1" t="n">
        <v>31.1</v>
      </c>
      <c r="Y408" s="1" t="n">
        <v>63</v>
      </c>
      <c r="Z408" s="1" t="n">
        <v>57</v>
      </c>
      <c r="AA408" s="1" t="n">
        <v>138</v>
      </c>
      <c r="AB408" s="7" t="s">
        <v>81</v>
      </c>
      <c r="AC408" s="7" t="s">
        <v>82</v>
      </c>
      <c r="AD408" s="7" t="s">
        <v>83</v>
      </c>
      <c r="AE408" s="7" t="s">
        <v>84</v>
      </c>
      <c r="AF408" s="4" t="n">
        <f aca="false">IF(T408="","",IF(T408&lt;=30,(50/30)*T408,IF(T408&lt;=60,50+((100-50)/(60-30))*(T408-30),IF(T408&lt;=90,100+((200-100)/(90-60))*(T408-60),IF(T408&lt;=120,200+((300-200)/(120-90))*(T408-90),IF(T408&lt;=250,300+((400-300)/(250-120))*(T408-120),IF(T408&lt;=380,400+((500-400)/(380-250))*(T408-250),500)))))))</f>
        <v>166.333333333333</v>
      </c>
      <c r="AG408" s="4" t="n">
        <f aca="false">IF(U408="","",IF(U408&lt;=50,(50/50)*U408,IF(U408&lt;=100,50+((100-50)/(100-50))*(U408-50),IF(U408&lt;=250,100+((200-100)/(250-100))*(U408-100),IF(U408&lt;=350,200+((300-200)/(350-250))*(U408-250),IF(U408&lt;=430,300+((400-300)/(430-350))*(U408-350),IF(U408&lt;=600,400+((500-400)/(600-430))*(U408-430),500)))))))</f>
        <v>106.466666666667</v>
      </c>
      <c r="AH408" s="4" t="n">
        <f aca="false">IF(V408="","",IF((V408/1000)&lt;=1,(50/1)*(V408/1000),IF((V408/1000)&lt;=2,50+((100-50)/(2-1))*(V408/1000-1),IF((V408/1000)&lt;=10,100+((200-100)/(10-2))*(V408/1000-2),IF((V408/1000)&lt;=17,200+((300-200)/(17-10))*(V408/1000-10),IF((V408/1000)&lt;=34,300+((400-300)/(34-17))*(V408/1000-17),IF((V408/1000)&lt;=57,400+((500-400)/(57-34))*(V408/1000-34),500)))))))</f>
        <v>57.7</v>
      </c>
      <c r="AI408" s="4" t="n">
        <f aca="false">IF(W408="","",IF(W408&lt;=40,(50/40)*W408,IF(W408&lt;=80,50+((100-50)/(80-40))*(W408-40),IF(W408&lt;=180,100+((200-100)/(180-80))*(W408-80),IF(W408&lt;=280,200+((300-200)/(280-180))*(W408-180),IF(W408&lt;=400,300+((400-300)/(400-280))*(W408-280),IF(W408&lt;=800,400+((500-400)/(800-400))*(W408-400),500)))))))</f>
        <v>60.25</v>
      </c>
      <c r="AJ408" s="4" t="n">
        <f aca="false">IF(X408="","",IF(X408&lt;=40,(50/40)*X408,IF(X408&lt;=80,50+((100-50)/(80-40))*(X408-40),IF(X408&lt;=380,100+((200-100)/(380-80))*(X408-80),IF(X408&lt;=800,200+((300-200)/(800-380))*(X408-380),IF(X408&lt;=1600,300+((400-300)/(1600-800))*(X408-800),IF(X408&lt;=2100,400+((500-400)/(2100-1600))*(X408-1600),500)))))))</f>
        <v>38.875</v>
      </c>
      <c r="AK408" s="4" t="n">
        <f aca="false">IF(Y408="","",IF(Y408&lt;=50,(50/50)*Y408,IF(Y408&lt;=100,50+((100-50)/(100-50))*(Y408-50),IF(Y408&lt;=168,100+((200-100)/(168-100))*(Y408-100),IF(Y408&lt;=208,200+((300-200)/(208-168))*(Y408-168),IF(Y408&lt;=748,300+((400-300)/(748-208))*(Y408-208),IF(Y408&lt;=1000,400+((500-400)/(1000-748))*(Y408-748),500)))))))</f>
        <v>63</v>
      </c>
      <c r="AL408" s="4" t="n">
        <f aca="false">ROUND(MAX(AF408,AG408,AH408,AI408,AJ408,AK408),0)</f>
        <v>166</v>
      </c>
      <c r="AM408" s="4" t="str">
        <f aca="false">IF(AL408="","",IF(AL408&lt;=50,"Good",IF(AL408&lt;=100,"Satisfactory",IF(AL408&lt;=200,"Moderate",IF(AL408&lt;=300,"Poor",IF(AL408&lt;=400,"Very Poor","Severe"))))))</f>
        <v>Moderate</v>
      </c>
    </row>
    <row r="409" customFormat="false" ht="15.75" hidden="false" customHeight="false" outlineLevel="0" collapsed="false">
      <c r="A409" s="1" t="s">
        <v>39</v>
      </c>
      <c r="B409" s="1" t="s">
        <v>40</v>
      </c>
      <c r="C409" s="1" t="n">
        <v>28.4595</v>
      </c>
      <c r="D409" s="1" t="n">
        <v>77.0266</v>
      </c>
      <c r="E409" s="5" t="n">
        <v>45917</v>
      </c>
      <c r="F409" s="6" t="s">
        <v>77</v>
      </c>
      <c r="G409" s="1" t="n">
        <v>9</v>
      </c>
      <c r="H409" s="7" t="s">
        <v>79</v>
      </c>
      <c r="I409" s="6" t="s">
        <v>43</v>
      </c>
      <c r="J409" s="7" t="s">
        <v>44</v>
      </c>
      <c r="K409" s="7" t="s">
        <v>75</v>
      </c>
      <c r="L409" s="1" t="n">
        <v>89</v>
      </c>
      <c r="M409" s="1" t="n">
        <v>25</v>
      </c>
      <c r="N409" s="1" t="n">
        <v>18.7</v>
      </c>
      <c r="O409" s="1" t="n">
        <v>0</v>
      </c>
      <c r="P409" s="6" t="s">
        <v>43</v>
      </c>
      <c r="Q409" s="6" t="s">
        <v>43</v>
      </c>
      <c r="R409" s="1" t="n">
        <v>1006.2</v>
      </c>
      <c r="S409" s="1" t="n">
        <v>28</v>
      </c>
      <c r="T409" s="1" t="n">
        <v>76.4</v>
      </c>
      <c r="U409" s="1" t="n">
        <v>102.7</v>
      </c>
      <c r="V409" s="1" t="n">
        <v>892</v>
      </c>
      <c r="W409" s="1" t="n">
        <v>38.7</v>
      </c>
      <c r="X409" s="1" t="n">
        <v>26.9</v>
      </c>
      <c r="Y409" s="1" t="n">
        <v>67</v>
      </c>
      <c r="Z409" s="1" t="n">
        <v>51</v>
      </c>
      <c r="AA409" s="1" t="n">
        <v>141</v>
      </c>
      <c r="AB409" s="7" t="s">
        <v>81</v>
      </c>
      <c r="AC409" s="7" t="s">
        <v>82</v>
      </c>
      <c r="AD409" s="7" t="s">
        <v>83</v>
      </c>
      <c r="AE409" s="7" t="s">
        <v>84</v>
      </c>
      <c r="AF409" s="4" t="n">
        <f aca="false">IF(T409="","",IF(T409&lt;=30,(50/30)*T409,IF(T409&lt;=60,50+((100-50)/(60-30))*(T409-30),IF(T409&lt;=90,100+((200-100)/(90-60))*(T409-60),IF(T409&lt;=120,200+((300-200)/(120-90))*(T409-90),IF(T409&lt;=250,300+((400-300)/(250-120))*(T409-120),IF(T409&lt;=380,400+((500-400)/(380-250))*(T409-250),500)))))))</f>
        <v>154.666666666667</v>
      </c>
      <c r="AG409" s="4" t="n">
        <f aca="false">IF(U409="","",IF(U409&lt;=50,(50/50)*U409,IF(U409&lt;=100,50+((100-50)/(100-50))*(U409-50),IF(U409&lt;=250,100+((200-100)/(250-100))*(U409-100),IF(U409&lt;=350,200+((300-200)/(350-250))*(U409-250),IF(U409&lt;=430,300+((400-300)/(430-350))*(U409-350),IF(U409&lt;=600,400+((500-400)/(600-430))*(U409-430),500)))))))</f>
        <v>101.8</v>
      </c>
      <c r="AH409" s="4" t="n">
        <f aca="false">IF(V409="","",IF((V409/1000)&lt;=1,(50/1)*(V409/1000),IF((V409/1000)&lt;=2,50+((100-50)/(2-1))*(V409/1000-1),IF((V409/1000)&lt;=10,100+((200-100)/(10-2))*(V409/1000-2),IF((V409/1000)&lt;=17,200+((300-200)/(17-10))*(V409/1000-10),IF((V409/1000)&lt;=34,300+((400-300)/(34-17))*(V409/1000-17),IF((V409/1000)&lt;=57,400+((500-400)/(57-34))*(V409/1000-34),500)))))))</f>
        <v>44.6</v>
      </c>
      <c r="AI409" s="4" t="n">
        <f aca="false">IF(W409="","",IF(W409&lt;=40,(50/40)*W409,IF(W409&lt;=80,50+((100-50)/(80-40))*(W409-40),IF(W409&lt;=180,100+((200-100)/(180-80))*(W409-80),IF(W409&lt;=280,200+((300-200)/(280-180))*(W409-180),IF(W409&lt;=400,300+((400-300)/(400-280))*(W409-280),IF(W409&lt;=800,400+((500-400)/(800-400))*(W409-400),500)))))))</f>
        <v>48.375</v>
      </c>
      <c r="AJ409" s="4" t="n">
        <f aca="false">IF(X409="","",IF(X409&lt;=40,(50/40)*X409,IF(X409&lt;=80,50+((100-50)/(80-40))*(X409-40),IF(X409&lt;=380,100+((200-100)/(380-80))*(X409-80),IF(X409&lt;=800,200+((300-200)/(800-380))*(X409-380),IF(X409&lt;=1600,300+((400-300)/(1600-800))*(X409-800),IF(X409&lt;=2100,400+((500-400)/(2100-1600))*(X409-1600),500)))))))</f>
        <v>33.625</v>
      </c>
      <c r="AK409" s="4" t="n">
        <f aca="false">IF(Y409="","",IF(Y409&lt;=50,(50/50)*Y409,IF(Y409&lt;=100,50+((100-50)/(100-50))*(Y409-50),IF(Y409&lt;=168,100+((200-100)/(168-100))*(Y409-100),IF(Y409&lt;=208,200+((300-200)/(208-168))*(Y409-168),IF(Y409&lt;=748,300+((400-300)/(748-208))*(Y409-208),IF(Y409&lt;=1000,400+((500-400)/(1000-748))*(Y409-748),500)))))))</f>
        <v>67</v>
      </c>
      <c r="AL409" s="4" t="n">
        <f aca="false">ROUND(MAX(AF409,AG409,AH409,AI409,AJ409,AK409),0)</f>
        <v>155</v>
      </c>
      <c r="AM409" s="4" t="str">
        <f aca="false">IF(AL409="","",IF(AL409&lt;=50,"Good",IF(AL409&lt;=100,"Satisfactory",IF(AL409&lt;=200,"Moderate",IF(AL409&lt;=300,"Poor",IF(AL409&lt;=400,"Very Poor","Severe"))))))</f>
        <v>Moderate</v>
      </c>
    </row>
    <row r="410" customFormat="false" ht="15.75" hidden="false" customHeight="false" outlineLevel="0" collapsed="false">
      <c r="A410" s="1" t="s">
        <v>39</v>
      </c>
      <c r="B410" s="1" t="s">
        <v>40</v>
      </c>
      <c r="C410" s="1" t="n">
        <v>28.4595</v>
      </c>
      <c r="D410" s="1" t="n">
        <v>77.0266</v>
      </c>
      <c r="E410" s="5" t="n">
        <v>45918</v>
      </c>
      <c r="F410" s="6" t="s">
        <v>41</v>
      </c>
      <c r="G410" s="1" t="n">
        <v>9</v>
      </c>
      <c r="H410" s="7" t="s">
        <v>80</v>
      </c>
      <c r="I410" s="6" t="s">
        <v>43</v>
      </c>
      <c r="J410" s="7" t="s">
        <v>44</v>
      </c>
      <c r="K410" s="7" t="s">
        <v>45</v>
      </c>
      <c r="L410" s="1" t="n">
        <v>90</v>
      </c>
      <c r="M410" s="1" t="n">
        <v>24.8</v>
      </c>
      <c r="N410" s="1" t="n">
        <v>20.2</v>
      </c>
      <c r="O410" s="1" t="n">
        <v>0</v>
      </c>
      <c r="P410" s="6" t="s">
        <v>43</v>
      </c>
      <c r="Q410" s="6" t="s">
        <v>43</v>
      </c>
      <c r="R410" s="1" t="n">
        <v>1005.9</v>
      </c>
      <c r="S410" s="1" t="n">
        <v>1</v>
      </c>
      <c r="T410" s="1" t="n">
        <v>75</v>
      </c>
      <c r="U410" s="1" t="n">
        <v>99</v>
      </c>
      <c r="V410" s="1" t="n">
        <v>747</v>
      </c>
      <c r="W410" s="1" t="n">
        <v>34.1</v>
      </c>
      <c r="X410" s="1" t="n">
        <v>23.8</v>
      </c>
      <c r="Y410" s="1" t="n">
        <v>64</v>
      </c>
      <c r="Z410" s="1" t="n">
        <v>46</v>
      </c>
      <c r="AA410" s="1" t="n">
        <v>143</v>
      </c>
      <c r="AB410" s="7" t="s">
        <v>81</v>
      </c>
      <c r="AC410" s="7" t="s">
        <v>82</v>
      </c>
      <c r="AD410" s="7" t="s">
        <v>83</v>
      </c>
      <c r="AE410" s="7" t="s">
        <v>84</v>
      </c>
      <c r="AF410" s="4" t="n">
        <f aca="false">IF(T410="","",IF(T410&lt;=30,(50/30)*T410,IF(T410&lt;=60,50+((100-50)/(60-30))*(T410-30),IF(T410&lt;=90,100+((200-100)/(90-60))*(T410-60),IF(T410&lt;=120,200+((300-200)/(120-90))*(T410-90),IF(T410&lt;=250,300+((400-300)/(250-120))*(T410-120),IF(T410&lt;=380,400+((500-400)/(380-250))*(T410-250),500)))))))</f>
        <v>150</v>
      </c>
      <c r="AG410" s="4" t="n">
        <f aca="false">IF(U410="","",IF(U410&lt;=50,(50/50)*U410,IF(U410&lt;=100,50+((100-50)/(100-50))*(U410-50),IF(U410&lt;=250,100+((200-100)/(250-100))*(U410-100),IF(U410&lt;=350,200+((300-200)/(350-250))*(U410-250),IF(U410&lt;=430,300+((400-300)/(430-350))*(U410-350),IF(U410&lt;=600,400+((500-400)/(600-430))*(U410-430),500)))))))</f>
        <v>99</v>
      </c>
      <c r="AH410" s="4" t="n">
        <f aca="false">IF(V410="","",IF((V410/1000)&lt;=1,(50/1)*(V410/1000),IF((V410/1000)&lt;=2,50+((100-50)/(2-1))*(V410/1000-1),IF((V410/1000)&lt;=10,100+((200-100)/(10-2))*(V410/1000-2),IF((V410/1000)&lt;=17,200+((300-200)/(17-10))*(V410/1000-10),IF((V410/1000)&lt;=34,300+((400-300)/(34-17))*(V410/1000-17),IF((V410/1000)&lt;=57,400+((500-400)/(57-34))*(V410/1000-34),500)))))))</f>
        <v>37.35</v>
      </c>
      <c r="AI410" s="4" t="n">
        <f aca="false">IF(W410="","",IF(W410&lt;=40,(50/40)*W410,IF(W410&lt;=80,50+((100-50)/(80-40))*(W410-40),IF(W410&lt;=180,100+((200-100)/(180-80))*(W410-80),IF(W410&lt;=280,200+((300-200)/(280-180))*(W410-180),IF(W410&lt;=400,300+((400-300)/(400-280))*(W410-280),IF(W410&lt;=800,400+((500-400)/(800-400))*(W410-400),500)))))))</f>
        <v>42.625</v>
      </c>
      <c r="AJ410" s="4" t="n">
        <f aca="false">IF(X410="","",IF(X410&lt;=40,(50/40)*X410,IF(X410&lt;=80,50+((100-50)/(80-40))*(X410-40),IF(X410&lt;=380,100+((200-100)/(380-80))*(X410-80),IF(X410&lt;=800,200+((300-200)/(800-380))*(X410-380),IF(X410&lt;=1600,300+((400-300)/(1600-800))*(X410-800),IF(X410&lt;=2100,400+((500-400)/(2100-1600))*(X410-1600),500)))))))</f>
        <v>29.75</v>
      </c>
      <c r="AK410" s="4" t="n">
        <f aca="false">IF(Y410="","",IF(Y410&lt;=50,(50/50)*Y410,IF(Y410&lt;=100,50+((100-50)/(100-50))*(Y410-50),IF(Y410&lt;=168,100+((200-100)/(168-100))*(Y410-100),IF(Y410&lt;=208,200+((300-200)/(208-168))*(Y410-168),IF(Y410&lt;=748,300+((400-300)/(748-208))*(Y410-208),IF(Y410&lt;=1000,400+((500-400)/(1000-748))*(Y410-748),500)))))))</f>
        <v>64</v>
      </c>
      <c r="AL410" s="4" t="n">
        <f aca="false">ROUND(MAX(AF410,AG410,AH410,AI410,AJ410,AK410),0)</f>
        <v>150</v>
      </c>
      <c r="AM410" s="4" t="str">
        <f aca="false">IF(AL410="","",IF(AL410&lt;=50,"Good",IF(AL410&lt;=100,"Satisfactory",IF(AL410&lt;=200,"Moderate",IF(AL410&lt;=300,"Poor",IF(AL410&lt;=400,"Very Poor","Severe"))))))</f>
        <v>Moderate</v>
      </c>
    </row>
    <row r="411" customFormat="false" ht="15.75" hidden="false" customHeight="false" outlineLevel="0" collapsed="false">
      <c r="A411" s="1" t="s">
        <v>39</v>
      </c>
      <c r="B411" s="1" t="s">
        <v>40</v>
      </c>
      <c r="C411" s="1" t="n">
        <v>28.4595</v>
      </c>
      <c r="D411" s="1" t="n">
        <v>77.0266</v>
      </c>
      <c r="E411" s="5" t="n">
        <v>45918</v>
      </c>
      <c r="F411" s="6" t="s">
        <v>49</v>
      </c>
      <c r="G411" s="1" t="n">
        <v>9</v>
      </c>
      <c r="H411" s="7" t="s">
        <v>80</v>
      </c>
      <c r="I411" s="6" t="s">
        <v>43</v>
      </c>
      <c r="J411" s="7" t="s">
        <v>44</v>
      </c>
      <c r="K411" s="7" t="s">
        <v>45</v>
      </c>
      <c r="L411" s="1" t="n">
        <v>90</v>
      </c>
      <c r="M411" s="1" t="n">
        <v>24.4</v>
      </c>
      <c r="N411" s="1" t="n">
        <v>20.2</v>
      </c>
      <c r="O411" s="1" t="n">
        <v>0</v>
      </c>
      <c r="P411" s="6" t="s">
        <v>43</v>
      </c>
      <c r="Q411" s="6" t="s">
        <v>43</v>
      </c>
      <c r="R411" s="1" t="n">
        <v>1005.6</v>
      </c>
      <c r="S411" s="1" t="n">
        <v>9</v>
      </c>
      <c r="T411" s="1" t="n">
        <v>74.3</v>
      </c>
      <c r="U411" s="1" t="n">
        <v>96.2</v>
      </c>
      <c r="V411" s="1" t="n">
        <v>639</v>
      </c>
      <c r="W411" s="1" t="n">
        <v>31.2</v>
      </c>
      <c r="X411" s="1" t="n">
        <v>21.1</v>
      </c>
      <c r="Y411" s="1" t="n">
        <v>59</v>
      </c>
      <c r="Z411" s="1" t="n">
        <v>42</v>
      </c>
      <c r="AA411" s="1" t="n">
        <v>145</v>
      </c>
      <c r="AB411" s="7" t="s">
        <v>81</v>
      </c>
      <c r="AC411" s="7" t="s">
        <v>82</v>
      </c>
      <c r="AD411" s="7" t="s">
        <v>83</v>
      </c>
      <c r="AE411" s="7" t="s">
        <v>84</v>
      </c>
      <c r="AF411" s="4" t="n">
        <f aca="false">IF(T411="","",IF(T411&lt;=30,(50/30)*T411,IF(T411&lt;=60,50+((100-50)/(60-30))*(T411-30),IF(T411&lt;=90,100+((200-100)/(90-60))*(T411-60),IF(T411&lt;=120,200+((300-200)/(120-90))*(T411-90),IF(T411&lt;=250,300+((400-300)/(250-120))*(T411-120),IF(T411&lt;=380,400+((500-400)/(380-250))*(T411-250),500)))))))</f>
        <v>147.666666666667</v>
      </c>
      <c r="AG411" s="4" t="n">
        <f aca="false">IF(U411="","",IF(U411&lt;=50,(50/50)*U411,IF(U411&lt;=100,50+((100-50)/(100-50))*(U411-50),IF(U411&lt;=250,100+((200-100)/(250-100))*(U411-100),IF(U411&lt;=350,200+((300-200)/(350-250))*(U411-250),IF(U411&lt;=430,300+((400-300)/(430-350))*(U411-350),IF(U411&lt;=600,400+((500-400)/(600-430))*(U411-430),500)))))))</f>
        <v>96.2</v>
      </c>
      <c r="AH411" s="4" t="n">
        <f aca="false">IF(V411="","",IF((V411/1000)&lt;=1,(50/1)*(V411/1000),IF((V411/1000)&lt;=2,50+((100-50)/(2-1))*(V411/1000-1),IF((V411/1000)&lt;=10,100+((200-100)/(10-2))*(V411/1000-2),IF((V411/1000)&lt;=17,200+((300-200)/(17-10))*(V411/1000-10),IF((V411/1000)&lt;=34,300+((400-300)/(34-17))*(V411/1000-17),IF((V411/1000)&lt;=57,400+((500-400)/(57-34))*(V411/1000-34),500)))))))</f>
        <v>31.95</v>
      </c>
      <c r="AI411" s="4" t="n">
        <f aca="false">IF(W411="","",IF(W411&lt;=40,(50/40)*W411,IF(W411&lt;=80,50+((100-50)/(80-40))*(W411-40),IF(W411&lt;=180,100+((200-100)/(180-80))*(W411-80),IF(W411&lt;=280,200+((300-200)/(280-180))*(W411-180),IF(W411&lt;=400,300+((400-300)/(400-280))*(W411-280),IF(W411&lt;=800,400+((500-400)/(800-400))*(W411-400),500)))))))</f>
        <v>39</v>
      </c>
      <c r="AJ411" s="4" t="n">
        <f aca="false">IF(X411="","",IF(X411&lt;=40,(50/40)*X411,IF(X411&lt;=80,50+((100-50)/(80-40))*(X411-40),IF(X411&lt;=380,100+((200-100)/(380-80))*(X411-80),IF(X411&lt;=800,200+((300-200)/(800-380))*(X411-380),IF(X411&lt;=1600,300+((400-300)/(1600-800))*(X411-800),IF(X411&lt;=2100,400+((500-400)/(2100-1600))*(X411-1600),500)))))))</f>
        <v>26.375</v>
      </c>
      <c r="AK411" s="4" t="n">
        <f aca="false">IF(Y411="","",IF(Y411&lt;=50,(50/50)*Y411,IF(Y411&lt;=100,50+((100-50)/(100-50))*(Y411-50),IF(Y411&lt;=168,100+((200-100)/(168-100))*(Y411-100),IF(Y411&lt;=208,200+((300-200)/(208-168))*(Y411-168),IF(Y411&lt;=748,300+((400-300)/(748-208))*(Y411-208),IF(Y411&lt;=1000,400+((500-400)/(1000-748))*(Y411-748),500)))))))</f>
        <v>59</v>
      </c>
      <c r="AL411" s="4" t="n">
        <f aca="false">ROUND(MAX(AF411,AG411,AH411,AI411,AJ411,AK411),0)</f>
        <v>148</v>
      </c>
      <c r="AM411" s="4" t="str">
        <f aca="false">IF(AL411="","",IF(AL411&lt;=50,"Good",IF(AL411&lt;=100,"Satisfactory",IF(AL411&lt;=200,"Moderate",IF(AL411&lt;=300,"Poor",IF(AL411&lt;=400,"Very Poor","Severe"))))))</f>
        <v>Moderate</v>
      </c>
    </row>
    <row r="412" customFormat="false" ht="15.75" hidden="false" customHeight="false" outlineLevel="0" collapsed="false">
      <c r="A412" s="1" t="s">
        <v>39</v>
      </c>
      <c r="B412" s="1" t="s">
        <v>40</v>
      </c>
      <c r="C412" s="1" t="n">
        <v>28.4595</v>
      </c>
      <c r="D412" s="1" t="n">
        <v>77.0266</v>
      </c>
      <c r="E412" s="5" t="n">
        <v>45918</v>
      </c>
      <c r="F412" s="6" t="s">
        <v>51</v>
      </c>
      <c r="G412" s="1" t="n">
        <v>9</v>
      </c>
      <c r="H412" s="7" t="s">
        <v>80</v>
      </c>
      <c r="I412" s="6" t="s">
        <v>43</v>
      </c>
      <c r="J412" s="7" t="s">
        <v>44</v>
      </c>
      <c r="K412" s="7" t="s">
        <v>45</v>
      </c>
      <c r="L412" s="1" t="n">
        <v>91</v>
      </c>
      <c r="M412" s="1" t="n">
        <v>24.2</v>
      </c>
      <c r="N412" s="1" t="n">
        <v>15.5</v>
      </c>
      <c r="O412" s="1" t="n">
        <v>0</v>
      </c>
      <c r="P412" s="6" t="s">
        <v>43</v>
      </c>
      <c r="Q412" s="6" t="s">
        <v>43</v>
      </c>
      <c r="R412" s="1" t="n">
        <v>1005.2</v>
      </c>
      <c r="S412" s="1" t="n">
        <v>14</v>
      </c>
      <c r="T412" s="1" t="n">
        <v>71.9</v>
      </c>
      <c r="U412" s="1" t="n">
        <v>91.7</v>
      </c>
      <c r="V412" s="1" t="n">
        <v>569</v>
      </c>
      <c r="W412" s="1" t="n">
        <v>29.4</v>
      </c>
      <c r="X412" s="1" t="n">
        <v>19</v>
      </c>
      <c r="Y412" s="1" t="n">
        <v>54</v>
      </c>
      <c r="Z412" s="1" t="n">
        <v>38</v>
      </c>
      <c r="AA412" s="1" t="n">
        <v>148</v>
      </c>
      <c r="AB412" s="7" t="s">
        <v>81</v>
      </c>
      <c r="AC412" s="7" t="s">
        <v>82</v>
      </c>
      <c r="AD412" s="7" t="s">
        <v>83</v>
      </c>
      <c r="AE412" s="7" t="s">
        <v>84</v>
      </c>
      <c r="AF412" s="4" t="n">
        <f aca="false">IF(T412="","",IF(T412&lt;=30,(50/30)*T412,IF(T412&lt;=60,50+((100-50)/(60-30))*(T412-30),IF(T412&lt;=90,100+((200-100)/(90-60))*(T412-60),IF(T412&lt;=120,200+((300-200)/(120-90))*(T412-90),IF(T412&lt;=250,300+((400-300)/(250-120))*(T412-120),IF(T412&lt;=380,400+((500-400)/(380-250))*(T412-250),500)))))))</f>
        <v>139.666666666667</v>
      </c>
      <c r="AG412" s="4" t="n">
        <f aca="false">IF(U412="","",IF(U412&lt;=50,(50/50)*U412,IF(U412&lt;=100,50+((100-50)/(100-50))*(U412-50),IF(U412&lt;=250,100+((200-100)/(250-100))*(U412-100),IF(U412&lt;=350,200+((300-200)/(350-250))*(U412-250),IF(U412&lt;=430,300+((400-300)/(430-350))*(U412-350),IF(U412&lt;=600,400+((500-400)/(600-430))*(U412-430),500)))))))</f>
        <v>91.7</v>
      </c>
      <c r="AH412" s="4" t="n">
        <f aca="false">IF(V412="","",IF((V412/1000)&lt;=1,(50/1)*(V412/1000),IF((V412/1000)&lt;=2,50+((100-50)/(2-1))*(V412/1000-1),IF((V412/1000)&lt;=10,100+((200-100)/(10-2))*(V412/1000-2),IF((V412/1000)&lt;=17,200+((300-200)/(17-10))*(V412/1000-10),IF((V412/1000)&lt;=34,300+((400-300)/(34-17))*(V412/1000-17),IF((V412/1000)&lt;=57,400+((500-400)/(57-34))*(V412/1000-34),500)))))))</f>
        <v>28.45</v>
      </c>
      <c r="AI412" s="4" t="n">
        <f aca="false">IF(W412="","",IF(W412&lt;=40,(50/40)*W412,IF(W412&lt;=80,50+((100-50)/(80-40))*(W412-40),IF(W412&lt;=180,100+((200-100)/(180-80))*(W412-80),IF(W412&lt;=280,200+((300-200)/(280-180))*(W412-180),IF(W412&lt;=400,300+((400-300)/(400-280))*(W412-280),IF(W412&lt;=800,400+((500-400)/(800-400))*(W412-400),500)))))))</f>
        <v>36.75</v>
      </c>
      <c r="AJ412" s="4" t="n">
        <f aca="false">IF(X412="","",IF(X412&lt;=40,(50/40)*X412,IF(X412&lt;=80,50+((100-50)/(80-40))*(X412-40),IF(X412&lt;=380,100+((200-100)/(380-80))*(X412-80),IF(X412&lt;=800,200+((300-200)/(800-380))*(X412-380),IF(X412&lt;=1600,300+((400-300)/(1600-800))*(X412-800),IF(X412&lt;=2100,400+((500-400)/(2100-1600))*(X412-1600),500)))))))</f>
        <v>23.75</v>
      </c>
      <c r="AK412" s="4" t="n">
        <f aca="false">IF(Y412="","",IF(Y412&lt;=50,(50/50)*Y412,IF(Y412&lt;=100,50+((100-50)/(100-50))*(Y412-50),IF(Y412&lt;=168,100+((200-100)/(168-100))*(Y412-100),IF(Y412&lt;=208,200+((300-200)/(208-168))*(Y412-168),IF(Y412&lt;=748,300+((400-300)/(748-208))*(Y412-208),IF(Y412&lt;=1000,400+((500-400)/(1000-748))*(Y412-748),500)))))))</f>
        <v>54</v>
      </c>
      <c r="AL412" s="4" t="n">
        <f aca="false">ROUND(MAX(AF412,AG412,AH412,AI412,AJ412,AK412),0)</f>
        <v>140</v>
      </c>
      <c r="AM412" s="4" t="str">
        <f aca="false">IF(AL412="","",IF(AL412&lt;=50,"Good",IF(AL412&lt;=100,"Satisfactory",IF(AL412&lt;=200,"Moderate",IF(AL412&lt;=300,"Poor",IF(AL412&lt;=400,"Very Poor","Severe"))))))</f>
        <v>Moderate</v>
      </c>
    </row>
    <row r="413" customFormat="false" ht="15.75" hidden="false" customHeight="false" outlineLevel="0" collapsed="false">
      <c r="A413" s="1" t="s">
        <v>39</v>
      </c>
      <c r="B413" s="1" t="s">
        <v>40</v>
      </c>
      <c r="C413" s="1" t="n">
        <v>28.4595</v>
      </c>
      <c r="D413" s="1" t="n">
        <v>77.0266</v>
      </c>
      <c r="E413" s="5" t="n">
        <v>45918</v>
      </c>
      <c r="F413" s="6" t="s">
        <v>52</v>
      </c>
      <c r="G413" s="1" t="n">
        <v>9</v>
      </c>
      <c r="H413" s="7" t="s">
        <v>80</v>
      </c>
      <c r="I413" s="6" t="s">
        <v>43</v>
      </c>
      <c r="J413" s="7" t="s">
        <v>44</v>
      </c>
      <c r="K413" s="7" t="s">
        <v>45</v>
      </c>
      <c r="L413" s="1" t="n">
        <v>94</v>
      </c>
      <c r="M413" s="1" t="n">
        <v>24.4</v>
      </c>
      <c r="N413" s="1" t="n">
        <v>18</v>
      </c>
      <c r="O413" s="1" t="n">
        <v>0</v>
      </c>
      <c r="P413" s="6" t="s">
        <v>43</v>
      </c>
      <c r="Q413" s="6" t="s">
        <v>43</v>
      </c>
      <c r="R413" s="1" t="n">
        <v>1005.2</v>
      </c>
      <c r="S413" s="1" t="n">
        <v>4</v>
      </c>
      <c r="T413" s="1" t="n">
        <v>69.4</v>
      </c>
      <c r="U413" s="1" t="n">
        <v>86.8</v>
      </c>
      <c r="V413" s="1" t="n">
        <v>545</v>
      </c>
      <c r="W413" s="1" t="n">
        <v>29.1</v>
      </c>
      <c r="X413" s="1" t="n">
        <v>17.6</v>
      </c>
      <c r="Y413" s="1" t="n">
        <v>47</v>
      </c>
      <c r="Z413" s="1" t="n">
        <v>34</v>
      </c>
      <c r="AA413" s="1" t="n">
        <v>150</v>
      </c>
      <c r="AB413" s="7" t="s">
        <v>81</v>
      </c>
      <c r="AC413" s="7" t="s">
        <v>82</v>
      </c>
      <c r="AD413" s="7" t="s">
        <v>83</v>
      </c>
      <c r="AE413" s="7" t="s">
        <v>84</v>
      </c>
      <c r="AF413" s="4" t="n">
        <f aca="false">IF(T413="","",IF(T413&lt;=30,(50/30)*T413,IF(T413&lt;=60,50+((100-50)/(60-30))*(T413-30),IF(T413&lt;=90,100+((200-100)/(90-60))*(T413-60),IF(T413&lt;=120,200+((300-200)/(120-90))*(T413-90),IF(T413&lt;=250,300+((400-300)/(250-120))*(T413-120),IF(T413&lt;=380,400+((500-400)/(380-250))*(T413-250),500)))))))</f>
        <v>131.333333333333</v>
      </c>
      <c r="AG413" s="4" t="n">
        <f aca="false">IF(U413="","",IF(U413&lt;=50,(50/50)*U413,IF(U413&lt;=100,50+((100-50)/(100-50))*(U413-50),IF(U413&lt;=250,100+((200-100)/(250-100))*(U413-100),IF(U413&lt;=350,200+((300-200)/(350-250))*(U413-250),IF(U413&lt;=430,300+((400-300)/(430-350))*(U413-350),IF(U413&lt;=600,400+((500-400)/(600-430))*(U413-430),500)))))))</f>
        <v>86.8</v>
      </c>
      <c r="AH413" s="4" t="n">
        <f aca="false">IF(V413="","",IF((V413/1000)&lt;=1,(50/1)*(V413/1000),IF((V413/1000)&lt;=2,50+((100-50)/(2-1))*(V413/1000-1),IF((V413/1000)&lt;=10,100+((200-100)/(10-2))*(V413/1000-2),IF((V413/1000)&lt;=17,200+((300-200)/(17-10))*(V413/1000-10),IF((V413/1000)&lt;=34,300+((400-300)/(34-17))*(V413/1000-17),IF((V413/1000)&lt;=57,400+((500-400)/(57-34))*(V413/1000-34),500)))))))</f>
        <v>27.25</v>
      </c>
      <c r="AI413" s="4" t="n">
        <f aca="false">IF(W413="","",IF(W413&lt;=40,(50/40)*W413,IF(W413&lt;=80,50+((100-50)/(80-40))*(W413-40),IF(W413&lt;=180,100+((200-100)/(180-80))*(W413-80),IF(W413&lt;=280,200+((300-200)/(280-180))*(W413-180),IF(W413&lt;=400,300+((400-300)/(400-280))*(W413-280),IF(W413&lt;=800,400+((500-400)/(800-400))*(W413-400),500)))))))</f>
        <v>36.375</v>
      </c>
      <c r="AJ413" s="4" t="n">
        <f aca="false">IF(X413="","",IF(X413&lt;=40,(50/40)*X413,IF(X413&lt;=80,50+((100-50)/(80-40))*(X413-40),IF(X413&lt;=380,100+((200-100)/(380-80))*(X413-80),IF(X413&lt;=800,200+((300-200)/(800-380))*(X413-380),IF(X413&lt;=1600,300+((400-300)/(1600-800))*(X413-800),IF(X413&lt;=2100,400+((500-400)/(2100-1600))*(X413-1600),500)))))))</f>
        <v>22</v>
      </c>
      <c r="AK413" s="4" t="n">
        <f aca="false">IF(Y413="","",IF(Y413&lt;=50,(50/50)*Y413,IF(Y413&lt;=100,50+((100-50)/(100-50))*(Y413-50),IF(Y413&lt;=168,100+((200-100)/(168-100))*(Y413-100),IF(Y413&lt;=208,200+((300-200)/(208-168))*(Y413-168),IF(Y413&lt;=748,300+((400-300)/(748-208))*(Y413-208),IF(Y413&lt;=1000,400+((500-400)/(1000-748))*(Y413-748),500)))))))</f>
        <v>47</v>
      </c>
      <c r="AL413" s="4" t="n">
        <f aca="false">ROUND(MAX(AF413,AG413,AH413,AI413,AJ413,AK413),0)</f>
        <v>131</v>
      </c>
      <c r="AM413" s="4" t="str">
        <f aca="false">IF(AL413="","",IF(AL413&lt;=50,"Good",IF(AL413&lt;=100,"Satisfactory",IF(AL413&lt;=200,"Moderate",IF(AL413&lt;=300,"Poor",IF(AL413&lt;=400,"Very Poor","Severe"))))))</f>
        <v>Moderate</v>
      </c>
    </row>
    <row r="414" customFormat="false" ht="15.75" hidden="false" customHeight="false" outlineLevel="0" collapsed="false">
      <c r="A414" s="1" t="s">
        <v>39</v>
      </c>
      <c r="B414" s="1" t="s">
        <v>40</v>
      </c>
      <c r="C414" s="1" t="n">
        <v>28.4595</v>
      </c>
      <c r="D414" s="1" t="n">
        <v>77.0266</v>
      </c>
      <c r="E414" s="5" t="n">
        <v>45918</v>
      </c>
      <c r="F414" s="6" t="s">
        <v>53</v>
      </c>
      <c r="G414" s="1" t="n">
        <v>9</v>
      </c>
      <c r="H414" s="7" t="s">
        <v>80</v>
      </c>
      <c r="I414" s="6" t="s">
        <v>43</v>
      </c>
      <c r="J414" s="7" t="s">
        <v>44</v>
      </c>
      <c r="K414" s="7" t="s">
        <v>45</v>
      </c>
      <c r="L414" s="1" t="n">
        <v>95</v>
      </c>
      <c r="M414" s="1" t="n">
        <v>24.2</v>
      </c>
      <c r="N414" s="1" t="n">
        <v>18</v>
      </c>
      <c r="O414" s="1" t="n">
        <v>0</v>
      </c>
      <c r="P414" s="6" t="s">
        <v>43</v>
      </c>
      <c r="Q414" s="6" t="s">
        <v>43</v>
      </c>
      <c r="R414" s="1" t="n">
        <v>1005.5</v>
      </c>
      <c r="S414" s="1" t="n">
        <v>2</v>
      </c>
      <c r="T414" s="1" t="n">
        <v>68.7</v>
      </c>
      <c r="U414" s="1" t="n">
        <v>84.8</v>
      </c>
      <c r="V414" s="1" t="n">
        <v>559</v>
      </c>
      <c r="W414" s="1" t="n">
        <v>29.8</v>
      </c>
      <c r="X414" s="1" t="n">
        <v>17</v>
      </c>
      <c r="Y414" s="1" t="n">
        <v>40</v>
      </c>
      <c r="Z414" s="1" t="n">
        <v>30</v>
      </c>
      <c r="AA414" s="1" t="n">
        <v>150</v>
      </c>
      <c r="AB414" s="7" t="s">
        <v>81</v>
      </c>
      <c r="AC414" s="7" t="s">
        <v>82</v>
      </c>
      <c r="AD414" s="7" t="s">
        <v>83</v>
      </c>
      <c r="AE414" s="7" t="s">
        <v>84</v>
      </c>
      <c r="AF414" s="4" t="n">
        <f aca="false">IF(T414="","",IF(T414&lt;=30,(50/30)*T414,IF(T414&lt;=60,50+((100-50)/(60-30))*(T414-30),IF(T414&lt;=90,100+((200-100)/(90-60))*(T414-60),IF(T414&lt;=120,200+((300-200)/(120-90))*(T414-90),IF(T414&lt;=250,300+((400-300)/(250-120))*(T414-120),IF(T414&lt;=380,400+((500-400)/(380-250))*(T414-250),500)))))))</f>
        <v>129</v>
      </c>
      <c r="AG414" s="4" t="n">
        <f aca="false">IF(U414="","",IF(U414&lt;=50,(50/50)*U414,IF(U414&lt;=100,50+((100-50)/(100-50))*(U414-50),IF(U414&lt;=250,100+((200-100)/(250-100))*(U414-100),IF(U414&lt;=350,200+((300-200)/(350-250))*(U414-250),IF(U414&lt;=430,300+((400-300)/(430-350))*(U414-350),IF(U414&lt;=600,400+((500-400)/(600-430))*(U414-430),500)))))))</f>
        <v>84.8</v>
      </c>
      <c r="AH414" s="4" t="n">
        <f aca="false">IF(V414="","",IF((V414/1000)&lt;=1,(50/1)*(V414/1000),IF((V414/1000)&lt;=2,50+((100-50)/(2-1))*(V414/1000-1),IF((V414/1000)&lt;=10,100+((200-100)/(10-2))*(V414/1000-2),IF((V414/1000)&lt;=17,200+((300-200)/(17-10))*(V414/1000-10),IF((V414/1000)&lt;=34,300+((400-300)/(34-17))*(V414/1000-17),IF((V414/1000)&lt;=57,400+((500-400)/(57-34))*(V414/1000-34),500)))))))</f>
        <v>27.95</v>
      </c>
      <c r="AI414" s="4" t="n">
        <f aca="false">IF(W414="","",IF(W414&lt;=40,(50/40)*W414,IF(W414&lt;=80,50+((100-50)/(80-40))*(W414-40),IF(W414&lt;=180,100+((200-100)/(180-80))*(W414-80),IF(W414&lt;=280,200+((300-200)/(280-180))*(W414-180),IF(W414&lt;=400,300+((400-300)/(400-280))*(W414-280),IF(W414&lt;=800,400+((500-400)/(800-400))*(W414-400),500)))))))</f>
        <v>37.25</v>
      </c>
      <c r="AJ414" s="4" t="n">
        <f aca="false">IF(X414="","",IF(X414&lt;=40,(50/40)*X414,IF(X414&lt;=80,50+((100-50)/(80-40))*(X414-40),IF(X414&lt;=380,100+((200-100)/(380-80))*(X414-80),IF(X414&lt;=800,200+((300-200)/(800-380))*(X414-380),IF(X414&lt;=1600,300+((400-300)/(1600-800))*(X414-800),IF(X414&lt;=2100,400+((500-400)/(2100-1600))*(X414-1600),500)))))))</f>
        <v>21.25</v>
      </c>
      <c r="AK414" s="4" t="n">
        <f aca="false">IF(Y414="","",IF(Y414&lt;=50,(50/50)*Y414,IF(Y414&lt;=100,50+((100-50)/(100-50))*(Y414-50),IF(Y414&lt;=168,100+((200-100)/(168-100))*(Y414-100),IF(Y414&lt;=208,200+((300-200)/(208-168))*(Y414-168),IF(Y414&lt;=748,300+((400-300)/(748-208))*(Y414-208),IF(Y414&lt;=1000,400+((500-400)/(1000-748))*(Y414-748),500)))))))</f>
        <v>40</v>
      </c>
      <c r="AL414" s="4" t="n">
        <f aca="false">ROUND(MAX(AF414,AG414,AH414,AI414,AJ414,AK414),0)</f>
        <v>129</v>
      </c>
      <c r="AM414" s="4" t="str">
        <f aca="false">IF(AL414="","",IF(AL414&lt;=50,"Good",IF(AL414&lt;=100,"Satisfactory",IF(AL414&lt;=200,"Moderate",IF(AL414&lt;=300,"Poor",IF(AL414&lt;=400,"Very Poor","Severe"))))))</f>
        <v>Moderate</v>
      </c>
    </row>
    <row r="415" customFormat="false" ht="15.75" hidden="false" customHeight="false" outlineLevel="0" collapsed="false">
      <c r="A415" s="1" t="s">
        <v>39</v>
      </c>
      <c r="B415" s="1" t="s">
        <v>40</v>
      </c>
      <c r="C415" s="1" t="n">
        <v>28.4595</v>
      </c>
      <c r="D415" s="1" t="n">
        <v>77.0266</v>
      </c>
      <c r="E415" s="5" t="n">
        <v>45918</v>
      </c>
      <c r="F415" s="6" t="s">
        <v>54</v>
      </c>
      <c r="G415" s="1" t="n">
        <v>9</v>
      </c>
      <c r="H415" s="7" t="s">
        <v>80</v>
      </c>
      <c r="I415" s="6" t="s">
        <v>43</v>
      </c>
      <c r="J415" s="7" t="s">
        <v>44</v>
      </c>
      <c r="K415" s="7" t="s">
        <v>45</v>
      </c>
      <c r="L415" s="1" t="n">
        <v>96</v>
      </c>
      <c r="M415" s="1" t="n">
        <v>23.9</v>
      </c>
      <c r="N415" s="1" t="n">
        <v>17.3</v>
      </c>
      <c r="O415" s="1" t="n">
        <v>0</v>
      </c>
      <c r="P415" s="6" t="s">
        <v>43</v>
      </c>
      <c r="Q415" s="6" t="s">
        <v>43</v>
      </c>
      <c r="R415" s="1" t="n">
        <v>1006</v>
      </c>
      <c r="S415" s="1" t="n">
        <v>12</v>
      </c>
      <c r="T415" s="1" t="n">
        <v>62.6</v>
      </c>
      <c r="U415" s="1" t="n">
        <v>78.2</v>
      </c>
      <c r="V415" s="1" t="n">
        <v>582</v>
      </c>
      <c r="W415" s="1" t="n">
        <v>24</v>
      </c>
      <c r="X415" s="1" t="n">
        <v>15.9</v>
      </c>
      <c r="Y415" s="1" t="n">
        <v>51</v>
      </c>
      <c r="Z415" s="1" t="n">
        <v>30</v>
      </c>
      <c r="AA415" s="1" t="n">
        <v>151</v>
      </c>
      <c r="AB415" s="7" t="s">
        <v>81</v>
      </c>
      <c r="AC415" s="7" t="s">
        <v>88</v>
      </c>
      <c r="AD415" s="6" t="s">
        <v>43</v>
      </c>
      <c r="AE415" s="6" t="s">
        <v>43</v>
      </c>
      <c r="AF415" s="4" t="n">
        <f aca="false">IF(T415="","",IF(T415&lt;=30,(50/30)*T415,IF(T415&lt;=60,50+((100-50)/(60-30))*(T415-30),IF(T415&lt;=90,100+((200-100)/(90-60))*(T415-60),IF(T415&lt;=120,200+((300-200)/(120-90))*(T415-90),IF(T415&lt;=250,300+((400-300)/(250-120))*(T415-120),IF(T415&lt;=380,400+((500-400)/(380-250))*(T415-250),500)))))))</f>
        <v>108.666666666667</v>
      </c>
      <c r="AG415" s="4" t="n">
        <f aca="false">IF(U415="","",IF(U415&lt;=50,(50/50)*U415,IF(U415&lt;=100,50+((100-50)/(100-50))*(U415-50),IF(U415&lt;=250,100+((200-100)/(250-100))*(U415-100),IF(U415&lt;=350,200+((300-200)/(350-250))*(U415-250),IF(U415&lt;=430,300+((400-300)/(430-350))*(U415-350),IF(U415&lt;=600,400+((500-400)/(600-430))*(U415-430),500)))))))</f>
        <v>78.2</v>
      </c>
      <c r="AH415" s="4" t="n">
        <f aca="false">IF(V415="","",IF((V415/1000)&lt;=1,(50/1)*(V415/1000),IF((V415/1000)&lt;=2,50+((100-50)/(2-1))*(V415/1000-1),IF((V415/1000)&lt;=10,100+((200-100)/(10-2))*(V415/1000-2),IF((V415/1000)&lt;=17,200+((300-200)/(17-10))*(V415/1000-10),IF((V415/1000)&lt;=34,300+((400-300)/(34-17))*(V415/1000-17),IF((V415/1000)&lt;=57,400+((500-400)/(57-34))*(V415/1000-34),500)))))))</f>
        <v>29.1</v>
      </c>
      <c r="AI415" s="4" t="n">
        <f aca="false">IF(W415="","",IF(W415&lt;=40,(50/40)*W415,IF(W415&lt;=80,50+((100-50)/(80-40))*(W415-40),IF(W415&lt;=180,100+((200-100)/(180-80))*(W415-80),IF(W415&lt;=280,200+((300-200)/(280-180))*(W415-180),IF(W415&lt;=400,300+((400-300)/(400-280))*(W415-280),IF(W415&lt;=800,400+((500-400)/(800-400))*(W415-400),500)))))))</f>
        <v>30</v>
      </c>
      <c r="AJ415" s="4" t="n">
        <f aca="false">IF(X415="","",IF(X415&lt;=40,(50/40)*X415,IF(X415&lt;=80,50+((100-50)/(80-40))*(X415-40),IF(X415&lt;=380,100+((200-100)/(380-80))*(X415-80),IF(X415&lt;=800,200+((300-200)/(800-380))*(X415-380),IF(X415&lt;=1600,300+((400-300)/(1600-800))*(X415-800),IF(X415&lt;=2100,400+((500-400)/(2100-1600))*(X415-1600),500)))))))</f>
        <v>19.875</v>
      </c>
      <c r="AK415" s="4" t="n">
        <f aca="false">IF(Y415="","",IF(Y415&lt;=50,(50/50)*Y415,IF(Y415&lt;=100,50+((100-50)/(100-50))*(Y415-50),IF(Y415&lt;=168,100+((200-100)/(168-100))*(Y415-100),IF(Y415&lt;=208,200+((300-200)/(208-168))*(Y415-168),IF(Y415&lt;=748,300+((400-300)/(748-208))*(Y415-208),IF(Y415&lt;=1000,400+((500-400)/(1000-748))*(Y415-748),500)))))))</f>
        <v>51</v>
      </c>
      <c r="AL415" s="4" t="n">
        <f aca="false">ROUND(MAX(AF415,AG415,AH415,AI415,AJ415,AK415),0)</f>
        <v>109</v>
      </c>
      <c r="AM415" s="4" t="str">
        <f aca="false">IF(AL415="","",IF(AL415&lt;=50,"Good",IF(AL415&lt;=100,"Satisfactory",IF(AL415&lt;=200,"Moderate",IF(AL415&lt;=300,"Poor",IF(AL415&lt;=400,"Very Poor","Severe"))))))</f>
        <v>Moderate</v>
      </c>
    </row>
    <row r="416" customFormat="false" ht="15.75" hidden="false" customHeight="false" outlineLevel="0" collapsed="false">
      <c r="A416" s="1" t="s">
        <v>39</v>
      </c>
      <c r="B416" s="1" t="s">
        <v>40</v>
      </c>
      <c r="C416" s="1" t="n">
        <v>28.4595</v>
      </c>
      <c r="D416" s="1" t="n">
        <v>77.0266</v>
      </c>
      <c r="E416" s="5" t="n">
        <v>45918</v>
      </c>
      <c r="F416" s="6" t="s">
        <v>55</v>
      </c>
      <c r="G416" s="1" t="n">
        <v>9</v>
      </c>
      <c r="H416" s="7" t="s">
        <v>80</v>
      </c>
      <c r="I416" s="6" t="s">
        <v>43</v>
      </c>
      <c r="J416" s="7" t="s">
        <v>44</v>
      </c>
      <c r="K416" s="7" t="s">
        <v>56</v>
      </c>
      <c r="L416" s="1" t="n">
        <v>96</v>
      </c>
      <c r="M416" s="1" t="n">
        <v>25.4</v>
      </c>
      <c r="N416" s="1" t="n">
        <v>11.9</v>
      </c>
      <c r="O416" s="1" t="n">
        <v>0</v>
      </c>
      <c r="P416" s="6" t="s">
        <v>43</v>
      </c>
      <c r="Q416" s="6" t="s">
        <v>43</v>
      </c>
      <c r="R416" s="1" t="n">
        <v>1006.1</v>
      </c>
      <c r="S416" s="1" t="n">
        <v>13</v>
      </c>
      <c r="T416" s="1" t="n">
        <v>61</v>
      </c>
      <c r="U416" s="1" t="n">
        <v>79.9</v>
      </c>
      <c r="V416" s="1" t="n">
        <v>626</v>
      </c>
      <c r="W416" s="1" t="n">
        <v>24.6</v>
      </c>
      <c r="X416" s="1" t="n">
        <v>17.8</v>
      </c>
      <c r="Y416" s="1" t="n">
        <v>58</v>
      </c>
      <c r="Z416" s="1" t="n">
        <v>31</v>
      </c>
      <c r="AA416" s="1" t="n">
        <v>151</v>
      </c>
      <c r="AB416" s="7" t="s">
        <v>81</v>
      </c>
      <c r="AC416" s="7" t="s">
        <v>88</v>
      </c>
      <c r="AD416" s="6" t="s">
        <v>43</v>
      </c>
      <c r="AE416" s="6" t="s">
        <v>43</v>
      </c>
      <c r="AF416" s="4" t="n">
        <f aca="false">IF(T416="","",IF(T416&lt;=30,(50/30)*T416,IF(T416&lt;=60,50+((100-50)/(60-30))*(T416-30),IF(T416&lt;=90,100+((200-100)/(90-60))*(T416-60),IF(T416&lt;=120,200+((300-200)/(120-90))*(T416-90),IF(T416&lt;=250,300+((400-300)/(250-120))*(T416-120),IF(T416&lt;=380,400+((500-400)/(380-250))*(T416-250),500)))))))</f>
        <v>103.333333333333</v>
      </c>
      <c r="AG416" s="4" t="n">
        <f aca="false">IF(U416="","",IF(U416&lt;=50,(50/50)*U416,IF(U416&lt;=100,50+((100-50)/(100-50))*(U416-50),IF(U416&lt;=250,100+((200-100)/(250-100))*(U416-100),IF(U416&lt;=350,200+((300-200)/(350-250))*(U416-250),IF(U416&lt;=430,300+((400-300)/(430-350))*(U416-350),IF(U416&lt;=600,400+((500-400)/(600-430))*(U416-430),500)))))))</f>
        <v>79.9</v>
      </c>
      <c r="AH416" s="4" t="n">
        <f aca="false">IF(V416="","",IF((V416/1000)&lt;=1,(50/1)*(V416/1000),IF((V416/1000)&lt;=2,50+((100-50)/(2-1))*(V416/1000-1),IF((V416/1000)&lt;=10,100+((200-100)/(10-2))*(V416/1000-2),IF((V416/1000)&lt;=17,200+((300-200)/(17-10))*(V416/1000-10),IF((V416/1000)&lt;=34,300+((400-300)/(34-17))*(V416/1000-17),IF((V416/1000)&lt;=57,400+((500-400)/(57-34))*(V416/1000-34),500)))))))</f>
        <v>31.3</v>
      </c>
      <c r="AI416" s="4" t="n">
        <f aca="false">IF(W416="","",IF(W416&lt;=40,(50/40)*W416,IF(W416&lt;=80,50+((100-50)/(80-40))*(W416-40),IF(W416&lt;=180,100+((200-100)/(180-80))*(W416-80),IF(W416&lt;=280,200+((300-200)/(280-180))*(W416-180),IF(W416&lt;=400,300+((400-300)/(400-280))*(W416-280),IF(W416&lt;=800,400+((500-400)/(800-400))*(W416-400),500)))))))</f>
        <v>30.75</v>
      </c>
      <c r="AJ416" s="4" t="n">
        <f aca="false">IF(X416="","",IF(X416&lt;=40,(50/40)*X416,IF(X416&lt;=80,50+((100-50)/(80-40))*(X416-40),IF(X416&lt;=380,100+((200-100)/(380-80))*(X416-80),IF(X416&lt;=800,200+((300-200)/(800-380))*(X416-380),IF(X416&lt;=1600,300+((400-300)/(1600-800))*(X416-800),IF(X416&lt;=2100,400+((500-400)/(2100-1600))*(X416-1600),500)))))))</f>
        <v>22.25</v>
      </c>
      <c r="AK416" s="4" t="n">
        <f aca="false">IF(Y416="","",IF(Y416&lt;=50,(50/50)*Y416,IF(Y416&lt;=100,50+((100-50)/(100-50))*(Y416-50),IF(Y416&lt;=168,100+((200-100)/(168-100))*(Y416-100),IF(Y416&lt;=208,200+((300-200)/(208-168))*(Y416-168),IF(Y416&lt;=748,300+((400-300)/(748-208))*(Y416-208),IF(Y416&lt;=1000,400+((500-400)/(1000-748))*(Y416-748),500)))))))</f>
        <v>58</v>
      </c>
      <c r="AL416" s="4" t="n">
        <f aca="false">ROUND(MAX(AF416,AG416,AH416,AI416,AJ416,AK416),0)</f>
        <v>103</v>
      </c>
      <c r="AM416" s="4" t="str">
        <f aca="false">IF(AL416="","",IF(AL416&lt;=50,"Good",IF(AL416&lt;=100,"Satisfactory",IF(AL416&lt;=200,"Moderate",IF(AL416&lt;=300,"Poor",IF(AL416&lt;=400,"Very Poor","Severe"))))))</f>
        <v>Moderate</v>
      </c>
    </row>
    <row r="417" customFormat="false" ht="15.75" hidden="false" customHeight="false" outlineLevel="0" collapsed="false">
      <c r="A417" s="1" t="s">
        <v>39</v>
      </c>
      <c r="B417" s="1" t="s">
        <v>40</v>
      </c>
      <c r="C417" s="1" t="n">
        <v>28.4595</v>
      </c>
      <c r="D417" s="1" t="n">
        <v>77.0266</v>
      </c>
      <c r="E417" s="5" t="n">
        <v>45918</v>
      </c>
      <c r="F417" s="6" t="s">
        <v>57</v>
      </c>
      <c r="G417" s="1" t="n">
        <v>9</v>
      </c>
      <c r="H417" s="7" t="s">
        <v>80</v>
      </c>
      <c r="I417" s="6" t="s">
        <v>43</v>
      </c>
      <c r="J417" s="7" t="s">
        <v>44</v>
      </c>
      <c r="K417" s="7" t="s">
        <v>56</v>
      </c>
      <c r="L417" s="1" t="n">
        <v>89</v>
      </c>
      <c r="M417" s="1" t="n">
        <v>25.1</v>
      </c>
      <c r="N417" s="1" t="n">
        <v>15.8</v>
      </c>
      <c r="O417" s="1" t="n">
        <v>0</v>
      </c>
      <c r="P417" s="6" t="s">
        <v>43</v>
      </c>
      <c r="Q417" s="6" t="s">
        <v>43</v>
      </c>
      <c r="R417" s="1" t="n">
        <v>1006.9</v>
      </c>
      <c r="S417" s="1" t="n">
        <v>9</v>
      </c>
      <c r="T417" s="1" t="n">
        <v>58</v>
      </c>
      <c r="U417" s="1" t="n">
        <v>77.8</v>
      </c>
      <c r="V417" s="1" t="n">
        <v>679</v>
      </c>
      <c r="W417" s="1" t="n">
        <v>25.2</v>
      </c>
      <c r="X417" s="1" t="n">
        <v>20.7</v>
      </c>
      <c r="Y417" s="1" t="n">
        <v>70</v>
      </c>
      <c r="Z417" s="1" t="n">
        <v>34</v>
      </c>
      <c r="AA417" s="1" t="n">
        <v>152</v>
      </c>
      <c r="AB417" s="7" t="s">
        <v>81</v>
      </c>
      <c r="AC417" s="7" t="s">
        <v>48</v>
      </c>
      <c r="AD417" s="6" t="s">
        <v>43</v>
      </c>
      <c r="AE417" s="6" t="s">
        <v>43</v>
      </c>
      <c r="AF417" s="4" t="n">
        <f aca="false">IF(T417="","",IF(T417&lt;=30,(50/30)*T417,IF(T417&lt;=60,50+((100-50)/(60-30))*(T417-30),IF(T417&lt;=90,100+((200-100)/(90-60))*(T417-60),IF(T417&lt;=120,200+((300-200)/(120-90))*(T417-90),IF(T417&lt;=250,300+((400-300)/(250-120))*(T417-120),IF(T417&lt;=380,400+((500-400)/(380-250))*(T417-250),500)))))))</f>
        <v>96.6666666666667</v>
      </c>
      <c r="AG417" s="4" t="n">
        <f aca="false">IF(U417="","",IF(U417&lt;=50,(50/50)*U417,IF(U417&lt;=100,50+((100-50)/(100-50))*(U417-50),IF(U417&lt;=250,100+((200-100)/(250-100))*(U417-100),IF(U417&lt;=350,200+((300-200)/(350-250))*(U417-250),IF(U417&lt;=430,300+((400-300)/(430-350))*(U417-350),IF(U417&lt;=600,400+((500-400)/(600-430))*(U417-430),500)))))))</f>
        <v>77.8</v>
      </c>
      <c r="AH417" s="4" t="n">
        <f aca="false">IF(V417="","",IF((V417/1000)&lt;=1,(50/1)*(V417/1000),IF((V417/1000)&lt;=2,50+((100-50)/(2-1))*(V417/1000-1),IF((V417/1000)&lt;=10,100+((200-100)/(10-2))*(V417/1000-2),IF((V417/1000)&lt;=17,200+((300-200)/(17-10))*(V417/1000-10),IF((V417/1000)&lt;=34,300+((400-300)/(34-17))*(V417/1000-17),IF((V417/1000)&lt;=57,400+((500-400)/(57-34))*(V417/1000-34),500)))))))</f>
        <v>33.95</v>
      </c>
      <c r="AI417" s="4" t="n">
        <f aca="false">IF(W417="","",IF(W417&lt;=40,(50/40)*W417,IF(W417&lt;=80,50+((100-50)/(80-40))*(W417-40),IF(W417&lt;=180,100+((200-100)/(180-80))*(W417-80),IF(W417&lt;=280,200+((300-200)/(280-180))*(W417-180),IF(W417&lt;=400,300+((400-300)/(400-280))*(W417-280),IF(W417&lt;=800,400+((500-400)/(800-400))*(W417-400),500)))))))</f>
        <v>31.5</v>
      </c>
      <c r="AJ417" s="4" t="n">
        <f aca="false">IF(X417="","",IF(X417&lt;=40,(50/40)*X417,IF(X417&lt;=80,50+((100-50)/(80-40))*(X417-40),IF(X417&lt;=380,100+((200-100)/(380-80))*(X417-80),IF(X417&lt;=800,200+((300-200)/(800-380))*(X417-380),IF(X417&lt;=1600,300+((400-300)/(1600-800))*(X417-800),IF(X417&lt;=2100,400+((500-400)/(2100-1600))*(X417-1600),500)))))))</f>
        <v>25.875</v>
      </c>
      <c r="AK417" s="4" t="n">
        <f aca="false">IF(Y417="","",IF(Y417&lt;=50,(50/50)*Y417,IF(Y417&lt;=100,50+((100-50)/(100-50))*(Y417-50),IF(Y417&lt;=168,100+((200-100)/(168-100))*(Y417-100),IF(Y417&lt;=208,200+((300-200)/(208-168))*(Y417-168),IF(Y417&lt;=748,300+((400-300)/(748-208))*(Y417-208),IF(Y417&lt;=1000,400+((500-400)/(1000-748))*(Y417-748),500)))))))</f>
        <v>70</v>
      </c>
      <c r="AL417" s="4" t="n">
        <f aca="false">ROUND(MAX(AF417,AG417,AH417,AI417,AJ417,AK417),0)</f>
        <v>97</v>
      </c>
      <c r="AM417" s="4" t="str">
        <f aca="false">IF(AL417="","",IF(AL417&lt;=50,"Good",IF(AL417&lt;=100,"Satisfactory",IF(AL417&lt;=200,"Moderate",IF(AL417&lt;=300,"Poor",IF(AL417&lt;=400,"Very Poor","Severe"))))))</f>
        <v>Satisfactory</v>
      </c>
    </row>
    <row r="418" customFormat="false" ht="15.75" hidden="false" customHeight="false" outlineLevel="0" collapsed="false">
      <c r="A418" s="1" t="s">
        <v>39</v>
      </c>
      <c r="B418" s="1" t="s">
        <v>40</v>
      </c>
      <c r="C418" s="1" t="n">
        <v>28.4595</v>
      </c>
      <c r="D418" s="1" t="n">
        <v>77.0266</v>
      </c>
      <c r="E418" s="5" t="n">
        <v>45918</v>
      </c>
      <c r="F418" s="6" t="s">
        <v>58</v>
      </c>
      <c r="G418" s="1" t="n">
        <v>9</v>
      </c>
      <c r="H418" s="7" t="s">
        <v>80</v>
      </c>
      <c r="I418" s="6" t="s">
        <v>43</v>
      </c>
      <c r="J418" s="7" t="s">
        <v>44</v>
      </c>
      <c r="K418" s="7" t="s">
        <v>56</v>
      </c>
      <c r="L418" s="1" t="n">
        <v>82</v>
      </c>
      <c r="M418" s="1" t="n">
        <v>25</v>
      </c>
      <c r="N418" s="1" t="n">
        <v>18.7</v>
      </c>
      <c r="O418" s="1" t="n">
        <v>0</v>
      </c>
      <c r="P418" s="6" t="s">
        <v>43</v>
      </c>
      <c r="Q418" s="6" t="s">
        <v>43</v>
      </c>
      <c r="R418" s="1" t="n">
        <v>1007.1</v>
      </c>
      <c r="S418" s="1" t="n">
        <v>4</v>
      </c>
      <c r="T418" s="1" t="n">
        <v>58.7</v>
      </c>
      <c r="U418" s="1" t="n">
        <v>79.9</v>
      </c>
      <c r="V418" s="1" t="n">
        <v>683</v>
      </c>
      <c r="W418" s="1" t="n">
        <v>24.3</v>
      </c>
      <c r="X418" s="1" t="n">
        <v>23.9</v>
      </c>
      <c r="Y418" s="1" t="n">
        <v>90</v>
      </c>
      <c r="Z418" s="1" t="n">
        <v>41</v>
      </c>
      <c r="AA418" s="1" t="n">
        <v>152</v>
      </c>
      <c r="AB418" s="7" t="s">
        <v>81</v>
      </c>
      <c r="AC418" s="7" t="s">
        <v>48</v>
      </c>
      <c r="AD418" s="6" t="s">
        <v>43</v>
      </c>
      <c r="AE418" s="6" t="s">
        <v>43</v>
      </c>
      <c r="AF418" s="4" t="n">
        <f aca="false">IF(T418="","",IF(T418&lt;=30,(50/30)*T418,IF(T418&lt;=60,50+((100-50)/(60-30))*(T418-30),IF(T418&lt;=90,100+((200-100)/(90-60))*(T418-60),IF(T418&lt;=120,200+((300-200)/(120-90))*(T418-90),IF(T418&lt;=250,300+((400-300)/(250-120))*(T418-120),IF(T418&lt;=380,400+((500-400)/(380-250))*(T418-250),500)))))))</f>
        <v>97.8333333333333</v>
      </c>
      <c r="AG418" s="4" t="n">
        <f aca="false">IF(U418="","",IF(U418&lt;=50,(50/50)*U418,IF(U418&lt;=100,50+((100-50)/(100-50))*(U418-50),IF(U418&lt;=250,100+((200-100)/(250-100))*(U418-100),IF(U418&lt;=350,200+((300-200)/(350-250))*(U418-250),IF(U418&lt;=430,300+((400-300)/(430-350))*(U418-350),IF(U418&lt;=600,400+((500-400)/(600-430))*(U418-430),500)))))))</f>
        <v>79.9</v>
      </c>
      <c r="AH418" s="4" t="n">
        <f aca="false">IF(V418="","",IF((V418/1000)&lt;=1,(50/1)*(V418/1000),IF((V418/1000)&lt;=2,50+((100-50)/(2-1))*(V418/1000-1),IF((V418/1000)&lt;=10,100+((200-100)/(10-2))*(V418/1000-2),IF((V418/1000)&lt;=17,200+((300-200)/(17-10))*(V418/1000-10),IF((V418/1000)&lt;=34,300+((400-300)/(34-17))*(V418/1000-17),IF((V418/1000)&lt;=57,400+((500-400)/(57-34))*(V418/1000-34),500)))))))</f>
        <v>34.15</v>
      </c>
      <c r="AI418" s="4" t="n">
        <f aca="false">IF(W418="","",IF(W418&lt;=40,(50/40)*W418,IF(W418&lt;=80,50+((100-50)/(80-40))*(W418-40),IF(W418&lt;=180,100+((200-100)/(180-80))*(W418-80),IF(W418&lt;=280,200+((300-200)/(280-180))*(W418-180),IF(W418&lt;=400,300+((400-300)/(400-280))*(W418-280),IF(W418&lt;=800,400+((500-400)/(800-400))*(W418-400),500)))))))</f>
        <v>30.375</v>
      </c>
      <c r="AJ418" s="4" t="n">
        <f aca="false">IF(X418="","",IF(X418&lt;=40,(50/40)*X418,IF(X418&lt;=80,50+((100-50)/(80-40))*(X418-40),IF(X418&lt;=380,100+((200-100)/(380-80))*(X418-80),IF(X418&lt;=800,200+((300-200)/(800-380))*(X418-380),IF(X418&lt;=1600,300+((400-300)/(1600-800))*(X418-800),IF(X418&lt;=2100,400+((500-400)/(2100-1600))*(X418-1600),500)))))))</f>
        <v>29.875</v>
      </c>
      <c r="AK418" s="4" t="n">
        <f aca="false">IF(Y418="","",IF(Y418&lt;=50,(50/50)*Y418,IF(Y418&lt;=100,50+((100-50)/(100-50))*(Y418-50),IF(Y418&lt;=168,100+((200-100)/(168-100))*(Y418-100),IF(Y418&lt;=208,200+((300-200)/(208-168))*(Y418-168),IF(Y418&lt;=748,300+((400-300)/(748-208))*(Y418-208),IF(Y418&lt;=1000,400+((500-400)/(1000-748))*(Y418-748),500)))))))</f>
        <v>90</v>
      </c>
      <c r="AL418" s="4" t="n">
        <f aca="false">ROUND(MAX(AF418,AG418,AH418,AI418,AJ418,AK418),0)</f>
        <v>98</v>
      </c>
      <c r="AM418" s="4" t="str">
        <f aca="false">IF(AL418="","",IF(AL418&lt;=50,"Good",IF(AL418&lt;=100,"Satisfactory",IF(AL418&lt;=200,"Moderate",IF(AL418&lt;=300,"Poor",IF(AL418&lt;=400,"Very Poor","Severe"))))))</f>
        <v>Satisfactory</v>
      </c>
    </row>
    <row r="419" customFormat="false" ht="15.75" hidden="false" customHeight="false" outlineLevel="0" collapsed="false">
      <c r="A419" s="1" t="s">
        <v>39</v>
      </c>
      <c r="B419" s="1" t="s">
        <v>40</v>
      </c>
      <c r="C419" s="1" t="n">
        <v>28.4595</v>
      </c>
      <c r="D419" s="1" t="n">
        <v>77.0266</v>
      </c>
      <c r="E419" s="5" t="n">
        <v>45918</v>
      </c>
      <c r="F419" s="6" t="s">
        <v>59</v>
      </c>
      <c r="G419" s="1" t="n">
        <v>9</v>
      </c>
      <c r="H419" s="7" t="s">
        <v>80</v>
      </c>
      <c r="I419" s="6" t="s">
        <v>43</v>
      </c>
      <c r="J419" s="7" t="s">
        <v>44</v>
      </c>
      <c r="K419" s="7" t="s">
        <v>60</v>
      </c>
      <c r="L419" s="1" t="n">
        <v>71</v>
      </c>
      <c r="M419" s="1" t="n">
        <v>24.5</v>
      </c>
      <c r="N419" s="1" t="n">
        <v>19.8</v>
      </c>
      <c r="O419" s="1" t="n">
        <v>0</v>
      </c>
      <c r="P419" s="6" t="s">
        <v>43</v>
      </c>
      <c r="Q419" s="6" t="s">
        <v>43</v>
      </c>
      <c r="R419" s="1" t="n">
        <v>1007.3</v>
      </c>
      <c r="S419" s="1" t="n">
        <v>2</v>
      </c>
      <c r="T419" s="1" t="n">
        <v>58.3</v>
      </c>
      <c r="U419" s="1" t="n">
        <v>83.8</v>
      </c>
      <c r="V419" s="1" t="n">
        <v>589</v>
      </c>
      <c r="W419" s="1" t="n">
        <v>20.8</v>
      </c>
      <c r="X419" s="1" t="n">
        <v>28.5</v>
      </c>
      <c r="Y419" s="1" t="n">
        <v>126</v>
      </c>
      <c r="Z419" s="1" t="n">
        <v>57</v>
      </c>
      <c r="AA419" s="1" t="n">
        <v>152</v>
      </c>
      <c r="AB419" s="7" t="s">
        <v>81</v>
      </c>
      <c r="AC419" s="7" t="s">
        <v>48</v>
      </c>
      <c r="AD419" s="6" t="s">
        <v>43</v>
      </c>
      <c r="AE419" s="6" t="s">
        <v>43</v>
      </c>
      <c r="AF419" s="4" t="n">
        <f aca="false">IF(T419="","",IF(T419&lt;=30,(50/30)*T419,IF(T419&lt;=60,50+((100-50)/(60-30))*(T419-30),IF(T419&lt;=90,100+((200-100)/(90-60))*(T419-60),IF(T419&lt;=120,200+((300-200)/(120-90))*(T419-90),IF(T419&lt;=250,300+((400-300)/(250-120))*(T419-120),IF(T419&lt;=380,400+((500-400)/(380-250))*(T419-250),500)))))))</f>
        <v>97.1666666666667</v>
      </c>
      <c r="AG419" s="4" t="n">
        <f aca="false">IF(U419="","",IF(U419&lt;=50,(50/50)*U419,IF(U419&lt;=100,50+((100-50)/(100-50))*(U419-50),IF(U419&lt;=250,100+((200-100)/(250-100))*(U419-100),IF(U419&lt;=350,200+((300-200)/(350-250))*(U419-250),IF(U419&lt;=430,300+((400-300)/(430-350))*(U419-350),IF(U419&lt;=600,400+((500-400)/(600-430))*(U419-430),500)))))))</f>
        <v>83.8</v>
      </c>
      <c r="AH419" s="4" t="n">
        <f aca="false">IF(V419="","",IF((V419/1000)&lt;=1,(50/1)*(V419/1000),IF((V419/1000)&lt;=2,50+((100-50)/(2-1))*(V419/1000-1),IF((V419/1000)&lt;=10,100+((200-100)/(10-2))*(V419/1000-2),IF((V419/1000)&lt;=17,200+((300-200)/(17-10))*(V419/1000-10),IF((V419/1000)&lt;=34,300+((400-300)/(34-17))*(V419/1000-17),IF((V419/1000)&lt;=57,400+((500-400)/(57-34))*(V419/1000-34),500)))))))</f>
        <v>29.45</v>
      </c>
      <c r="AI419" s="4" t="n">
        <f aca="false">IF(W419="","",IF(W419&lt;=40,(50/40)*W419,IF(W419&lt;=80,50+((100-50)/(80-40))*(W419-40),IF(W419&lt;=180,100+((200-100)/(180-80))*(W419-80),IF(W419&lt;=280,200+((300-200)/(280-180))*(W419-180),IF(W419&lt;=400,300+((400-300)/(400-280))*(W419-280),IF(W419&lt;=800,400+((500-400)/(800-400))*(W419-400),500)))))))</f>
        <v>26</v>
      </c>
      <c r="AJ419" s="4" t="n">
        <f aca="false">IF(X419="","",IF(X419&lt;=40,(50/40)*X419,IF(X419&lt;=80,50+((100-50)/(80-40))*(X419-40),IF(X419&lt;=380,100+((200-100)/(380-80))*(X419-80),IF(X419&lt;=800,200+((300-200)/(800-380))*(X419-380),IF(X419&lt;=1600,300+((400-300)/(1600-800))*(X419-800),IF(X419&lt;=2100,400+((500-400)/(2100-1600))*(X419-1600),500)))))))</f>
        <v>35.625</v>
      </c>
      <c r="AK419" s="4" t="n">
        <f aca="false">IF(Y419="","",IF(Y419&lt;=50,(50/50)*Y419,IF(Y419&lt;=100,50+((100-50)/(100-50))*(Y419-50),IF(Y419&lt;=168,100+((200-100)/(168-100))*(Y419-100),IF(Y419&lt;=208,200+((300-200)/(208-168))*(Y419-168),IF(Y419&lt;=748,300+((400-300)/(748-208))*(Y419-208),IF(Y419&lt;=1000,400+((500-400)/(1000-748))*(Y419-748),500)))))))</f>
        <v>138.235294117647</v>
      </c>
      <c r="AL419" s="4" t="n">
        <f aca="false">ROUND(MAX(AF419,AG419,AH419,AI419,AJ419,AK419),0)</f>
        <v>138</v>
      </c>
      <c r="AM419" s="4" t="str">
        <f aca="false">IF(AL419="","",IF(AL419&lt;=50,"Good",IF(AL419&lt;=100,"Satisfactory",IF(AL419&lt;=200,"Moderate",IF(AL419&lt;=300,"Poor",IF(AL419&lt;=400,"Very Poor","Severe"))))))</f>
        <v>Moderate</v>
      </c>
    </row>
    <row r="420" customFormat="false" ht="15.75" hidden="false" customHeight="false" outlineLevel="0" collapsed="false">
      <c r="A420" s="1" t="s">
        <v>39</v>
      </c>
      <c r="B420" s="1" t="s">
        <v>40</v>
      </c>
      <c r="C420" s="1" t="n">
        <v>28.4595</v>
      </c>
      <c r="D420" s="1" t="n">
        <v>77.0266</v>
      </c>
      <c r="E420" s="5" t="n">
        <v>45918</v>
      </c>
      <c r="F420" s="6" t="s">
        <v>61</v>
      </c>
      <c r="G420" s="1" t="n">
        <v>9</v>
      </c>
      <c r="H420" s="7" t="s">
        <v>80</v>
      </c>
      <c r="I420" s="6" t="s">
        <v>43</v>
      </c>
      <c r="J420" s="7" t="s">
        <v>44</v>
      </c>
      <c r="K420" s="7" t="s">
        <v>60</v>
      </c>
      <c r="L420" s="1" t="n">
        <v>61</v>
      </c>
      <c r="M420" s="1" t="n">
        <v>23.6</v>
      </c>
      <c r="N420" s="1" t="n">
        <v>18</v>
      </c>
      <c r="O420" s="1" t="n">
        <v>0</v>
      </c>
      <c r="P420" s="6" t="s">
        <v>43</v>
      </c>
      <c r="Q420" s="6" t="s">
        <v>43</v>
      </c>
      <c r="R420" s="1" t="n">
        <v>1007</v>
      </c>
      <c r="S420" s="1" t="n">
        <v>15</v>
      </c>
      <c r="T420" s="1" t="n">
        <v>60.8</v>
      </c>
      <c r="U420" s="1" t="n">
        <v>93.1</v>
      </c>
      <c r="V420" s="1" t="n">
        <v>447</v>
      </c>
      <c r="W420" s="1" t="n">
        <v>15.8</v>
      </c>
      <c r="X420" s="1" t="n">
        <v>33.5</v>
      </c>
      <c r="Y420" s="1" t="n">
        <v>171</v>
      </c>
      <c r="Z420" s="1" t="n">
        <v>78</v>
      </c>
      <c r="AA420" s="1" t="n">
        <v>152</v>
      </c>
      <c r="AB420" s="7" t="s">
        <v>81</v>
      </c>
      <c r="AC420" s="7" t="s">
        <v>88</v>
      </c>
      <c r="AD420" s="6" t="s">
        <v>43</v>
      </c>
      <c r="AE420" s="6" t="s">
        <v>43</v>
      </c>
      <c r="AF420" s="4" t="n">
        <f aca="false">IF(T420="","",IF(T420&lt;=30,(50/30)*T420,IF(T420&lt;=60,50+((100-50)/(60-30))*(T420-30),IF(T420&lt;=90,100+((200-100)/(90-60))*(T420-60),IF(T420&lt;=120,200+((300-200)/(120-90))*(T420-90),IF(T420&lt;=250,300+((400-300)/(250-120))*(T420-120),IF(T420&lt;=380,400+((500-400)/(380-250))*(T420-250),500)))))))</f>
        <v>102.666666666667</v>
      </c>
      <c r="AG420" s="4" t="n">
        <f aca="false">IF(U420="","",IF(U420&lt;=50,(50/50)*U420,IF(U420&lt;=100,50+((100-50)/(100-50))*(U420-50),IF(U420&lt;=250,100+((200-100)/(250-100))*(U420-100),IF(U420&lt;=350,200+((300-200)/(350-250))*(U420-250),IF(U420&lt;=430,300+((400-300)/(430-350))*(U420-350),IF(U420&lt;=600,400+((500-400)/(600-430))*(U420-430),500)))))))</f>
        <v>93.1</v>
      </c>
      <c r="AH420" s="4" t="n">
        <f aca="false">IF(V420="","",IF((V420/1000)&lt;=1,(50/1)*(V420/1000),IF((V420/1000)&lt;=2,50+((100-50)/(2-1))*(V420/1000-1),IF((V420/1000)&lt;=10,100+((200-100)/(10-2))*(V420/1000-2),IF((V420/1000)&lt;=17,200+((300-200)/(17-10))*(V420/1000-10),IF((V420/1000)&lt;=34,300+((400-300)/(34-17))*(V420/1000-17),IF((V420/1000)&lt;=57,400+((500-400)/(57-34))*(V420/1000-34),500)))))))</f>
        <v>22.35</v>
      </c>
      <c r="AI420" s="4" t="n">
        <f aca="false">IF(W420="","",IF(W420&lt;=40,(50/40)*W420,IF(W420&lt;=80,50+((100-50)/(80-40))*(W420-40),IF(W420&lt;=180,100+((200-100)/(180-80))*(W420-80),IF(W420&lt;=280,200+((300-200)/(280-180))*(W420-180),IF(W420&lt;=400,300+((400-300)/(400-280))*(W420-280),IF(W420&lt;=800,400+((500-400)/(800-400))*(W420-400),500)))))))</f>
        <v>19.75</v>
      </c>
      <c r="AJ420" s="4" t="n">
        <f aca="false">IF(X420="","",IF(X420&lt;=40,(50/40)*X420,IF(X420&lt;=80,50+((100-50)/(80-40))*(X420-40),IF(X420&lt;=380,100+((200-100)/(380-80))*(X420-80),IF(X420&lt;=800,200+((300-200)/(800-380))*(X420-380),IF(X420&lt;=1600,300+((400-300)/(1600-800))*(X420-800),IF(X420&lt;=2100,400+((500-400)/(2100-1600))*(X420-1600),500)))))))</f>
        <v>41.875</v>
      </c>
      <c r="AK420" s="4" t="n">
        <f aca="false">IF(Y420="","",IF(Y420&lt;=50,(50/50)*Y420,IF(Y420&lt;=100,50+((100-50)/(100-50))*(Y420-50),IF(Y420&lt;=168,100+((200-100)/(168-100))*(Y420-100),IF(Y420&lt;=208,200+((300-200)/(208-168))*(Y420-168),IF(Y420&lt;=748,300+((400-300)/(748-208))*(Y420-208),IF(Y420&lt;=1000,400+((500-400)/(1000-748))*(Y420-748),500)))))))</f>
        <v>207.5</v>
      </c>
      <c r="AL420" s="4" t="n">
        <f aca="false">ROUND(MAX(AF420,AG420,AH420,AI420,AJ420,AK420),0)</f>
        <v>208</v>
      </c>
      <c r="AM420" s="4" t="str">
        <f aca="false">IF(AL420="","",IF(AL420&lt;=50,"Good",IF(AL420&lt;=100,"Satisfactory",IF(AL420&lt;=200,"Moderate",IF(AL420&lt;=300,"Poor",IF(AL420&lt;=400,"Very Poor","Severe"))))))</f>
        <v>Poor</v>
      </c>
    </row>
    <row r="421" customFormat="false" ht="15.75" hidden="false" customHeight="false" outlineLevel="0" collapsed="false">
      <c r="A421" s="1" t="s">
        <v>39</v>
      </c>
      <c r="B421" s="1" t="s">
        <v>40</v>
      </c>
      <c r="C421" s="1" t="n">
        <v>28.4595</v>
      </c>
      <c r="D421" s="1" t="n">
        <v>77.0266</v>
      </c>
      <c r="E421" s="5" t="n">
        <v>45918</v>
      </c>
      <c r="F421" s="6" t="s">
        <v>62</v>
      </c>
      <c r="G421" s="1" t="n">
        <v>9</v>
      </c>
      <c r="H421" s="7" t="s">
        <v>80</v>
      </c>
      <c r="I421" s="6" t="s">
        <v>43</v>
      </c>
      <c r="J421" s="7" t="s">
        <v>44</v>
      </c>
      <c r="K421" s="7" t="s">
        <v>60</v>
      </c>
      <c r="L421" s="1" t="n">
        <v>56</v>
      </c>
      <c r="M421" s="1" t="n">
        <v>22.9</v>
      </c>
      <c r="N421" s="1" t="n">
        <v>22</v>
      </c>
      <c r="O421" s="1" t="n">
        <v>0.1</v>
      </c>
      <c r="P421" s="6" t="s">
        <v>46</v>
      </c>
      <c r="Q421" s="6" t="s">
        <v>43</v>
      </c>
      <c r="R421" s="1" t="n">
        <v>1006.7</v>
      </c>
      <c r="S421" s="1" t="n">
        <v>25</v>
      </c>
      <c r="T421" s="1" t="n">
        <v>60.8</v>
      </c>
      <c r="U421" s="1" t="n">
        <v>108.3</v>
      </c>
      <c r="V421" s="1" t="n">
        <v>342</v>
      </c>
      <c r="W421" s="1" t="n">
        <v>11.6</v>
      </c>
      <c r="X421" s="1" t="n">
        <v>35.5</v>
      </c>
      <c r="Y421" s="1" t="n">
        <v>203</v>
      </c>
      <c r="Z421" s="1" t="n">
        <v>93</v>
      </c>
      <c r="AA421" s="1" t="n">
        <v>153</v>
      </c>
      <c r="AB421" s="7" t="s">
        <v>81</v>
      </c>
      <c r="AC421" s="7" t="s">
        <v>88</v>
      </c>
      <c r="AD421" s="6" t="s">
        <v>43</v>
      </c>
      <c r="AE421" s="6" t="s">
        <v>43</v>
      </c>
      <c r="AF421" s="4" t="n">
        <f aca="false">IF(T421="","",IF(T421&lt;=30,(50/30)*T421,IF(T421&lt;=60,50+((100-50)/(60-30))*(T421-30),IF(T421&lt;=90,100+((200-100)/(90-60))*(T421-60),IF(T421&lt;=120,200+((300-200)/(120-90))*(T421-90),IF(T421&lt;=250,300+((400-300)/(250-120))*(T421-120),IF(T421&lt;=380,400+((500-400)/(380-250))*(T421-250),500)))))))</f>
        <v>102.666666666667</v>
      </c>
      <c r="AG421" s="4" t="n">
        <f aca="false">IF(U421="","",IF(U421&lt;=50,(50/50)*U421,IF(U421&lt;=100,50+((100-50)/(100-50))*(U421-50),IF(U421&lt;=250,100+((200-100)/(250-100))*(U421-100),IF(U421&lt;=350,200+((300-200)/(350-250))*(U421-250),IF(U421&lt;=430,300+((400-300)/(430-350))*(U421-350),IF(U421&lt;=600,400+((500-400)/(600-430))*(U421-430),500)))))))</f>
        <v>105.533333333333</v>
      </c>
      <c r="AH421" s="4" t="n">
        <f aca="false">IF(V421="","",IF((V421/1000)&lt;=1,(50/1)*(V421/1000),IF((V421/1000)&lt;=2,50+((100-50)/(2-1))*(V421/1000-1),IF((V421/1000)&lt;=10,100+((200-100)/(10-2))*(V421/1000-2),IF((V421/1000)&lt;=17,200+((300-200)/(17-10))*(V421/1000-10),IF((V421/1000)&lt;=34,300+((400-300)/(34-17))*(V421/1000-17),IF((V421/1000)&lt;=57,400+((500-400)/(57-34))*(V421/1000-34),500)))))))</f>
        <v>17.1</v>
      </c>
      <c r="AI421" s="4" t="n">
        <f aca="false">IF(W421="","",IF(W421&lt;=40,(50/40)*W421,IF(W421&lt;=80,50+((100-50)/(80-40))*(W421-40),IF(W421&lt;=180,100+((200-100)/(180-80))*(W421-80),IF(W421&lt;=280,200+((300-200)/(280-180))*(W421-180),IF(W421&lt;=400,300+((400-300)/(400-280))*(W421-280),IF(W421&lt;=800,400+((500-400)/(800-400))*(W421-400),500)))))))</f>
        <v>14.5</v>
      </c>
      <c r="AJ421" s="4" t="n">
        <f aca="false">IF(X421="","",IF(X421&lt;=40,(50/40)*X421,IF(X421&lt;=80,50+((100-50)/(80-40))*(X421-40),IF(X421&lt;=380,100+((200-100)/(380-80))*(X421-80),IF(X421&lt;=800,200+((300-200)/(800-380))*(X421-380),IF(X421&lt;=1600,300+((400-300)/(1600-800))*(X421-800),IF(X421&lt;=2100,400+((500-400)/(2100-1600))*(X421-1600),500)))))))</f>
        <v>44.375</v>
      </c>
      <c r="AK421" s="4" t="n">
        <f aca="false">IF(Y421="","",IF(Y421&lt;=50,(50/50)*Y421,IF(Y421&lt;=100,50+((100-50)/(100-50))*(Y421-50),IF(Y421&lt;=168,100+((200-100)/(168-100))*(Y421-100),IF(Y421&lt;=208,200+((300-200)/(208-168))*(Y421-168),IF(Y421&lt;=748,300+((400-300)/(748-208))*(Y421-208),IF(Y421&lt;=1000,400+((500-400)/(1000-748))*(Y421-748),500)))))))</f>
        <v>287.5</v>
      </c>
      <c r="AL421" s="4" t="n">
        <f aca="false">ROUND(MAX(AF421,AG421,AH421,AI421,AJ421,AK421),0)</f>
        <v>288</v>
      </c>
      <c r="AM421" s="4" t="str">
        <f aca="false">IF(AL421="","",IF(AL421&lt;=50,"Good",IF(AL421&lt;=100,"Satisfactory",IF(AL421&lt;=200,"Moderate",IF(AL421&lt;=300,"Poor",IF(AL421&lt;=400,"Very Poor","Severe"))))))</f>
        <v>Poor</v>
      </c>
    </row>
    <row r="422" customFormat="false" ht="15.75" hidden="false" customHeight="false" outlineLevel="0" collapsed="false">
      <c r="A422" s="1" t="s">
        <v>39</v>
      </c>
      <c r="B422" s="1" t="s">
        <v>40</v>
      </c>
      <c r="C422" s="1" t="n">
        <v>28.4595</v>
      </c>
      <c r="D422" s="1" t="n">
        <v>77.0266</v>
      </c>
      <c r="E422" s="5" t="n">
        <v>45918</v>
      </c>
      <c r="F422" s="6" t="s">
        <v>63</v>
      </c>
      <c r="G422" s="1" t="n">
        <v>9</v>
      </c>
      <c r="H422" s="7" t="s">
        <v>80</v>
      </c>
      <c r="I422" s="6" t="s">
        <v>43</v>
      </c>
      <c r="J422" s="7" t="s">
        <v>44</v>
      </c>
      <c r="K422" s="7" t="s">
        <v>60</v>
      </c>
      <c r="L422" s="1" t="n">
        <v>52</v>
      </c>
      <c r="M422" s="1" t="n">
        <v>22.5</v>
      </c>
      <c r="N422" s="1" t="n">
        <v>19.4</v>
      </c>
      <c r="O422" s="1" t="n">
        <v>0.1</v>
      </c>
      <c r="P422" s="6" t="s">
        <v>46</v>
      </c>
      <c r="Q422" s="6" t="s">
        <v>43</v>
      </c>
      <c r="R422" s="1" t="n">
        <v>1005.6</v>
      </c>
      <c r="S422" s="1" t="n">
        <v>28</v>
      </c>
      <c r="T422" s="1" t="n">
        <v>53.9</v>
      </c>
      <c r="U422" s="1" t="n">
        <v>103.1</v>
      </c>
      <c r="V422" s="1" t="n">
        <v>316</v>
      </c>
      <c r="W422" s="1" t="n">
        <v>8.5</v>
      </c>
      <c r="X422" s="1" t="n">
        <v>31.8</v>
      </c>
      <c r="Y422" s="1" t="n">
        <v>214</v>
      </c>
      <c r="Z422" s="1" t="n">
        <v>99</v>
      </c>
      <c r="AA422" s="1" t="n">
        <v>153</v>
      </c>
      <c r="AB422" s="7" t="s">
        <v>81</v>
      </c>
      <c r="AC422" s="7" t="s">
        <v>48</v>
      </c>
      <c r="AD422" s="6" t="s">
        <v>43</v>
      </c>
      <c r="AE422" s="6" t="s">
        <v>43</v>
      </c>
      <c r="AF422" s="4" t="n">
        <f aca="false">IF(T422="","",IF(T422&lt;=30,(50/30)*T422,IF(T422&lt;=60,50+((100-50)/(60-30))*(T422-30),IF(T422&lt;=90,100+((200-100)/(90-60))*(T422-60),IF(T422&lt;=120,200+((300-200)/(120-90))*(T422-90),IF(T422&lt;=250,300+((400-300)/(250-120))*(T422-120),IF(T422&lt;=380,400+((500-400)/(380-250))*(T422-250),500)))))))</f>
        <v>89.8333333333333</v>
      </c>
      <c r="AG422" s="4" t="n">
        <f aca="false">IF(U422="","",IF(U422&lt;=50,(50/50)*U422,IF(U422&lt;=100,50+((100-50)/(100-50))*(U422-50),IF(U422&lt;=250,100+((200-100)/(250-100))*(U422-100),IF(U422&lt;=350,200+((300-200)/(350-250))*(U422-250),IF(U422&lt;=430,300+((400-300)/(430-350))*(U422-350),IF(U422&lt;=600,400+((500-400)/(600-430))*(U422-430),500)))))))</f>
        <v>102.066666666667</v>
      </c>
      <c r="AH422" s="4" t="n">
        <f aca="false">IF(V422="","",IF((V422/1000)&lt;=1,(50/1)*(V422/1000),IF((V422/1000)&lt;=2,50+((100-50)/(2-1))*(V422/1000-1),IF((V422/1000)&lt;=10,100+((200-100)/(10-2))*(V422/1000-2),IF((V422/1000)&lt;=17,200+((300-200)/(17-10))*(V422/1000-10),IF((V422/1000)&lt;=34,300+((400-300)/(34-17))*(V422/1000-17),IF((V422/1000)&lt;=57,400+((500-400)/(57-34))*(V422/1000-34),500)))))))</f>
        <v>15.8</v>
      </c>
      <c r="AI422" s="4" t="n">
        <f aca="false">IF(W422="","",IF(W422&lt;=40,(50/40)*W422,IF(W422&lt;=80,50+((100-50)/(80-40))*(W422-40),IF(W422&lt;=180,100+((200-100)/(180-80))*(W422-80),IF(W422&lt;=280,200+((300-200)/(280-180))*(W422-180),IF(W422&lt;=400,300+((400-300)/(400-280))*(W422-280),IF(W422&lt;=800,400+((500-400)/(800-400))*(W422-400),500)))))))</f>
        <v>10.625</v>
      </c>
      <c r="AJ422" s="4" t="n">
        <f aca="false">IF(X422="","",IF(X422&lt;=40,(50/40)*X422,IF(X422&lt;=80,50+((100-50)/(80-40))*(X422-40),IF(X422&lt;=380,100+((200-100)/(380-80))*(X422-80),IF(X422&lt;=800,200+((300-200)/(800-380))*(X422-380),IF(X422&lt;=1600,300+((400-300)/(1600-800))*(X422-800),IF(X422&lt;=2100,400+((500-400)/(2100-1600))*(X422-1600),500)))))))</f>
        <v>39.75</v>
      </c>
      <c r="AK422" s="4" t="n">
        <f aca="false">IF(Y422="","",IF(Y422&lt;=50,(50/50)*Y422,IF(Y422&lt;=100,50+((100-50)/(100-50))*(Y422-50),IF(Y422&lt;=168,100+((200-100)/(168-100))*(Y422-100),IF(Y422&lt;=208,200+((300-200)/(208-168))*(Y422-168),IF(Y422&lt;=748,300+((400-300)/(748-208))*(Y422-208),IF(Y422&lt;=1000,400+((500-400)/(1000-748))*(Y422-748),500)))))))</f>
        <v>301.111111111111</v>
      </c>
      <c r="AL422" s="4" t="n">
        <f aca="false">ROUND(MAX(AF422,AG422,AH422,AI422,AJ422,AK422),0)</f>
        <v>301</v>
      </c>
      <c r="AM422" s="4" t="str">
        <f aca="false">IF(AL422="","",IF(AL422&lt;=50,"Good",IF(AL422&lt;=100,"Satisfactory",IF(AL422&lt;=200,"Moderate",IF(AL422&lt;=300,"Poor",IF(AL422&lt;=400,"Very Poor","Severe"))))))</f>
        <v>Very Poor</v>
      </c>
    </row>
    <row r="423" customFormat="false" ht="15.75" hidden="false" customHeight="false" outlineLevel="0" collapsed="false">
      <c r="A423" s="1" t="s">
        <v>39</v>
      </c>
      <c r="B423" s="1" t="s">
        <v>40</v>
      </c>
      <c r="C423" s="1" t="n">
        <v>28.4595</v>
      </c>
      <c r="D423" s="1" t="n">
        <v>77.0266</v>
      </c>
      <c r="E423" s="5" t="n">
        <v>45918</v>
      </c>
      <c r="F423" s="6" t="s">
        <v>64</v>
      </c>
      <c r="G423" s="1" t="n">
        <v>9</v>
      </c>
      <c r="H423" s="7" t="s">
        <v>80</v>
      </c>
      <c r="I423" s="6" t="s">
        <v>43</v>
      </c>
      <c r="J423" s="7" t="s">
        <v>44</v>
      </c>
      <c r="K423" s="7" t="s">
        <v>65</v>
      </c>
      <c r="L423" s="1" t="n">
        <v>55</v>
      </c>
      <c r="M423" s="1" t="n">
        <v>21.5</v>
      </c>
      <c r="N423" s="1" t="n">
        <v>30.2</v>
      </c>
      <c r="O423" s="1" t="n">
        <v>0.6</v>
      </c>
      <c r="P423" s="6" t="s">
        <v>46</v>
      </c>
      <c r="Q423" s="6" t="s">
        <v>43</v>
      </c>
      <c r="R423" s="1" t="n">
        <v>1005.3</v>
      </c>
      <c r="S423" s="1" t="n">
        <v>77</v>
      </c>
      <c r="T423" s="1" t="n">
        <v>48.8</v>
      </c>
      <c r="U423" s="1" t="n">
        <v>92.9</v>
      </c>
      <c r="V423" s="1" t="n">
        <v>328</v>
      </c>
      <c r="W423" s="1" t="n">
        <v>6.1</v>
      </c>
      <c r="X423" s="1" t="n">
        <v>25.1</v>
      </c>
      <c r="Y423" s="1" t="n">
        <v>212</v>
      </c>
      <c r="Z423" s="1" t="n">
        <v>99</v>
      </c>
      <c r="AA423" s="1" t="n">
        <v>154</v>
      </c>
      <c r="AB423" s="7" t="s">
        <v>81</v>
      </c>
      <c r="AC423" s="7" t="s">
        <v>48</v>
      </c>
      <c r="AD423" s="6" t="s">
        <v>43</v>
      </c>
      <c r="AE423" s="6" t="s">
        <v>43</v>
      </c>
      <c r="AF423" s="4" t="n">
        <f aca="false">IF(T423="","",IF(T423&lt;=30,(50/30)*T423,IF(T423&lt;=60,50+((100-50)/(60-30))*(T423-30),IF(T423&lt;=90,100+((200-100)/(90-60))*(T423-60),IF(T423&lt;=120,200+((300-200)/(120-90))*(T423-90),IF(T423&lt;=250,300+((400-300)/(250-120))*(T423-120),IF(T423&lt;=380,400+((500-400)/(380-250))*(T423-250),500)))))))</f>
        <v>81.3333333333333</v>
      </c>
      <c r="AG423" s="4" t="n">
        <f aca="false">IF(U423="","",IF(U423&lt;=50,(50/50)*U423,IF(U423&lt;=100,50+((100-50)/(100-50))*(U423-50),IF(U423&lt;=250,100+((200-100)/(250-100))*(U423-100),IF(U423&lt;=350,200+((300-200)/(350-250))*(U423-250),IF(U423&lt;=430,300+((400-300)/(430-350))*(U423-350),IF(U423&lt;=600,400+((500-400)/(600-430))*(U423-430),500)))))))</f>
        <v>92.9</v>
      </c>
      <c r="AH423" s="4" t="n">
        <f aca="false">IF(V423="","",IF((V423/1000)&lt;=1,(50/1)*(V423/1000),IF((V423/1000)&lt;=2,50+((100-50)/(2-1))*(V423/1000-1),IF((V423/1000)&lt;=10,100+((200-100)/(10-2))*(V423/1000-2),IF((V423/1000)&lt;=17,200+((300-200)/(17-10))*(V423/1000-10),IF((V423/1000)&lt;=34,300+((400-300)/(34-17))*(V423/1000-17),IF((V423/1000)&lt;=57,400+((500-400)/(57-34))*(V423/1000-34),500)))))))</f>
        <v>16.4</v>
      </c>
      <c r="AI423" s="4" t="n">
        <f aca="false">IF(W423="","",IF(W423&lt;=40,(50/40)*W423,IF(W423&lt;=80,50+((100-50)/(80-40))*(W423-40),IF(W423&lt;=180,100+((200-100)/(180-80))*(W423-80),IF(W423&lt;=280,200+((300-200)/(280-180))*(W423-180),IF(W423&lt;=400,300+((400-300)/(400-280))*(W423-280),IF(W423&lt;=800,400+((500-400)/(800-400))*(W423-400),500)))))))</f>
        <v>7.625</v>
      </c>
      <c r="AJ423" s="4" t="n">
        <f aca="false">IF(X423="","",IF(X423&lt;=40,(50/40)*X423,IF(X423&lt;=80,50+((100-50)/(80-40))*(X423-40),IF(X423&lt;=380,100+((200-100)/(380-80))*(X423-80),IF(X423&lt;=800,200+((300-200)/(800-380))*(X423-380),IF(X423&lt;=1600,300+((400-300)/(1600-800))*(X423-800),IF(X423&lt;=2100,400+((500-400)/(2100-1600))*(X423-1600),500)))))))</f>
        <v>31.375</v>
      </c>
      <c r="AK423" s="4" t="n">
        <f aca="false">IF(Y423="","",IF(Y423&lt;=50,(50/50)*Y423,IF(Y423&lt;=100,50+((100-50)/(100-50))*(Y423-50),IF(Y423&lt;=168,100+((200-100)/(168-100))*(Y423-100),IF(Y423&lt;=208,200+((300-200)/(208-168))*(Y423-168),IF(Y423&lt;=748,300+((400-300)/(748-208))*(Y423-208),IF(Y423&lt;=1000,400+((500-400)/(1000-748))*(Y423-748),500)))))))</f>
        <v>300.740740740741</v>
      </c>
      <c r="AL423" s="4" t="n">
        <f aca="false">ROUND(MAX(AF423,AG423,AH423,AI423,AJ423,AK423),0)</f>
        <v>301</v>
      </c>
      <c r="AM423" s="4" t="str">
        <f aca="false">IF(AL423="","",IF(AL423&lt;=50,"Good",IF(AL423&lt;=100,"Satisfactory",IF(AL423&lt;=200,"Moderate",IF(AL423&lt;=300,"Poor",IF(AL423&lt;=400,"Very Poor","Severe"))))))</f>
        <v>Very Poor</v>
      </c>
    </row>
    <row r="424" customFormat="false" ht="15.75" hidden="false" customHeight="false" outlineLevel="0" collapsed="false">
      <c r="A424" s="1" t="s">
        <v>39</v>
      </c>
      <c r="B424" s="1" t="s">
        <v>40</v>
      </c>
      <c r="C424" s="1" t="n">
        <v>28.4595</v>
      </c>
      <c r="D424" s="1" t="n">
        <v>77.0266</v>
      </c>
      <c r="E424" s="5" t="n">
        <v>45918</v>
      </c>
      <c r="F424" s="6" t="s">
        <v>66</v>
      </c>
      <c r="G424" s="1" t="n">
        <v>9</v>
      </c>
      <c r="H424" s="7" t="s">
        <v>80</v>
      </c>
      <c r="I424" s="6" t="s">
        <v>43</v>
      </c>
      <c r="J424" s="7" t="s">
        <v>44</v>
      </c>
      <c r="K424" s="7" t="s">
        <v>65</v>
      </c>
      <c r="L424" s="1" t="n">
        <v>58</v>
      </c>
      <c r="M424" s="1" t="n">
        <v>22.1</v>
      </c>
      <c r="N424" s="1" t="n">
        <v>28.8</v>
      </c>
      <c r="O424" s="1" t="n">
        <v>0.2</v>
      </c>
      <c r="P424" s="6" t="s">
        <v>46</v>
      </c>
      <c r="Q424" s="6" t="s">
        <v>43</v>
      </c>
      <c r="R424" s="1" t="n">
        <v>1003.6</v>
      </c>
      <c r="S424" s="1" t="n">
        <v>10</v>
      </c>
      <c r="T424" s="1" t="n">
        <v>45.2</v>
      </c>
      <c r="U424" s="1" t="n">
        <v>94.1</v>
      </c>
      <c r="V424" s="1" t="n">
        <v>344</v>
      </c>
      <c r="W424" s="1" t="n">
        <v>5.6</v>
      </c>
      <c r="X424" s="1" t="n">
        <v>19.8</v>
      </c>
      <c r="Y424" s="1" t="n">
        <v>203</v>
      </c>
      <c r="Z424" s="1" t="n">
        <v>96</v>
      </c>
      <c r="AA424" s="1" t="n">
        <v>154</v>
      </c>
      <c r="AB424" s="7" t="s">
        <v>81</v>
      </c>
      <c r="AC424" s="7" t="s">
        <v>48</v>
      </c>
      <c r="AD424" s="6" t="s">
        <v>43</v>
      </c>
      <c r="AE424" s="6" t="s">
        <v>43</v>
      </c>
      <c r="AF424" s="4" t="n">
        <f aca="false">IF(T424="","",IF(T424&lt;=30,(50/30)*T424,IF(T424&lt;=60,50+((100-50)/(60-30))*(T424-30),IF(T424&lt;=90,100+((200-100)/(90-60))*(T424-60),IF(T424&lt;=120,200+((300-200)/(120-90))*(T424-90),IF(T424&lt;=250,300+((400-300)/(250-120))*(T424-120),IF(T424&lt;=380,400+((500-400)/(380-250))*(T424-250),500)))))))</f>
        <v>75.3333333333333</v>
      </c>
      <c r="AG424" s="4" t="n">
        <f aca="false">IF(U424="","",IF(U424&lt;=50,(50/50)*U424,IF(U424&lt;=100,50+((100-50)/(100-50))*(U424-50),IF(U424&lt;=250,100+((200-100)/(250-100))*(U424-100),IF(U424&lt;=350,200+((300-200)/(350-250))*(U424-250),IF(U424&lt;=430,300+((400-300)/(430-350))*(U424-350),IF(U424&lt;=600,400+((500-400)/(600-430))*(U424-430),500)))))))</f>
        <v>94.1</v>
      </c>
      <c r="AH424" s="4" t="n">
        <f aca="false">IF(V424="","",IF((V424/1000)&lt;=1,(50/1)*(V424/1000),IF((V424/1000)&lt;=2,50+((100-50)/(2-1))*(V424/1000-1),IF((V424/1000)&lt;=10,100+((200-100)/(10-2))*(V424/1000-2),IF((V424/1000)&lt;=17,200+((300-200)/(17-10))*(V424/1000-10),IF((V424/1000)&lt;=34,300+((400-300)/(34-17))*(V424/1000-17),IF((V424/1000)&lt;=57,400+((500-400)/(57-34))*(V424/1000-34),500)))))))</f>
        <v>17.2</v>
      </c>
      <c r="AI424" s="4" t="n">
        <f aca="false">IF(W424="","",IF(W424&lt;=40,(50/40)*W424,IF(W424&lt;=80,50+((100-50)/(80-40))*(W424-40),IF(W424&lt;=180,100+((200-100)/(180-80))*(W424-80),IF(W424&lt;=280,200+((300-200)/(280-180))*(W424-180),IF(W424&lt;=400,300+((400-300)/(400-280))*(W424-280),IF(W424&lt;=800,400+((500-400)/(800-400))*(W424-400),500)))))))</f>
        <v>7</v>
      </c>
      <c r="AJ424" s="4" t="n">
        <f aca="false">IF(X424="","",IF(X424&lt;=40,(50/40)*X424,IF(X424&lt;=80,50+((100-50)/(80-40))*(X424-40),IF(X424&lt;=380,100+((200-100)/(380-80))*(X424-80),IF(X424&lt;=800,200+((300-200)/(800-380))*(X424-380),IF(X424&lt;=1600,300+((400-300)/(1600-800))*(X424-800),IF(X424&lt;=2100,400+((500-400)/(2100-1600))*(X424-1600),500)))))))</f>
        <v>24.75</v>
      </c>
      <c r="AK424" s="4" t="n">
        <f aca="false">IF(Y424="","",IF(Y424&lt;=50,(50/50)*Y424,IF(Y424&lt;=100,50+((100-50)/(100-50))*(Y424-50),IF(Y424&lt;=168,100+((200-100)/(168-100))*(Y424-100),IF(Y424&lt;=208,200+((300-200)/(208-168))*(Y424-168),IF(Y424&lt;=748,300+((400-300)/(748-208))*(Y424-208),IF(Y424&lt;=1000,400+((500-400)/(1000-748))*(Y424-748),500)))))))</f>
        <v>287.5</v>
      </c>
      <c r="AL424" s="4" t="n">
        <f aca="false">ROUND(MAX(AF424,AG424,AH424,AI424,AJ424,AK424),0)</f>
        <v>288</v>
      </c>
      <c r="AM424" s="4" t="str">
        <f aca="false">IF(AL424="","",IF(AL424&lt;=50,"Good",IF(AL424&lt;=100,"Satisfactory",IF(AL424&lt;=200,"Moderate",IF(AL424&lt;=300,"Poor",IF(AL424&lt;=400,"Very Poor","Severe"))))))</f>
        <v>Poor</v>
      </c>
    </row>
    <row r="425" customFormat="false" ht="15.75" hidden="false" customHeight="false" outlineLevel="0" collapsed="false">
      <c r="A425" s="1" t="s">
        <v>39</v>
      </c>
      <c r="B425" s="1" t="s">
        <v>40</v>
      </c>
      <c r="C425" s="1" t="n">
        <v>28.4595</v>
      </c>
      <c r="D425" s="1" t="n">
        <v>77.0266</v>
      </c>
      <c r="E425" s="5" t="n">
        <v>45918</v>
      </c>
      <c r="F425" s="6" t="s">
        <v>67</v>
      </c>
      <c r="G425" s="1" t="n">
        <v>9</v>
      </c>
      <c r="H425" s="7" t="s">
        <v>80</v>
      </c>
      <c r="I425" s="6" t="s">
        <v>43</v>
      </c>
      <c r="J425" s="7" t="s">
        <v>44</v>
      </c>
      <c r="K425" s="7" t="s">
        <v>65</v>
      </c>
      <c r="L425" s="1" t="n">
        <v>58</v>
      </c>
      <c r="M425" s="1" t="n">
        <v>22.6</v>
      </c>
      <c r="N425" s="1" t="n">
        <v>16.2</v>
      </c>
      <c r="O425" s="1" t="n">
        <v>0.1</v>
      </c>
      <c r="P425" s="6" t="s">
        <v>46</v>
      </c>
      <c r="Q425" s="6" t="s">
        <v>43</v>
      </c>
      <c r="R425" s="1" t="n">
        <v>1002.7</v>
      </c>
      <c r="S425" s="1" t="n">
        <v>31</v>
      </c>
      <c r="T425" s="1" t="n">
        <v>39.9</v>
      </c>
      <c r="U425" s="1" t="n">
        <v>77.8</v>
      </c>
      <c r="V425" s="1" t="n">
        <v>307</v>
      </c>
      <c r="W425" s="1" t="n">
        <v>5.9</v>
      </c>
      <c r="X425" s="1" t="n">
        <v>17.2</v>
      </c>
      <c r="Y425" s="1" t="n">
        <v>188</v>
      </c>
      <c r="Z425" s="1" t="n">
        <v>87</v>
      </c>
      <c r="AA425" s="1" t="n">
        <v>154</v>
      </c>
      <c r="AB425" s="7" t="s">
        <v>81</v>
      </c>
      <c r="AC425" s="7" t="s">
        <v>48</v>
      </c>
      <c r="AD425" s="6" t="s">
        <v>43</v>
      </c>
      <c r="AE425" s="6" t="s">
        <v>43</v>
      </c>
      <c r="AF425" s="4" t="n">
        <f aca="false">IF(T425="","",IF(T425&lt;=30,(50/30)*T425,IF(T425&lt;=60,50+((100-50)/(60-30))*(T425-30),IF(T425&lt;=90,100+((200-100)/(90-60))*(T425-60),IF(T425&lt;=120,200+((300-200)/(120-90))*(T425-90),IF(T425&lt;=250,300+((400-300)/(250-120))*(T425-120),IF(T425&lt;=380,400+((500-400)/(380-250))*(T425-250),500)))))))</f>
        <v>66.5</v>
      </c>
      <c r="AG425" s="4" t="n">
        <f aca="false">IF(U425="","",IF(U425&lt;=50,(50/50)*U425,IF(U425&lt;=100,50+((100-50)/(100-50))*(U425-50),IF(U425&lt;=250,100+((200-100)/(250-100))*(U425-100),IF(U425&lt;=350,200+((300-200)/(350-250))*(U425-250),IF(U425&lt;=430,300+((400-300)/(430-350))*(U425-350),IF(U425&lt;=600,400+((500-400)/(600-430))*(U425-430),500)))))))</f>
        <v>77.8</v>
      </c>
      <c r="AH425" s="4" t="n">
        <f aca="false">IF(V425="","",IF((V425/1000)&lt;=1,(50/1)*(V425/1000),IF((V425/1000)&lt;=2,50+((100-50)/(2-1))*(V425/1000-1),IF((V425/1000)&lt;=10,100+((200-100)/(10-2))*(V425/1000-2),IF((V425/1000)&lt;=17,200+((300-200)/(17-10))*(V425/1000-10),IF((V425/1000)&lt;=34,300+((400-300)/(34-17))*(V425/1000-17),IF((V425/1000)&lt;=57,400+((500-400)/(57-34))*(V425/1000-34),500)))))))</f>
        <v>15.35</v>
      </c>
      <c r="AI425" s="4" t="n">
        <f aca="false">IF(W425="","",IF(W425&lt;=40,(50/40)*W425,IF(W425&lt;=80,50+((100-50)/(80-40))*(W425-40),IF(W425&lt;=180,100+((200-100)/(180-80))*(W425-80),IF(W425&lt;=280,200+((300-200)/(280-180))*(W425-180),IF(W425&lt;=400,300+((400-300)/(400-280))*(W425-280),IF(W425&lt;=800,400+((500-400)/(800-400))*(W425-400),500)))))))</f>
        <v>7.375</v>
      </c>
      <c r="AJ425" s="4" t="n">
        <f aca="false">IF(X425="","",IF(X425&lt;=40,(50/40)*X425,IF(X425&lt;=80,50+((100-50)/(80-40))*(X425-40),IF(X425&lt;=380,100+((200-100)/(380-80))*(X425-80),IF(X425&lt;=800,200+((300-200)/(800-380))*(X425-380),IF(X425&lt;=1600,300+((400-300)/(1600-800))*(X425-800),IF(X425&lt;=2100,400+((500-400)/(2100-1600))*(X425-1600),500)))))))</f>
        <v>21.5</v>
      </c>
      <c r="AK425" s="4" t="n">
        <f aca="false">IF(Y425="","",IF(Y425&lt;=50,(50/50)*Y425,IF(Y425&lt;=100,50+((100-50)/(100-50))*(Y425-50),IF(Y425&lt;=168,100+((200-100)/(168-100))*(Y425-100),IF(Y425&lt;=208,200+((300-200)/(208-168))*(Y425-168),IF(Y425&lt;=748,300+((400-300)/(748-208))*(Y425-208),IF(Y425&lt;=1000,400+((500-400)/(1000-748))*(Y425-748),500)))))))</f>
        <v>250</v>
      </c>
      <c r="AL425" s="4" t="n">
        <f aca="false">ROUND(MAX(AF425,AG425,AH425,AI425,AJ425,AK425),0)</f>
        <v>250</v>
      </c>
      <c r="AM425" s="4" t="str">
        <f aca="false">IF(AL425="","",IF(AL425&lt;=50,"Good",IF(AL425&lt;=100,"Satisfactory",IF(AL425&lt;=200,"Moderate",IF(AL425&lt;=300,"Poor",IF(AL425&lt;=400,"Very Poor","Severe"))))))</f>
        <v>Poor</v>
      </c>
    </row>
    <row r="426" customFormat="false" ht="15.75" hidden="false" customHeight="false" outlineLevel="0" collapsed="false">
      <c r="A426" s="1" t="s">
        <v>39</v>
      </c>
      <c r="B426" s="1" t="s">
        <v>40</v>
      </c>
      <c r="C426" s="1" t="n">
        <v>28.4595</v>
      </c>
      <c r="D426" s="1" t="n">
        <v>77.0266</v>
      </c>
      <c r="E426" s="5" t="n">
        <v>45918</v>
      </c>
      <c r="F426" s="6" t="s">
        <v>68</v>
      </c>
      <c r="G426" s="1" t="n">
        <v>9</v>
      </c>
      <c r="H426" s="7" t="s">
        <v>80</v>
      </c>
      <c r="I426" s="6" t="s">
        <v>43</v>
      </c>
      <c r="J426" s="7" t="s">
        <v>44</v>
      </c>
      <c r="K426" s="7" t="s">
        <v>65</v>
      </c>
      <c r="L426" s="1" t="n">
        <v>58</v>
      </c>
      <c r="M426" s="1" t="n">
        <v>22.7</v>
      </c>
      <c r="N426" s="1" t="n">
        <v>15.5</v>
      </c>
      <c r="O426" s="1" t="n">
        <v>0</v>
      </c>
      <c r="P426" s="6" t="s">
        <v>43</v>
      </c>
      <c r="Q426" s="6" t="s">
        <v>43</v>
      </c>
      <c r="R426" s="1" t="n">
        <v>1002.6</v>
      </c>
      <c r="S426" s="1" t="n">
        <v>29</v>
      </c>
      <c r="T426" s="1" t="n">
        <v>41.6</v>
      </c>
      <c r="U426" s="1" t="n">
        <v>79.2</v>
      </c>
      <c r="V426" s="1" t="n">
        <v>273</v>
      </c>
      <c r="W426" s="1" t="n">
        <v>8.1</v>
      </c>
      <c r="X426" s="1" t="n">
        <v>15.9</v>
      </c>
      <c r="Y426" s="1" t="n">
        <v>166</v>
      </c>
      <c r="Z426" s="1" t="n">
        <v>75</v>
      </c>
      <c r="AA426" s="1" t="n">
        <v>162</v>
      </c>
      <c r="AB426" s="7" t="s">
        <v>81</v>
      </c>
      <c r="AC426" s="7" t="s">
        <v>48</v>
      </c>
      <c r="AD426" s="6" t="s">
        <v>43</v>
      </c>
      <c r="AE426" s="6" t="s">
        <v>43</v>
      </c>
      <c r="AF426" s="4" t="n">
        <f aca="false">IF(T426="","",IF(T426&lt;=30,(50/30)*T426,IF(T426&lt;=60,50+((100-50)/(60-30))*(T426-30),IF(T426&lt;=90,100+((200-100)/(90-60))*(T426-60),IF(T426&lt;=120,200+((300-200)/(120-90))*(T426-90),IF(T426&lt;=250,300+((400-300)/(250-120))*(T426-120),IF(T426&lt;=380,400+((500-400)/(380-250))*(T426-250),500)))))))</f>
        <v>69.3333333333333</v>
      </c>
      <c r="AG426" s="4" t="n">
        <f aca="false">IF(U426="","",IF(U426&lt;=50,(50/50)*U426,IF(U426&lt;=100,50+((100-50)/(100-50))*(U426-50),IF(U426&lt;=250,100+((200-100)/(250-100))*(U426-100),IF(U426&lt;=350,200+((300-200)/(350-250))*(U426-250),IF(U426&lt;=430,300+((400-300)/(430-350))*(U426-350),IF(U426&lt;=600,400+((500-400)/(600-430))*(U426-430),500)))))))</f>
        <v>79.2</v>
      </c>
      <c r="AH426" s="4" t="n">
        <f aca="false">IF(V426="","",IF((V426/1000)&lt;=1,(50/1)*(V426/1000),IF((V426/1000)&lt;=2,50+((100-50)/(2-1))*(V426/1000-1),IF((V426/1000)&lt;=10,100+((200-100)/(10-2))*(V426/1000-2),IF((V426/1000)&lt;=17,200+((300-200)/(17-10))*(V426/1000-10),IF((V426/1000)&lt;=34,300+((400-300)/(34-17))*(V426/1000-17),IF((V426/1000)&lt;=57,400+((500-400)/(57-34))*(V426/1000-34),500)))))))</f>
        <v>13.65</v>
      </c>
      <c r="AI426" s="4" t="n">
        <f aca="false">IF(W426="","",IF(W426&lt;=40,(50/40)*W426,IF(W426&lt;=80,50+((100-50)/(80-40))*(W426-40),IF(W426&lt;=180,100+((200-100)/(180-80))*(W426-80),IF(W426&lt;=280,200+((300-200)/(280-180))*(W426-180),IF(W426&lt;=400,300+((400-300)/(400-280))*(W426-280),IF(W426&lt;=800,400+((500-400)/(800-400))*(W426-400),500)))))))</f>
        <v>10.125</v>
      </c>
      <c r="AJ426" s="4" t="n">
        <f aca="false">IF(X426="","",IF(X426&lt;=40,(50/40)*X426,IF(X426&lt;=80,50+((100-50)/(80-40))*(X426-40),IF(X426&lt;=380,100+((200-100)/(380-80))*(X426-80),IF(X426&lt;=800,200+((300-200)/(800-380))*(X426-380),IF(X426&lt;=1600,300+((400-300)/(1600-800))*(X426-800),IF(X426&lt;=2100,400+((500-400)/(2100-1600))*(X426-1600),500)))))))</f>
        <v>19.875</v>
      </c>
      <c r="AK426" s="4" t="n">
        <f aca="false">IF(Y426="","",IF(Y426&lt;=50,(50/50)*Y426,IF(Y426&lt;=100,50+((100-50)/(100-50))*(Y426-50),IF(Y426&lt;=168,100+((200-100)/(168-100))*(Y426-100),IF(Y426&lt;=208,200+((300-200)/(208-168))*(Y426-168),IF(Y426&lt;=748,300+((400-300)/(748-208))*(Y426-208),IF(Y426&lt;=1000,400+((500-400)/(1000-748))*(Y426-748),500)))))))</f>
        <v>197.058823529412</v>
      </c>
      <c r="AL426" s="4" t="n">
        <f aca="false">ROUND(MAX(AF426,AG426,AH426,AI426,AJ426,AK426),0)</f>
        <v>197</v>
      </c>
      <c r="AM426" s="4" t="str">
        <f aca="false">IF(AL426="","",IF(AL426&lt;=50,"Good",IF(AL426&lt;=100,"Satisfactory",IF(AL426&lt;=200,"Moderate",IF(AL426&lt;=300,"Poor",IF(AL426&lt;=400,"Very Poor","Severe"))))))</f>
        <v>Moderate</v>
      </c>
    </row>
    <row r="427" customFormat="false" ht="15.75" hidden="false" customHeight="false" outlineLevel="0" collapsed="false">
      <c r="A427" s="1" t="s">
        <v>39</v>
      </c>
      <c r="B427" s="1" t="s">
        <v>40</v>
      </c>
      <c r="C427" s="1" t="n">
        <v>28.4595</v>
      </c>
      <c r="D427" s="1" t="n">
        <v>77.0266</v>
      </c>
      <c r="E427" s="5" t="n">
        <v>45918</v>
      </c>
      <c r="F427" s="6" t="s">
        <v>69</v>
      </c>
      <c r="G427" s="1" t="n">
        <v>9</v>
      </c>
      <c r="H427" s="7" t="s">
        <v>80</v>
      </c>
      <c r="I427" s="6" t="s">
        <v>43</v>
      </c>
      <c r="J427" s="7" t="s">
        <v>44</v>
      </c>
      <c r="K427" s="7" t="s">
        <v>65</v>
      </c>
      <c r="L427" s="1" t="n">
        <v>61</v>
      </c>
      <c r="M427" s="1" t="n">
        <v>23.1</v>
      </c>
      <c r="N427" s="1" t="n">
        <v>13.7</v>
      </c>
      <c r="O427" s="1" t="n">
        <v>0</v>
      </c>
      <c r="P427" s="6" t="s">
        <v>43</v>
      </c>
      <c r="Q427" s="6" t="s">
        <v>43</v>
      </c>
      <c r="R427" s="1" t="n">
        <v>1002.8</v>
      </c>
      <c r="S427" s="1" t="n">
        <v>18</v>
      </c>
      <c r="T427" s="1" t="n">
        <v>66.4</v>
      </c>
      <c r="U427" s="1" t="n">
        <v>111.5</v>
      </c>
      <c r="V427" s="1" t="n">
        <v>378</v>
      </c>
      <c r="W427" s="1" t="n">
        <v>18.3</v>
      </c>
      <c r="X427" s="1" t="n">
        <v>36.2</v>
      </c>
      <c r="Y427" s="1" t="n">
        <v>189</v>
      </c>
      <c r="Z427" s="1" t="n">
        <v>88</v>
      </c>
      <c r="AA427" s="1" t="n">
        <v>174</v>
      </c>
      <c r="AB427" s="7" t="s">
        <v>81</v>
      </c>
      <c r="AC427" s="7" t="s">
        <v>88</v>
      </c>
      <c r="AD427" s="6" t="s">
        <v>43</v>
      </c>
      <c r="AE427" s="6" t="s">
        <v>43</v>
      </c>
      <c r="AF427" s="4" t="n">
        <f aca="false">IF(T427="","",IF(T427&lt;=30,(50/30)*T427,IF(T427&lt;=60,50+((100-50)/(60-30))*(T427-30),IF(T427&lt;=90,100+((200-100)/(90-60))*(T427-60),IF(T427&lt;=120,200+((300-200)/(120-90))*(T427-90),IF(T427&lt;=250,300+((400-300)/(250-120))*(T427-120),IF(T427&lt;=380,400+((500-400)/(380-250))*(T427-250),500)))))))</f>
        <v>121.333333333333</v>
      </c>
      <c r="AG427" s="4" t="n">
        <f aca="false">IF(U427="","",IF(U427&lt;=50,(50/50)*U427,IF(U427&lt;=100,50+((100-50)/(100-50))*(U427-50),IF(U427&lt;=250,100+((200-100)/(250-100))*(U427-100),IF(U427&lt;=350,200+((300-200)/(350-250))*(U427-250),IF(U427&lt;=430,300+((400-300)/(430-350))*(U427-350),IF(U427&lt;=600,400+((500-400)/(600-430))*(U427-430),500)))))))</f>
        <v>107.666666666667</v>
      </c>
      <c r="AH427" s="4" t="n">
        <f aca="false">IF(V427="","",IF((V427/1000)&lt;=1,(50/1)*(V427/1000),IF((V427/1000)&lt;=2,50+((100-50)/(2-1))*(V427/1000-1),IF((V427/1000)&lt;=10,100+((200-100)/(10-2))*(V427/1000-2),IF((V427/1000)&lt;=17,200+((300-200)/(17-10))*(V427/1000-10),IF((V427/1000)&lt;=34,300+((400-300)/(34-17))*(V427/1000-17),IF((V427/1000)&lt;=57,400+((500-400)/(57-34))*(V427/1000-34),500)))))))</f>
        <v>18.9</v>
      </c>
      <c r="AI427" s="4" t="n">
        <f aca="false">IF(W427="","",IF(W427&lt;=40,(50/40)*W427,IF(W427&lt;=80,50+((100-50)/(80-40))*(W427-40),IF(W427&lt;=180,100+((200-100)/(180-80))*(W427-80),IF(W427&lt;=280,200+((300-200)/(280-180))*(W427-180),IF(W427&lt;=400,300+((400-300)/(400-280))*(W427-280),IF(W427&lt;=800,400+((500-400)/(800-400))*(W427-400),500)))))))</f>
        <v>22.875</v>
      </c>
      <c r="AJ427" s="4" t="n">
        <f aca="false">IF(X427="","",IF(X427&lt;=40,(50/40)*X427,IF(X427&lt;=80,50+((100-50)/(80-40))*(X427-40),IF(X427&lt;=380,100+((200-100)/(380-80))*(X427-80),IF(X427&lt;=800,200+((300-200)/(800-380))*(X427-380),IF(X427&lt;=1600,300+((400-300)/(1600-800))*(X427-800),IF(X427&lt;=2100,400+((500-400)/(2100-1600))*(X427-1600),500)))))))</f>
        <v>45.25</v>
      </c>
      <c r="AK427" s="4" t="n">
        <f aca="false">IF(Y427="","",IF(Y427&lt;=50,(50/50)*Y427,IF(Y427&lt;=100,50+((100-50)/(100-50))*(Y427-50),IF(Y427&lt;=168,100+((200-100)/(168-100))*(Y427-100),IF(Y427&lt;=208,200+((300-200)/(208-168))*(Y427-168),IF(Y427&lt;=748,300+((400-300)/(748-208))*(Y427-208),IF(Y427&lt;=1000,400+((500-400)/(1000-748))*(Y427-748),500)))))))</f>
        <v>252.5</v>
      </c>
      <c r="AL427" s="4" t="n">
        <f aca="false">ROUND(MAX(AF427,AG427,AH427,AI427,AJ427,AK427),0)</f>
        <v>253</v>
      </c>
      <c r="AM427" s="4" t="str">
        <f aca="false">IF(AL427="","",IF(AL427&lt;=50,"Good",IF(AL427&lt;=100,"Satisfactory",IF(AL427&lt;=200,"Moderate",IF(AL427&lt;=300,"Poor",IF(AL427&lt;=400,"Very Poor","Severe"))))))</f>
        <v>Poor</v>
      </c>
    </row>
    <row r="428" customFormat="false" ht="15.75" hidden="false" customHeight="false" outlineLevel="0" collapsed="false">
      <c r="A428" s="1" t="s">
        <v>39</v>
      </c>
      <c r="B428" s="1" t="s">
        <v>40</v>
      </c>
      <c r="C428" s="1" t="n">
        <v>28.4595</v>
      </c>
      <c r="D428" s="1" t="n">
        <v>77.0266</v>
      </c>
      <c r="E428" s="5" t="n">
        <v>45918</v>
      </c>
      <c r="F428" s="6" t="s">
        <v>70</v>
      </c>
      <c r="G428" s="1" t="n">
        <v>9</v>
      </c>
      <c r="H428" s="7" t="s">
        <v>80</v>
      </c>
      <c r="I428" s="6" t="s">
        <v>43</v>
      </c>
      <c r="J428" s="7" t="s">
        <v>44</v>
      </c>
      <c r="K428" s="7" t="s">
        <v>71</v>
      </c>
      <c r="L428" s="1" t="n">
        <v>63</v>
      </c>
      <c r="M428" s="1" t="n">
        <v>23.1</v>
      </c>
      <c r="N428" s="1" t="n">
        <v>17.6</v>
      </c>
      <c r="O428" s="1" t="n">
        <v>0</v>
      </c>
      <c r="P428" s="6" t="s">
        <v>43</v>
      </c>
      <c r="Q428" s="6" t="s">
        <v>43</v>
      </c>
      <c r="R428" s="1" t="n">
        <v>1004</v>
      </c>
      <c r="S428" s="1" t="n">
        <v>93</v>
      </c>
      <c r="T428" s="1" t="n">
        <v>72.2</v>
      </c>
      <c r="U428" s="1" t="n">
        <v>114.1</v>
      </c>
      <c r="V428" s="1" t="n">
        <v>743</v>
      </c>
      <c r="W428" s="1" t="n">
        <v>34.9</v>
      </c>
      <c r="X428" s="1" t="n">
        <v>38.4</v>
      </c>
      <c r="Y428" s="1" t="n">
        <v>153</v>
      </c>
      <c r="Z428" s="1" t="n">
        <v>81</v>
      </c>
      <c r="AA428" s="1" t="n">
        <v>184</v>
      </c>
      <c r="AB428" s="7" t="s">
        <v>81</v>
      </c>
      <c r="AC428" s="7" t="s">
        <v>88</v>
      </c>
      <c r="AD428" s="6" t="s">
        <v>43</v>
      </c>
      <c r="AE428" s="6" t="s">
        <v>43</v>
      </c>
      <c r="AF428" s="4" t="n">
        <f aca="false">IF(T428="","",IF(T428&lt;=30,(50/30)*T428,IF(T428&lt;=60,50+((100-50)/(60-30))*(T428-30),IF(T428&lt;=90,100+((200-100)/(90-60))*(T428-60),IF(T428&lt;=120,200+((300-200)/(120-90))*(T428-90),IF(T428&lt;=250,300+((400-300)/(250-120))*(T428-120),IF(T428&lt;=380,400+((500-400)/(380-250))*(T428-250),500)))))))</f>
        <v>140.666666666667</v>
      </c>
      <c r="AG428" s="4" t="n">
        <f aca="false">IF(U428="","",IF(U428&lt;=50,(50/50)*U428,IF(U428&lt;=100,50+((100-50)/(100-50))*(U428-50),IF(U428&lt;=250,100+((200-100)/(250-100))*(U428-100),IF(U428&lt;=350,200+((300-200)/(350-250))*(U428-250),IF(U428&lt;=430,300+((400-300)/(430-350))*(U428-350),IF(U428&lt;=600,400+((500-400)/(600-430))*(U428-430),500)))))))</f>
        <v>109.4</v>
      </c>
      <c r="AH428" s="4" t="n">
        <f aca="false">IF(V428="","",IF((V428/1000)&lt;=1,(50/1)*(V428/1000),IF((V428/1000)&lt;=2,50+((100-50)/(2-1))*(V428/1000-1),IF((V428/1000)&lt;=10,100+((200-100)/(10-2))*(V428/1000-2),IF((V428/1000)&lt;=17,200+((300-200)/(17-10))*(V428/1000-10),IF((V428/1000)&lt;=34,300+((400-300)/(34-17))*(V428/1000-17),IF((V428/1000)&lt;=57,400+((500-400)/(57-34))*(V428/1000-34),500)))))))</f>
        <v>37.15</v>
      </c>
      <c r="AI428" s="4" t="n">
        <f aca="false">IF(W428="","",IF(W428&lt;=40,(50/40)*W428,IF(W428&lt;=80,50+((100-50)/(80-40))*(W428-40),IF(W428&lt;=180,100+((200-100)/(180-80))*(W428-80),IF(W428&lt;=280,200+((300-200)/(280-180))*(W428-180),IF(W428&lt;=400,300+((400-300)/(400-280))*(W428-280),IF(W428&lt;=800,400+((500-400)/(800-400))*(W428-400),500)))))))</f>
        <v>43.625</v>
      </c>
      <c r="AJ428" s="4" t="n">
        <f aca="false">IF(X428="","",IF(X428&lt;=40,(50/40)*X428,IF(X428&lt;=80,50+((100-50)/(80-40))*(X428-40),IF(X428&lt;=380,100+((200-100)/(380-80))*(X428-80),IF(X428&lt;=800,200+((300-200)/(800-380))*(X428-380),IF(X428&lt;=1600,300+((400-300)/(1600-800))*(X428-800),IF(X428&lt;=2100,400+((500-400)/(2100-1600))*(X428-1600),500)))))))</f>
        <v>48</v>
      </c>
      <c r="AK428" s="4" t="n">
        <f aca="false">IF(Y428="","",IF(Y428&lt;=50,(50/50)*Y428,IF(Y428&lt;=100,50+((100-50)/(100-50))*(Y428-50),IF(Y428&lt;=168,100+((200-100)/(168-100))*(Y428-100),IF(Y428&lt;=208,200+((300-200)/(208-168))*(Y428-168),IF(Y428&lt;=748,300+((400-300)/(748-208))*(Y428-208),IF(Y428&lt;=1000,400+((500-400)/(1000-748))*(Y428-748),500)))))))</f>
        <v>177.941176470588</v>
      </c>
      <c r="AL428" s="4" t="n">
        <f aca="false">ROUND(MAX(AF428,AG428,AH428,AI428,AJ428,AK428),0)</f>
        <v>178</v>
      </c>
      <c r="AM428" s="4" t="str">
        <f aca="false">IF(AL428="","",IF(AL428&lt;=50,"Good",IF(AL428&lt;=100,"Satisfactory",IF(AL428&lt;=200,"Moderate",IF(AL428&lt;=300,"Poor",IF(AL428&lt;=400,"Very Poor","Severe"))))))</f>
        <v>Moderate</v>
      </c>
    </row>
    <row r="429" customFormat="false" ht="15.75" hidden="false" customHeight="false" outlineLevel="0" collapsed="false">
      <c r="A429" s="1" t="s">
        <v>39</v>
      </c>
      <c r="B429" s="1" t="s">
        <v>40</v>
      </c>
      <c r="C429" s="1" t="n">
        <v>28.4595</v>
      </c>
      <c r="D429" s="1" t="n">
        <v>77.0266</v>
      </c>
      <c r="E429" s="5" t="n">
        <v>45918</v>
      </c>
      <c r="F429" s="6" t="s">
        <v>72</v>
      </c>
      <c r="G429" s="1" t="n">
        <v>9</v>
      </c>
      <c r="H429" s="7" t="s">
        <v>80</v>
      </c>
      <c r="I429" s="6" t="s">
        <v>43</v>
      </c>
      <c r="J429" s="7" t="s">
        <v>44</v>
      </c>
      <c r="K429" s="7" t="s">
        <v>71</v>
      </c>
      <c r="L429" s="1" t="n">
        <v>70</v>
      </c>
      <c r="M429" s="1" t="n">
        <v>24.1</v>
      </c>
      <c r="N429" s="1" t="n">
        <v>17.3</v>
      </c>
      <c r="O429" s="1" t="n">
        <v>0</v>
      </c>
      <c r="P429" s="6" t="s">
        <v>43</v>
      </c>
      <c r="Q429" s="6" t="s">
        <v>43</v>
      </c>
      <c r="R429" s="1" t="n">
        <v>1004.9</v>
      </c>
      <c r="S429" s="1" t="n">
        <v>9</v>
      </c>
      <c r="T429" s="1" t="n">
        <v>82.9</v>
      </c>
      <c r="U429" s="1" t="n">
        <v>121.5</v>
      </c>
      <c r="V429" s="1" t="n">
        <v>1246</v>
      </c>
      <c r="W429" s="1" t="n">
        <v>57.3</v>
      </c>
      <c r="X429" s="1" t="n">
        <v>41.3</v>
      </c>
      <c r="Y429" s="1" t="n">
        <v>103</v>
      </c>
      <c r="Z429" s="1" t="n">
        <v>70</v>
      </c>
      <c r="AA429" s="1" t="n">
        <v>181</v>
      </c>
      <c r="AB429" s="7" t="s">
        <v>81</v>
      </c>
      <c r="AC429" s="7" t="s">
        <v>88</v>
      </c>
      <c r="AD429" s="6" t="s">
        <v>43</v>
      </c>
      <c r="AE429" s="6" t="s">
        <v>43</v>
      </c>
      <c r="AF429" s="4" t="n">
        <f aca="false">IF(T429="","",IF(T429&lt;=30,(50/30)*T429,IF(T429&lt;=60,50+((100-50)/(60-30))*(T429-30),IF(T429&lt;=90,100+((200-100)/(90-60))*(T429-60),IF(T429&lt;=120,200+((300-200)/(120-90))*(T429-90),IF(T429&lt;=250,300+((400-300)/(250-120))*(T429-120),IF(T429&lt;=380,400+((500-400)/(380-250))*(T429-250),500)))))))</f>
        <v>176.333333333333</v>
      </c>
      <c r="AG429" s="4" t="n">
        <f aca="false">IF(U429="","",IF(U429&lt;=50,(50/50)*U429,IF(U429&lt;=100,50+((100-50)/(100-50))*(U429-50),IF(U429&lt;=250,100+((200-100)/(250-100))*(U429-100),IF(U429&lt;=350,200+((300-200)/(350-250))*(U429-250),IF(U429&lt;=430,300+((400-300)/(430-350))*(U429-350),IF(U429&lt;=600,400+((500-400)/(600-430))*(U429-430),500)))))))</f>
        <v>114.333333333333</v>
      </c>
      <c r="AH429" s="4" t="n">
        <f aca="false">IF(V429="","",IF((V429/1000)&lt;=1,(50/1)*(V429/1000),IF((V429/1000)&lt;=2,50+((100-50)/(2-1))*(V429/1000-1),IF((V429/1000)&lt;=10,100+((200-100)/(10-2))*(V429/1000-2),IF((V429/1000)&lt;=17,200+((300-200)/(17-10))*(V429/1000-10),IF((V429/1000)&lt;=34,300+((400-300)/(34-17))*(V429/1000-17),IF((V429/1000)&lt;=57,400+((500-400)/(57-34))*(V429/1000-34),500)))))))</f>
        <v>62.3</v>
      </c>
      <c r="AI429" s="4" t="n">
        <f aca="false">IF(W429="","",IF(W429&lt;=40,(50/40)*W429,IF(W429&lt;=80,50+((100-50)/(80-40))*(W429-40),IF(W429&lt;=180,100+((200-100)/(180-80))*(W429-80),IF(W429&lt;=280,200+((300-200)/(280-180))*(W429-180),IF(W429&lt;=400,300+((400-300)/(400-280))*(W429-280),IF(W429&lt;=800,400+((500-400)/(800-400))*(W429-400),500)))))))</f>
        <v>71.625</v>
      </c>
      <c r="AJ429" s="4" t="n">
        <f aca="false">IF(X429="","",IF(X429&lt;=40,(50/40)*X429,IF(X429&lt;=80,50+((100-50)/(80-40))*(X429-40),IF(X429&lt;=380,100+((200-100)/(380-80))*(X429-80),IF(X429&lt;=800,200+((300-200)/(800-380))*(X429-380),IF(X429&lt;=1600,300+((400-300)/(1600-800))*(X429-800),IF(X429&lt;=2100,400+((500-400)/(2100-1600))*(X429-1600),500)))))))</f>
        <v>51.625</v>
      </c>
      <c r="AK429" s="4" t="n">
        <f aca="false">IF(Y429="","",IF(Y429&lt;=50,(50/50)*Y429,IF(Y429&lt;=100,50+((100-50)/(100-50))*(Y429-50),IF(Y429&lt;=168,100+((200-100)/(168-100))*(Y429-100),IF(Y429&lt;=208,200+((300-200)/(208-168))*(Y429-168),IF(Y429&lt;=748,300+((400-300)/(748-208))*(Y429-208),IF(Y429&lt;=1000,400+((500-400)/(1000-748))*(Y429-748),500)))))))</f>
        <v>104.411764705882</v>
      </c>
      <c r="AL429" s="4" t="n">
        <f aca="false">ROUND(MAX(AF429,AG429,AH429,AI429,AJ429,AK429),0)</f>
        <v>176</v>
      </c>
      <c r="AM429" s="4" t="str">
        <f aca="false">IF(AL429="","",IF(AL429&lt;=50,"Good",IF(AL429&lt;=100,"Satisfactory",IF(AL429&lt;=200,"Moderate",IF(AL429&lt;=300,"Poor",IF(AL429&lt;=400,"Very Poor","Severe"))))))</f>
        <v>Moderate</v>
      </c>
    </row>
    <row r="430" customFormat="false" ht="15.75" hidden="false" customHeight="false" outlineLevel="0" collapsed="false">
      <c r="A430" s="1" t="s">
        <v>39</v>
      </c>
      <c r="B430" s="1" t="s">
        <v>40</v>
      </c>
      <c r="C430" s="1" t="n">
        <v>28.4595</v>
      </c>
      <c r="D430" s="1" t="n">
        <v>77.0266</v>
      </c>
      <c r="E430" s="5" t="n">
        <v>45918</v>
      </c>
      <c r="F430" s="6" t="s">
        <v>73</v>
      </c>
      <c r="G430" s="1" t="n">
        <v>9</v>
      </c>
      <c r="H430" s="7" t="s">
        <v>80</v>
      </c>
      <c r="I430" s="6" t="s">
        <v>43</v>
      </c>
      <c r="J430" s="7" t="s">
        <v>44</v>
      </c>
      <c r="K430" s="7" t="s">
        <v>71</v>
      </c>
      <c r="L430" s="1" t="n">
        <v>76</v>
      </c>
      <c r="M430" s="1" t="n">
        <v>24.6</v>
      </c>
      <c r="N430" s="1" t="n">
        <v>12.2</v>
      </c>
      <c r="O430" s="1" t="n">
        <v>0</v>
      </c>
      <c r="P430" s="6" t="s">
        <v>43</v>
      </c>
      <c r="Q430" s="6" t="s">
        <v>43</v>
      </c>
      <c r="R430" s="1" t="n">
        <v>1005.5</v>
      </c>
      <c r="S430" s="1" t="n">
        <v>8</v>
      </c>
      <c r="T430" s="1" t="n">
        <v>90.8</v>
      </c>
      <c r="U430" s="1" t="n">
        <v>121.5</v>
      </c>
      <c r="V430" s="1" t="n">
        <v>1657</v>
      </c>
      <c r="W430" s="1" t="n">
        <v>71.1</v>
      </c>
      <c r="X430" s="1" t="n">
        <v>41.9</v>
      </c>
      <c r="Y430" s="1" t="n">
        <v>66</v>
      </c>
      <c r="Z430" s="1" t="n">
        <v>60</v>
      </c>
      <c r="AA430" s="1" t="n">
        <v>165</v>
      </c>
      <c r="AB430" s="7" t="s">
        <v>81</v>
      </c>
      <c r="AC430" s="7" t="s">
        <v>90</v>
      </c>
      <c r="AD430" s="6" t="s">
        <v>43</v>
      </c>
      <c r="AE430" s="6" t="s">
        <v>43</v>
      </c>
      <c r="AF430" s="4" t="n">
        <f aca="false">IF(T430="","",IF(T430&lt;=30,(50/30)*T430,IF(T430&lt;=60,50+((100-50)/(60-30))*(T430-30),IF(T430&lt;=90,100+((200-100)/(90-60))*(T430-60),IF(T430&lt;=120,200+((300-200)/(120-90))*(T430-90),IF(T430&lt;=250,300+((400-300)/(250-120))*(T430-120),IF(T430&lt;=380,400+((500-400)/(380-250))*(T430-250),500)))))))</f>
        <v>202.666666666667</v>
      </c>
      <c r="AG430" s="4" t="n">
        <f aca="false">IF(U430="","",IF(U430&lt;=50,(50/50)*U430,IF(U430&lt;=100,50+((100-50)/(100-50))*(U430-50),IF(U430&lt;=250,100+((200-100)/(250-100))*(U430-100),IF(U430&lt;=350,200+((300-200)/(350-250))*(U430-250),IF(U430&lt;=430,300+((400-300)/(430-350))*(U430-350),IF(U430&lt;=600,400+((500-400)/(600-430))*(U430-430),500)))))))</f>
        <v>114.333333333333</v>
      </c>
      <c r="AH430" s="4" t="n">
        <f aca="false">IF(V430="","",IF((V430/1000)&lt;=1,(50/1)*(V430/1000),IF((V430/1000)&lt;=2,50+((100-50)/(2-1))*(V430/1000-1),IF((V430/1000)&lt;=10,100+((200-100)/(10-2))*(V430/1000-2),IF((V430/1000)&lt;=17,200+((300-200)/(17-10))*(V430/1000-10),IF((V430/1000)&lt;=34,300+((400-300)/(34-17))*(V430/1000-17),IF((V430/1000)&lt;=57,400+((500-400)/(57-34))*(V430/1000-34),500)))))))</f>
        <v>82.85</v>
      </c>
      <c r="AI430" s="4" t="n">
        <f aca="false">IF(W430="","",IF(W430&lt;=40,(50/40)*W430,IF(W430&lt;=80,50+((100-50)/(80-40))*(W430-40),IF(W430&lt;=180,100+((200-100)/(180-80))*(W430-80),IF(W430&lt;=280,200+((300-200)/(280-180))*(W430-180),IF(W430&lt;=400,300+((400-300)/(400-280))*(W430-280),IF(W430&lt;=800,400+((500-400)/(800-400))*(W430-400),500)))))))</f>
        <v>88.875</v>
      </c>
      <c r="AJ430" s="4" t="n">
        <f aca="false">IF(X430="","",IF(X430&lt;=40,(50/40)*X430,IF(X430&lt;=80,50+((100-50)/(80-40))*(X430-40),IF(X430&lt;=380,100+((200-100)/(380-80))*(X430-80),IF(X430&lt;=800,200+((300-200)/(800-380))*(X430-380),IF(X430&lt;=1600,300+((400-300)/(1600-800))*(X430-800),IF(X430&lt;=2100,400+((500-400)/(2100-1600))*(X430-1600),500)))))))</f>
        <v>52.375</v>
      </c>
      <c r="AK430" s="4" t="n">
        <f aca="false">IF(Y430="","",IF(Y430&lt;=50,(50/50)*Y430,IF(Y430&lt;=100,50+((100-50)/(100-50))*(Y430-50),IF(Y430&lt;=168,100+((200-100)/(168-100))*(Y430-100),IF(Y430&lt;=208,200+((300-200)/(208-168))*(Y430-168),IF(Y430&lt;=748,300+((400-300)/(748-208))*(Y430-208),IF(Y430&lt;=1000,400+((500-400)/(1000-748))*(Y430-748),500)))))))</f>
        <v>66</v>
      </c>
      <c r="AL430" s="4" t="n">
        <f aca="false">ROUND(MAX(AF430,AG430,AH430,AI430,AJ430,AK430),0)</f>
        <v>203</v>
      </c>
      <c r="AM430" s="4" t="str">
        <f aca="false">IF(AL430="","",IF(AL430&lt;=50,"Good",IF(AL430&lt;=100,"Satisfactory",IF(AL430&lt;=200,"Moderate",IF(AL430&lt;=300,"Poor",IF(AL430&lt;=400,"Very Poor","Severe"))))))</f>
        <v>Poor</v>
      </c>
    </row>
    <row r="431" customFormat="false" ht="15.75" hidden="false" customHeight="false" outlineLevel="0" collapsed="false">
      <c r="A431" s="1" t="s">
        <v>39</v>
      </c>
      <c r="B431" s="1" t="s">
        <v>40</v>
      </c>
      <c r="C431" s="1" t="n">
        <v>28.4595</v>
      </c>
      <c r="D431" s="1" t="n">
        <v>77.0266</v>
      </c>
      <c r="E431" s="5" t="n">
        <v>45918</v>
      </c>
      <c r="F431" s="6" t="s">
        <v>74</v>
      </c>
      <c r="G431" s="1" t="n">
        <v>9</v>
      </c>
      <c r="H431" s="7" t="s">
        <v>80</v>
      </c>
      <c r="I431" s="6" t="s">
        <v>43</v>
      </c>
      <c r="J431" s="7" t="s">
        <v>44</v>
      </c>
      <c r="K431" s="7" t="s">
        <v>75</v>
      </c>
      <c r="L431" s="1" t="n">
        <v>80</v>
      </c>
      <c r="M431" s="1" t="n">
        <v>24.6</v>
      </c>
      <c r="N431" s="1" t="n">
        <v>4.7</v>
      </c>
      <c r="O431" s="1" t="n">
        <v>0</v>
      </c>
      <c r="P431" s="6" t="s">
        <v>43</v>
      </c>
      <c r="Q431" s="6" t="s">
        <v>43</v>
      </c>
      <c r="R431" s="1" t="n">
        <v>1006.2</v>
      </c>
      <c r="S431" s="1" t="n">
        <v>7</v>
      </c>
      <c r="T431" s="1" t="n">
        <v>82</v>
      </c>
      <c r="U431" s="1" t="n">
        <v>104.5</v>
      </c>
      <c r="V431" s="1" t="n">
        <v>1938</v>
      </c>
      <c r="W431" s="1" t="n">
        <v>67.8</v>
      </c>
      <c r="X431" s="1" t="n">
        <v>38.4</v>
      </c>
      <c r="Y431" s="1" t="n">
        <v>56</v>
      </c>
      <c r="Z431" s="1" t="n">
        <v>50</v>
      </c>
      <c r="AA431" s="1" t="n">
        <v>155</v>
      </c>
      <c r="AB431" s="7" t="s">
        <v>81</v>
      </c>
      <c r="AC431" s="7" t="s">
        <v>88</v>
      </c>
      <c r="AD431" s="6" t="s">
        <v>43</v>
      </c>
      <c r="AE431" s="6" t="s">
        <v>43</v>
      </c>
      <c r="AF431" s="4" t="n">
        <f aca="false">IF(T431="","",IF(T431&lt;=30,(50/30)*T431,IF(T431&lt;=60,50+((100-50)/(60-30))*(T431-30),IF(T431&lt;=90,100+((200-100)/(90-60))*(T431-60),IF(T431&lt;=120,200+((300-200)/(120-90))*(T431-90),IF(T431&lt;=250,300+((400-300)/(250-120))*(T431-120),IF(T431&lt;=380,400+((500-400)/(380-250))*(T431-250),500)))))))</f>
        <v>173.333333333333</v>
      </c>
      <c r="AG431" s="4" t="n">
        <f aca="false">IF(U431="","",IF(U431&lt;=50,(50/50)*U431,IF(U431&lt;=100,50+((100-50)/(100-50))*(U431-50),IF(U431&lt;=250,100+((200-100)/(250-100))*(U431-100),IF(U431&lt;=350,200+((300-200)/(350-250))*(U431-250),IF(U431&lt;=430,300+((400-300)/(430-350))*(U431-350),IF(U431&lt;=600,400+((500-400)/(600-430))*(U431-430),500)))))))</f>
        <v>103</v>
      </c>
      <c r="AH431" s="4" t="n">
        <f aca="false">IF(V431="","",IF((V431/1000)&lt;=1,(50/1)*(V431/1000),IF((V431/1000)&lt;=2,50+((100-50)/(2-1))*(V431/1000-1),IF((V431/1000)&lt;=10,100+((200-100)/(10-2))*(V431/1000-2),IF((V431/1000)&lt;=17,200+((300-200)/(17-10))*(V431/1000-10),IF((V431/1000)&lt;=34,300+((400-300)/(34-17))*(V431/1000-17),IF((V431/1000)&lt;=57,400+((500-400)/(57-34))*(V431/1000-34),500)))))))</f>
        <v>96.9</v>
      </c>
      <c r="AI431" s="4" t="n">
        <f aca="false">IF(W431="","",IF(W431&lt;=40,(50/40)*W431,IF(W431&lt;=80,50+((100-50)/(80-40))*(W431-40),IF(W431&lt;=180,100+((200-100)/(180-80))*(W431-80),IF(W431&lt;=280,200+((300-200)/(280-180))*(W431-180),IF(W431&lt;=400,300+((400-300)/(400-280))*(W431-280),IF(W431&lt;=800,400+((500-400)/(800-400))*(W431-400),500)))))))</f>
        <v>84.75</v>
      </c>
      <c r="AJ431" s="4" t="n">
        <f aca="false">IF(X431="","",IF(X431&lt;=40,(50/40)*X431,IF(X431&lt;=80,50+((100-50)/(80-40))*(X431-40),IF(X431&lt;=380,100+((200-100)/(380-80))*(X431-80),IF(X431&lt;=800,200+((300-200)/(800-380))*(X431-380),IF(X431&lt;=1600,300+((400-300)/(1600-800))*(X431-800),IF(X431&lt;=2100,400+((500-400)/(2100-1600))*(X431-1600),500)))))))</f>
        <v>48</v>
      </c>
      <c r="AK431" s="4" t="n">
        <f aca="false">IF(Y431="","",IF(Y431&lt;=50,(50/50)*Y431,IF(Y431&lt;=100,50+((100-50)/(100-50))*(Y431-50),IF(Y431&lt;=168,100+((200-100)/(168-100))*(Y431-100),IF(Y431&lt;=208,200+((300-200)/(208-168))*(Y431-168),IF(Y431&lt;=748,300+((400-300)/(748-208))*(Y431-208),IF(Y431&lt;=1000,400+((500-400)/(1000-748))*(Y431-748),500)))))))</f>
        <v>56</v>
      </c>
      <c r="AL431" s="4" t="n">
        <f aca="false">ROUND(MAX(AF431,AG431,AH431,AI431,AJ431,AK431),0)</f>
        <v>173</v>
      </c>
      <c r="AM431" s="4" t="str">
        <f aca="false">IF(AL431="","",IF(AL431&lt;=50,"Good",IF(AL431&lt;=100,"Satisfactory",IF(AL431&lt;=200,"Moderate",IF(AL431&lt;=300,"Poor",IF(AL431&lt;=400,"Very Poor","Severe"))))))</f>
        <v>Moderate</v>
      </c>
    </row>
    <row r="432" customFormat="false" ht="15.75" hidden="false" customHeight="false" outlineLevel="0" collapsed="false">
      <c r="A432" s="1" t="s">
        <v>39</v>
      </c>
      <c r="B432" s="1" t="s">
        <v>40</v>
      </c>
      <c r="C432" s="1" t="n">
        <v>28.4595</v>
      </c>
      <c r="D432" s="1" t="n">
        <v>77.0266</v>
      </c>
      <c r="E432" s="5" t="n">
        <v>45918</v>
      </c>
      <c r="F432" s="6" t="s">
        <v>76</v>
      </c>
      <c r="G432" s="1" t="n">
        <v>9</v>
      </c>
      <c r="H432" s="7" t="s">
        <v>80</v>
      </c>
      <c r="I432" s="6" t="s">
        <v>43</v>
      </c>
      <c r="J432" s="7" t="s">
        <v>44</v>
      </c>
      <c r="K432" s="7" t="s">
        <v>75</v>
      </c>
      <c r="L432" s="1" t="n">
        <v>83</v>
      </c>
      <c r="M432" s="1" t="n">
        <v>24.6</v>
      </c>
      <c r="N432" s="1" t="n">
        <v>13</v>
      </c>
      <c r="O432" s="1" t="n">
        <v>0</v>
      </c>
      <c r="P432" s="6" t="s">
        <v>43</v>
      </c>
      <c r="Q432" s="6" t="s">
        <v>43</v>
      </c>
      <c r="R432" s="1" t="n">
        <v>1006.3</v>
      </c>
      <c r="S432" s="1" t="n">
        <v>4</v>
      </c>
      <c r="T432" s="1" t="n">
        <v>77.1</v>
      </c>
      <c r="U432" s="1" t="n">
        <v>95.9</v>
      </c>
      <c r="V432" s="1" t="n">
        <v>2126</v>
      </c>
      <c r="W432" s="1" t="n">
        <v>55.7</v>
      </c>
      <c r="X432" s="1" t="n">
        <v>32.7</v>
      </c>
      <c r="Y432" s="1" t="n">
        <v>59</v>
      </c>
      <c r="Z432" s="1" t="n">
        <v>40</v>
      </c>
      <c r="AA432" s="1" t="n">
        <v>155</v>
      </c>
      <c r="AB432" s="7" t="s">
        <v>81</v>
      </c>
      <c r="AC432" s="7" t="s">
        <v>88</v>
      </c>
      <c r="AD432" s="6" t="s">
        <v>43</v>
      </c>
      <c r="AE432" s="6" t="s">
        <v>43</v>
      </c>
      <c r="AF432" s="4" t="n">
        <f aca="false">IF(T432="","",IF(T432&lt;=30,(50/30)*T432,IF(T432&lt;=60,50+((100-50)/(60-30))*(T432-30),IF(T432&lt;=90,100+((200-100)/(90-60))*(T432-60),IF(T432&lt;=120,200+((300-200)/(120-90))*(T432-90),IF(T432&lt;=250,300+((400-300)/(250-120))*(T432-120),IF(T432&lt;=380,400+((500-400)/(380-250))*(T432-250),500)))))))</f>
        <v>157</v>
      </c>
      <c r="AG432" s="4" t="n">
        <f aca="false">IF(U432="","",IF(U432&lt;=50,(50/50)*U432,IF(U432&lt;=100,50+((100-50)/(100-50))*(U432-50),IF(U432&lt;=250,100+((200-100)/(250-100))*(U432-100),IF(U432&lt;=350,200+((300-200)/(350-250))*(U432-250),IF(U432&lt;=430,300+((400-300)/(430-350))*(U432-350),IF(U432&lt;=600,400+((500-400)/(600-430))*(U432-430),500)))))))</f>
        <v>95.9</v>
      </c>
      <c r="AH432" s="4" t="n">
        <f aca="false">IF(V432="","",IF((V432/1000)&lt;=1,(50/1)*(V432/1000),IF((V432/1000)&lt;=2,50+((100-50)/(2-1))*(V432/1000-1),IF((V432/1000)&lt;=10,100+((200-100)/(10-2))*(V432/1000-2),IF((V432/1000)&lt;=17,200+((300-200)/(17-10))*(V432/1000-10),IF((V432/1000)&lt;=34,300+((400-300)/(34-17))*(V432/1000-17),IF((V432/1000)&lt;=57,400+((500-400)/(57-34))*(V432/1000-34),500)))))))</f>
        <v>101.575</v>
      </c>
      <c r="AI432" s="4" t="n">
        <f aca="false">IF(W432="","",IF(W432&lt;=40,(50/40)*W432,IF(W432&lt;=80,50+((100-50)/(80-40))*(W432-40),IF(W432&lt;=180,100+((200-100)/(180-80))*(W432-80),IF(W432&lt;=280,200+((300-200)/(280-180))*(W432-180),IF(W432&lt;=400,300+((400-300)/(400-280))*(W432-280),IF(W432&lt;=800,400+((500-400)/(800-400))*(W432-400),500)))))))</f>
        <v>69.625</v>
      </c>
      <c r="AJ432" s="4" t="n">
        <f aca="false">IF(X432="","",IF(X432&lt;=40,(50/40)*X432,IF(X432&lt;=80,50+((100-50)/(80-40))*(X432-40),IF(X432&lt;=380,100+((200-100)/(380-80))*(X432-80),IF(X432&lt;=800,200+((300-200)/(800-380))*(X432-380),IF(X432&lt;=1600,300+((400-300)/(1600-800))*(X432-800),IF(X432&lt;=2100,400+((500-400)/(2100-1600))*(X432-1600),500)))))))</f>
        <v>40.875</v>
      </c>
      <c r="AK432" s="4" t="n">
        <f aca="false">IF(Y432="","",IF(Y432&lt;=50,(50/50)*Y432,IF(Y432&lt;=100,50+((100-50)/(100-50))*(Y432-50),IF(Y432&lt;=168,100+((200-100)/(168-100))*(Y432-100),IF(Y432&lt;=208,200+((300-200)/(208-168))*(Y432-168),IF(Y432&lt;=748,300+((400-300)/(748-208))*(Y432-208),IF(Y432&lt;=1000,400+((500-400)/(1000-748))*(Y432-748),500)))))))</f>
        <v>59</v>
      </c>
      <c r="AL432" s="4" t="n">
        <f aca="false">ROUND(MAX(AF432,AG432,AH432,AI432,AJ432,AK432),0)</f>
        <v>157</v>
      </c>
      <c r="AM432" s="4" t="str">
        <f aca="false">IF(AL432="","",IF(AL432&lt;=50,"Good",IF(AL432&lt;=100,"Satisfactory",IF(AL432&lt;=200,"Moderate",IF(AL432&lt;=300,"Poor",IF(AL432&lt;=400,"Very Poor","Severe"))))))</f>
        <v>Moderate</v>
      </c>
    </row>
    <row r="433" customFormat="false" ht="15.75" hidden="false" customHeight="false" outlineLevel="0" collapsed="false">
      <c r="A433" s="1" t="s">
        <v>39</v>
      </c>
      <c r="B433" s="1" t="s">
        <v>40</v>
      </c>
      <c r="C433" s="1" t="n">
        <v>28.4595</v>
      </c>
      <c r="D433" s="1" t="n">
        <v>77.0266</v>
      </c>
      <c r="E433" s="5" t="n">
        <v>45918</v>
      </c>
      <c r="F433" s="6" t="s">
        <v>77</v>
      </c>
      <c r="G433" s="1" t="n">
        <v>9</v>
      </c>
      <c r="H433" s="7" t="s">
        <v>80</v>
      </c>
      <c r="I433" s="6" t="s">
        <v>43</v>
      </c>
      <c r="J433" s="7" t="s">
        <v>44</v>
      </c>
      <c r="K433" s="7" t="s">
        <v>75</v>
      </c>
      <c r="L433" s="1" t="n">
        <v>85</v>
      </c>
      <c r="M433" s="1" t="n">
        <v>24.5</v>
      </c>
      <c r="N433" s="1" t="n">
        <v>16.2</v>
      </c>
      <c r="O433" s="1" t="n">
        <v>0</v>
      </c>
      <c r="P433" s="6" t="s">
        <v>43</v>
      </c>
      <c r="Q433" s="6" t="s">
        <v>43</v>
      </c>
      <c r="R433" s="1" t="n">
        <v>1006.2</v>
      </c>
      <c r="S433" s="1" t="n">
        <v>2</v>
      </c>
      <c r="T433" s="1" t="n">
        <v>73.6</v>
      </c>
      <c r="U433" s="1" t="n">
        <v>89.9</v>
      </c>
      <c r="V433" s="1" t="n">
        <v>2104</v>
      </c>
      <c r="W433" s="1" t="n">
        <v>45.6</v>
      </c>
      <c r="X433" s="1" t="n">
        <v>27.6</v>
      </c>
      <c r="Y433" s="1" t="n">
        <v>61</v>
      </c>
      <c r="Z433" s="1" t="n">
        <v>32</v>
      </c>
      <c r="AA433" s="1" t="n">
        <v>155</v>
      </c>
      <c r="AB433" s="7" t="s">
        <v>81</v>
      </c>
      <c r="AC433" s="7" t="s">
        <v>88</v>
      </c>
      <c r="AD433" s="6" t="s">
        <v>43</v>
      </c>
      <c r="AE433" s="6" t="s">
        <v>43</v>
      </c>
      <c r="AF433" s="4" t="n">
        <f aca="false">IF(T433="","",IF(T433&lt;=30,(50/30)*T433,IF(T433&lt;=60,50+((100-50)/(60-30))*(T433-30),IF(T433&lt;=90,100+((200-100)/(90-60))*(T433-60),IF(T433&lt;=120,200+((300-200)/(120-90))*(T433-90),IF(T433&lt;=250,300+((400-300)/(250-120))*(T433-120),IF(T433&lt;=380,400+((500-400)/(380-250))*(T433-250),500)))))))</f>
        <v>145.333333333333</v>
      </c>
      <c r="AG433" s="4" t="n">
        <f aca="false">IF(U433="","",IF(U433&lt;=50,(50/50)*U433,IF(U433&lt;=100,50+((100-50)/(100-50))*(U433-50),IF(U433&lt;=250,100+((200-100)/(250-100))*(U433-100),IF(U433&lt;=350,200+((300-200)/(350-250))*(U433-250),IF(U433&lt;=430,300+((400-300)/(430-350))*(U433-350),IF(U433&lt;=600,400+((500-400)/(600-430))*(U433-430),500)))))))</f>
        <v>89.9</v>
      </c>
      <c r="AH433" s="4" t="n">
        <f aca="false">IF(V433="","",IF((V433/1000)&lt;=1,(50/1)*(V433/1000),IF((V433/1000)&lt;=2,50+((100-50)/(2-1))*(V433/1000-1),IF((V433/1000)&lt;=10,100+((200-100)/(10-2))*(V433/1000-2),IF((V433/1000)&lt;=17,200+((300-200)/(17-10))*(V433/1000-10),IF((V433/1000)&lt;=34,300+((400-300)/(34-17))*(V433/1000-17),IF((V433/1000)&lt;=57,400+((500-400)/(57-34))*(V433/1000-34),500)))))))</f>
        <v>101.3</v>
      </c>
      <c r="AI433" s="4" t="n">
        <f aca="false">IF(W433="","",IF(W433&lt;=40,(50/40)*W433,IF(W433&lt;=80,50+((100-50)/(80-40))*(W433-40),IF(W433&lt;=180,100+((200-100)/(180-80))*(W433-80),IF(W433&lt;=280,200+((300-200)/(280-180))*(W433-180),IF(W433&lt;=400,300+((400-300)/(400-280))*(W433-280),IF(W433&lt;=800,400+((500-400)/(800-400))*(W433-400),500)))))))</f>
        <v>57</v>
      </c>
      <c r="AJ433" s="4" t="n">
        <f aca="false">IF(X433="","",IF(X433&lt;=40,(50/40)*X433,IF(X433&lt;=80,50+((100-50)/(80-40))*(X433-40),IF(X433&lt;=380,100+((200-100)/(380-80))*(X433-80),IF(X433&lt;=800,200+((300-200)/(800-380))*(X433-380),IF(X433&lt;=1600,300+((400-300)/(1600-800))*(X433-800),IF(X433&lt;=2100,400+((500-400)/(2100-1600))*(X433-1600),500)))))))</f>
        <v>34.5</v>
      </c>
      <c r="AK433" s="4" t="n">
        <f aca="false">IF(Y433="","",IF(Y433&lt;=50,(50/50)*Y433,IF(Y433&lt;=100,50+((100-50)/(100-50))*(Y433-50),IF(Y433&lt;=168,100+((200-100)/(168-100))*(Y433-100),IF(Y433&lt;=208,200+((300-200)/(208-168))*(Y433-168),IF(Y433&lt;=748,300+((400-300)/(748-208))*(Y433-208),IF(Y433&lt;=1000,400+((500-400)/(1000-748))*(Y433-748),500)))))))</f>
        <v>61</v>
      </c>
      <c r="AL433" s="4" t="n">
        <f aca="false">ROUND(MAX(AF433,AG433,AH433,AI433,AJ433,AK433),0)</f>
        <v>145</v>
      </c>
      <c r="AM433" s="4" t="str">
        <f aca="false">IF(AL433="","",IF(AL433&lt;=50,"Good",IF(AL433&lt;=100,"Satisfactory",IF(AL433&lt;=200,"Moderate",IF(AL433&lt;=300,"Poor",IF(AL433&lt;=400,"Very Poor","Severe"))))))</f>
        <v>Moderate</v>
      </c>
    </row>
    <row r="434" customFormat="false" ht="15.75" hidden="false" customHeight="false" outlineLevel="0" collapsed="false">
      <c r="A434" s="1" t="s">
        <v>39</v>
      </c>
      <c r="B434" s="1" t="s">
        <v>40</v>
      </c>
      <c r="C434" s="1" t="n">
        <v>28.4595</v>
      </c>
      <c r="D434" s="1" t="n">
        <v>77.0266</v>
      </c>
      <c r="E434" s="5" t="n">
        <v>45919</v>
      </c>
      <c r="F434" s="6" t="s">
        <v>41</v>
      </c>
      <c r="G434" s="1" t="n">
        <v>9</v>
      </c>
      <c r="H434" s="7" t="s">
        <v>85</v>
      </c>
      <c r="I434" s="6" t="s">
        <v>43</v>
      </c>
      <c r="J434" s="7" t="s">
        <v>44</v>
      </c>
      <c r="K434" s="7" t="s">
        <v>45</v>
      </c>
      <c r="L434" s="1" t="n">
        <v>86</v>
      </c>
      <c r="M434" s="1" t="n">
        <v>24.4</v>
      </c>
      <c r="N434" s="1" t="n">
        <v>15.8</v>
      </c>
      <c r="O434" s="1" t="n">
        <v>0</v>
      </c>
      <c r="P434" s="6" t="s">
        <v>43</v>
      </c>
      <c r="Q434" s="6" t="s">
        <v>43</v>
      </c>
      <c r="R434" s="1" t="n">
        <v>1005.9</v>
      </c>
      <c r="S434" s="1" t="n">
        <v>1</v>
      </c>
      <c r="T434" s="1" t="n">
        <v>68.7</v>
      </c>
      <c r="U434" s="1" t="n">
        <v>83.4</v>
      </c>
      <c r="V434" s="1" t="n">
        <v>1707</v>
      </c>
      <c r="W434" s="1" t="n">
        <v>41.1</v>
      </c>
      <c r="X434" s="1" t="n">
        <v>24</v>
      </c>
      <c r="Y434" s="1" t="n">
        <v>57</v>
      </c>
      <c r="Z434" s="1" t="n">
        <v>28</v>
      </c>
      <c r="AA434" s="1" t="n">
        <v>155</v>
      </c>
      <c r="AB434" s="7" t="s">
        <v>81</v>
      </c>
      <c r="AC434" s="7" t="s">
        <v>88</v>
      </c>
      <c r="AD434" s="6" t="s">
        <v>43</v>
      </c>
      <c r="AE434" s="6" t="s">
        <v>43</v>
      </c>
      <c r="AF434" s="4" t="n">
        <f aca="false">IF(T434="","",IF(T434&lt;=30,(50/30)*T434,IF(T434&lt;=60,50+((100-50)/(60-30))*(T434-30),IF(T434&lt;=90,100+((200-100)/(90-60))*(T434-60),IF(T434&lt;=120,200+((300-200)/(120-90))*(T434-90),IF(T434&lt;=250,300+((400-300)/(250-120))*(T434-120),IF(T434&lt;=380,400+((500-400)/(380-250))*(T434-250),500)))))))</f>
        <v>129</v>
      </c>
      <c r="AG434" s="4" t="n">
        <f aca="false">IF(U434="","",IF(U434&lt;=50,(50/50)*U434,IF(U434&lt;=100,50+((100-50)/(100-50))*(U434-50),IF(U434&lt;=250,100+((200-100)/(250-100))*(U434-100),IF(U434&lt;=350,200+((300-200)/(350-250))*(U434-250),IF(U434&lt;=430,300+((400-300)/(430-350))*(U434-350),IF(U434&lt;=600,400+((500-400)/(600-430))*(U434-430),500)))))))</f>
        <v>83.4</v>
      </c>
      <c r="AH434" s="4" t="n">
        <f aca="false">IF(V434="","",IF((V434/1000)&lt;=1,(50/1)*(V434/1000),IF((V434/1000)&lt;=2,50+((100-50)/(2-1))*(V434/1000-1),IF((V434/1000)&lt;=10,100+((200-100)/(10-2))*(V434/1000-2),IF((V434/1000)&lt;=17,200+((300-200)/(17-10))*(V434/1000-10),IF((V434/1000)&lt;=34,300+((400-300)/(34-17))*(V434/1000-17),IF((V434/1000)&lt;=57,400+((500-400)/(57-34))*(V434/1000-34),500)))))))</f>
        <v>85.35</v>
      </c>
      <c r="AI434" s="4" t="n">
        <f aca="false">IF(W434="","",IF(W434&lt;=40,(50/40)*W434,IF(W434&lt;=80,50+((100-50)/(80-40))*(W434-40),IF(W434&lt;=180,100+((200-100)/(180-80))*(W434-80),IF(W434&lt;=280,200+((300-200)/(280-180))*(W434-180),IF(W434&lt;=400,300+((400-300)/(400-280))*(W434-280),IF(W434&lt;=800,400+((500-400)/(800-400))*(W434-400),500)))))))</f>
        <v>51.375</v>
      </c>
      <c r="AJ434" s="4" t="n">
        <f aca="false">IF(X434="","",IF(X434&lt;=40,(50/40)*X434,IF(X434&lt;=80,50+((100-50)/(80-40))*(X434-40),IF(X434&lt;=380,100+((200-100)/(380-80))*(X434-80),IF(X434&lt;=800,200+((300-200)/(800-380))*(X434-380),IF(X434&lt;=1600,300+((400-300)/(1600-800))*(X434-800),IF(X434&lt;=2100,400+((500-400)/(2100-1600))*(X434-1600),500)))))))</f>
        <v>30</v>
      </c>
      <c r="AK434" s="4" t="n">
        <f aca="false">IF(Y434="","",IF(Y434&lt;=50,(50/50)*Y434,IF(Y434&lt;=100,50+((100-50)/(100-50))*(Y434-50),IF(Y434&lt;=168,100+((200-100)/(168-100))*(Y434-100),IF(Y434&lt;=208,200+((300-200)/(208-168))*(Y434-168),IF(Y434&lt;=748,300+((400-300)/(748-208))*(Y434-208),IF(Y434&lt;=1000,400+((500-400)/(1000-748))*(Y434-748),500)))))))</f>
        <v>57</v>
      </c>
      <c r="AL434" s="4" t="n">
        <f aca="false">ROUND(MAX(AF434,AG434,AH434,AI434,AJ434,AK434),0)</f>
        <v>129</v>
      </c>
      <c r="AM434" s="4" t="str">
        <f aca="false">IF(AL434="","",IF(AL434&lt;=50,"Good",IF(AL434&lt;=100,"Satisfactory",IF(AL434&lt;=200,"Moderate",IF(AL434&lt;=300,"Poor",IF(AL434&lt;=400,"Very Poor","Severe"))))))</f>
        <v>Moderate</v>
      </c>
    </row>
    <row r="435" customFormat="false" ht="15.75" hidden="false" customHeight="false" outlineLevel="0" collapsed="false">
      <c r="A435" s="1" t="s">
        <v>39</v>
      </c>
      <c r="B435" s="1" t="s">
        <v>40</v>
      </c>
      <c r="C435" s="1" t="n">
        <v>28.4595</v>
      </c>
      <c r="D435" s="1" t="n">
        <v>77.0266</v>
      </c>
      <c r="E435" s="5" t="n">
        <v>45919</v>
      </c>
      <c r="F435" s="6" t="s">
        <v>49</v>
      </c>
      <c r="G435" s="1" t="n">
        <v>9</v>
      </c>
      <c r="H435" s="7" t="s">
        <v>85</v>
      </c>
      <c r="I435" s="6" t="s">
        <v>43</v>
      </c>
      <c r="J435" s="7" t="s">
        <v>44</v>
      </c>
      <c r="K435" s="7" t="s">
        <v>45</v>
      </c>
      <c r="L435" s="1" t="n">
        <v>87</v>
      </c>
      <c r="M435" s="1" t="n">
        <v>24.3</v>
      </c>
      <c r="N435" s="1" t="n">
        <v>13</v>
      </c>
      <c r="O435" s="1" t="n">
        <v>0</v>
      </c>
      <c r="P435" s="6" t="s">
        <v>43</v>
      </c>
      <c r="Q435" s="6" t="s">
        <v>43</v>
      </c>
      <c r="R435" s="1" t="n">
        <v>1005.6</v>
      </c>
      <c r="S435" s="1" t="n">
        <v>0</v>
      </c>
      <c r="T435" s="1" t="n">
        <v>64.7</v>
      </c>
      <c r="U435" s="1" t="n">
        <v>78</v>
      </c>
      <c r="V435" s="1" t="n">
        <v>1100</v>
      </c>
      <c r="W435" s="1" t="n">
        <v>38.6</v>
      </c>
      <c r="X435" s="1" t="n">
        <v>21</v>
      </c>
      <c r="Y435" s="1" t="n">
        <v>53</v>
      </c>
      <c r="Z435" s="1" t="n">
        <v>26</v>
      </c>
      <c r="AA435" s="1" t="n">
        <v>155</v>
      </c>
      <c r="AB435" s="7" t="s">
        <v>81</v>
      </c>
      <c r="AC435" s="7" t="s">
        <v>88</v>
      </c>
      <c r="AD435" s="6" t="s">
        <v>43</v>
      </c>
      <c r="AE435" s="6" t="s">
        <v>43</v>
      </c>
      <c r="AF435" s="4" t="n">
        <f aca="false">IF(T435="","",IF(T435&lt;=30,(50/30)*T435,IF(T435&lt;=60,50+((100-50)/(60-30))*(T435-30),IF(T435&lt;=90,100+((200-100)/(90-60))*(T435-60),IF(T435&lt;=120,200+((300-200)/(120-90))*(T435-90),IF(T435&lt;=250,300+((400-300)/(250-120))*(T435-120),IF(T435&lt;=380,400+((500-400)/(380-250))*(T435-250),500)))))))</f>
        <v>115.666666666667</v>
      </c>
      <c r="AG435" s="4" t="n">
        <f aca="false">IF(U435="","",IF(U435&lt;=50,(50/50)*U435,IF(U435&lt;=100,50+((100-50)/(100-50))*(U435-50),IF(U435&lt;=250,100+((200-100)/(250-100))*(U435-100),IF(U435&lt;=350,200+((300-200)/(350-250))*(U435-250),IF(U435&lt;=430,300+((400-300)/(430-350))*(U435-350),IF(U435&lt;=600,400+((500-400)/(600-430))*(U435-430),500)))))))</f>
        <v>78</v>
      </c>
      <c r="AH435" s="4" t="n">
        <f aca="false">IF(V435="","",IF((V435/1000)&lt;=1,(50/1)*(V435/1000),IF((V435/1000)&lt;=2,50+((100-50)/(2-1))*(V435/1000-1),IF((V435/1000)&lt;=10,100+((200-100)/(10-2))*(V435/1000-2),IF((V435/1000)&lt;=17,200+((300-200)/(17-10))*(V435/1000-10),IF((V435/1000)&lt;=34,300+((400-300)/(34-17))*(V435/1000-17),IF((V435/1000)&lt;=57,400+((500-400)/(57-34))*(V435/1000-34),500)))))))</f>
        <v>55</v>
      </c>
      <c r="AI435" s="4" t="n">
        <f aca="false">IF(W435="","",IF(W435&lt;=40,(50/40)*W435,IF(W435&lt;=80,50+((100-50)/(80-40))*(W435-40),IF(W435&lt;=180,100+((200-100)/(180-80))*(W435-80),IF(W435&lt;=280,200+((300-200)/(280-180))*(W435-180),IF(W435&lt;=400,300+((400-300)/(400-280))*(W435-280),IF(W435&lt;=800,400+((500-400)/(800-400))*(W435-400),500)))))))</f>
        <v>48.25</v>
      </c>
      <c r="AJ435" s="4" t="n">
        <f aca="false">IF(X435="","",IF(X435&lt;=40,(50/40)*X435,IF(X435&lt;=80,50+((100-50)/(80-40))*(X435-40),IF(X435&lt;=380,100+((200-100)/(380-80))*(X435-80),IF(X435&lt;=800,200+((300-200)/(800-380))*(X435-380),IF(X435&lt;=1600,300+((400-300)/(1600-800))*(X435-800),IF(X435&lt;=2100,400+((500-400)/(2100-1600))*(X435-1600),500)))))))</f>
        <v>26.25</v>
      </c>
      <c r="AK435" s="4" t="n">
        <f aca="false">IF(Y435="","",IF(Y435&lt;=50,(50/50)*Y435,IF(Y435&lt;=100,50+((100-50)/(100-50))*(Y435-50),IF(Y435&lt;=168,100+((200-100)/(168-100))*(Y435-100),IF(Y435&lt;=208,200+((300-200)/(208-168))*(Y435-168),IF(Y435&lt;=748,300+((400-300)/(748-208))*(Y435-208),IF(Y435&lt;=1000,400+((500-400)/(1000-748))*(Y435-748),500)))))))</f>
        <v>53</v>
      </c>
      <c r="AL435" s="4" t="n">
        <f aca="false">ROUND(MAX(AF435,AG435,AH435,AI435,AJ435,AK435),0)</f>
        <v>116</v>
      </c>
      <c r="AM435" s="4" t="str">
        <f aca="false">IF(AL435="","",IF(AL435&lt;=50,"Good",IF(AL435&lt;=100,"Satisfactory",IF(AL435&lt;=200,"Moderate",IF(AL435&lt;=300,"Poor",IF(AL435&lt;=400,"Very Poor","Severe"))))))</f>
        <v>Moderate</v>
      </c>
    </row>
    <row r="436" customFormat="false" ht="15.75" hidden="false" customHeight="false" outlineLevel="0" collapsed="false">
      <c r="A436" s="1" t="s">
        <v>39</v>
      </c>
      <c r="B436" s="1" t="s">
        <v>40</v>
      </c>
      <c r="C436" s="1" t="n">
        <v>28.4595</v>
      </c>
      <c r="D436" s="1" t="n">
        <v>77.0266</v>
      </c>
      <c r="E436" s="5" t="n">
        <v>45919</v>
      </c>
      <c r="F436" s="6" t="s">
        <v>51</v>
      </c>
      <c r="G436" s="1" t="n">
        <v>9</v>
      </c>
      <c r="H436" s="7" t="s">
        <v>85</v>
      </c>
      <c r="I436" s="6" t="s">
        <v>43</v>
      </c>
      <c r="J436" s="7" t="s">
        <v>44</v>
      </c>
      <c r="K436" s="7" t="s">
        <v>45</v>
      </c>
      <c r="L436" s="1" t="n">
        <v>89</v>
      </c>
      <c r="M436" s="1" t="n">
        <v>24.3</v>
      </c>
      <c r="N436" s="1" t="n">
        <v>12.2</v>
      </c>
      <c r="O436" s="1" t="n">
        <v>0</v>
      </c>
      <c r="P436" s="6" t="s">
        <v>43</v>
      </c>
      <c r="Q436" s="6" t="s">
        <v>43</v>
      </c>
      <c r="R436" s="1" t="n">
        <v>1005.5</v>
      </c>
      <c r="S436" s="1" t="n">
        <v>0</v>
      </c>
      <c r="T436" s="1" t="n">
        <v>64</v>
      </c>
      <c r="U436" s="1" t="n">
        <v>77.3</v>
      </c>
      <c r="V436" s="1" t="n">
        <v>653</v>
      </c>
      <c r="W436" s="1" t="n">
        <v>37.2</v>
      </c>
      <c r="X436" s="1" t="n">
        <v>18.8</v>
      </c>
      <c r="Y436" s="1" t="n">
        <v>47</v>
      </c>
      <c r="Z436" s="1" t="n">
        <v>25</v>
      </c>
      <c r="AA436" s="1" t="n">
        <v>155</v>
      </c>
      <c r="AB436" s="7" t="s">
        <v>81</v>
      </c>
      <c r="AC436" s="7" t="s">
        <v>88</v>
      </c>
      <c r="AD436" s="6" t="s">
        <v>43</v>
      </c>
      <c r="AE436" s="6" t="s">
        <v>43</v>
      </c>
      <c r="AF436" s="4" t="n">
        <f aca="false">IF(T436="","",IF(T436&lt;=30,(50/30)*T436,IF(T436&lt;=60,50+((100-50)/(60-30))*(T436-30),IF(T436&lt;=90,100+((200-100)/(90-60))*(T436-60),IF(T436&lt;=120,200+((300-200)/(120-90))*(T436-90),IF(T436&lt;=250,300+((400-300)/(250-120))*(T436-120),IF(T436&lt;=380,400+((500-400)/(380-250))*(T436-250),500)))))))</f>
        <v>113.333333333333</v>
      </c>
      <c r="AG436" s="4" t="n">
        <f aca="false">IF(U436="","",IF(U436&lt;=50,(50/50)*U436,IF(U436&lt;=100,50+((100-50)/(100-50))*(U436-50),IF(U436&lt;=250,100+((200-100)/(250-100))*(U436-100),IF(U436&lt;=350,200+((300-200)/(350-250))*(U436-250),IF(U436&lt;=430,300+((400-300)/(430-350))*(U436-350),IF(U436&lt;=600,400+((500-400)/(600-430))*(U436-430),500)))))))</f>
        <v>77.3</v>
      </c>
      <c r="AH436" s="4" t="n">
        <f aca="false">IF(V436="","",IF((V436/1000)&lt;=1,(50/1)*(V436/1000),IF((V436/1000)&lt;=2,50+((100-50)/(2-1))*(V436/1000-1),IF((V436/1000)&lt;=10,100+((200-100)/(10-2))*(V436/1000-2),IF((V436/1000)&lt;=17,200+((300-200)/(17-10))*(V436/1000-10),IF((V436/1000)&lt;=34,300+((400-300)/(34-17))*(V436/1000-17),IF((V436/1000)&lt;=57,400+((500-400)/(57-34))*(V436/1000-34),500)))))))</f>
        <v>32.65</v>
      </c>
      <c r="AI436" s="4" t="n">
        <f aca="false">IF(W436="","",IF(W436&lt;=40,(50/40)*W436,IF(W436&lt;=80,50+((100-50)/(80-40))*(W436-40),IF(W436&lt;=180,100+((200-100)/(180-80))*(W436-80),IF(W436&lt;=280,200+((300-200)/(280-180))*(W436-180),IF(W436&lt;=400,300+((400-300)/(400-280))*(W436-280),IF(W436&lt;=800,400+((500-400)/(800-400))*(W436-400),500)))))))</f>
        <v>46.5</v>
      </c>
      <c r="AJ436" s="4" t="n">
        <f aca="false">IF(X436="","",IF(X436&lt;=40,(50/40)*X436,IF(X436&lt;=80,50+((100-50)/(80-40))*(X436-40),IF(X436&lt;=380,100+((200-100)/(380-80))*(X436-80),IF(X436&lt;=800,200+((300-200)/(800-380))*(X436-380),IF(X436&lt;=1600,300+((400-300)/(1600-800))*(X436-800),IF(X436&lt;=2100,400+((500-400)/(2100-1600))*(X436-1600),500)))))))</f>
        <v>23.5</v>
      </c>
      <c r="AK436" s="4" t="n">
        <f aca="false">IF(Y436="","",IF(Y436&lt;=50,(50/50)*Y436,IF(Y436&lt;=100,50+((100-50)/(100-50))*(Y436-50),IF(Y436&lt;=168,100+((200-100)/(168-100))*(Y436-100),IF(Y436&lt;=208,200+((300-200)/(208-168))*(Y436-168),IF(Y436&lt;=748,300+((400-300)/(748-208))*(Y436-208),IF(Y436&lt;=1000,400+((500-400)/(1000-748))*(Y436-748),500)))))))</f>
        <v>47</v>
      </c>
      <c r="AL436" s="4" t="n">
        <f aca="false">ROUND(MAX(AF436,AG436,AH436,AI436,AJ436,AK436),0)</f>
        <v>113</v>
      </c>
      <c r="AM436" s="4" t="str">
        <f aca="false">IF(AL436="","",IF(AL436&lt;=50,"Good",IF(AL436&lt;=100,"Satisfactory",IF(AL436&lt;=200,"Moderate",IF(AL436&lt;=300,"Poor",IF(AL436&lt;=400,"Very Poor","Severe"))))))</f>
        <v>Moderate</v>
      </c>
    </row>
    <row r="437" customFormat="false" ht="15.75" hidden="false" customHeight="false" outlineLevel="0" collapsed="false">
      <c r="A437" s="1" t="s">
        <v>39</v>
      </c>
      <c r="B437" s="1" t="s">
        <v>40</v>
      </c>
      <c r="C437" s="1" t="n">
        <v>28.4595</v>
      </c>
      <c r="D437" s="1" t="n">
        <v>77.0266</v>
      </c>
      <c r="E437" s="5" t="n">
        <v>45919</v>
      </c>
      <c r="F437" s="6" t="s">
        <v>52</v>
      </c>
      <c r="G437" s="1" t="n">
        <v>9</v>
      </c>
      <c r="H437" s="7" t="s">
        <v>85</v>
      </c>
      <c r="I437" s="6" t="s">
        <v>43</v>
      </c>
      <c r="J437" s="7" t="s">
        <v>44</v>
      </c>
      <c r="K437" s="7" t="s">
        <v>45</v>
      </c>
      <c r="L437" s="1" t="n">
        <v>92</v>
      </c>
      <c r="M437" s="1" t="n">
        <v>24.4</v>
      </c>
      <c r="N437" s="1" t="n">
        <v>10.8</v>
      </c>
      <c r="O437" s="1" t="n">
        <v>0</v>
      </c>
      <c r="P437" s="6" t="s">
        <v>43</v>
      </c>
      <c r="Q437" s="6" t="s">
        <v>43</v>
      </c>
      <c r="R437" s="1" t="n">
        <v>1005.6</v>
      </c>
      <c r="S437" s="1" t="n">
        <v>0</v>
      </c>
      <c r="T437" s="1" t="n">
        <v>62.9</v>
      </c>
      <c r="U437" s="1" t="n">
        <v>76.1</v>
      </c>
      <c r="V437" s="1" t="n">
        <v>541</v>
      </c>
      <c r="W437" s="1" t="n">
        <v>37.4</v>
      </c>
      <c r="X437" s="1" t="n">
        <v>17.4</v>
      </c>
      <c r="Y437" s="1" t="n">
        <v>37</v>
      </c>
      <c r="Z437" s="1" t="n">
        <v>23</v>
      </c>
      <c r="AA437" s="1" t="n">
        <v>154</v>
      </c>
      <c r="AB437" s="7" t="s">
        <v>81</v>
      </c>
      <c r="AC437" s="7" t="s">
        <v>88</v>
      </c>
      <c r="AD437" s="6" t="s">
        <v>43</v>
      </c>
      <c r="AE437" s="6" t="s">
        <v>43</v>
      </c>
      <c r="AF437" s="4" t="n">
        <f aca="false">IF(T437="","",IF(T437&lt;=30,(50/30)*T437,IF(T437&lt;=60,50+((100-50)/(60-30))*(T437-30),IF(T437&lt;=90,100+((200-100)/(90-60))*(T437-60),IF(T437&lt;=120,200+((300-200)/(120-90))*(T437-90),IF(T437&lt;=250,300+((400-300)/(250-120))*(T437-120),IF(T437&lt;=380,400+((500-400)/(380-250))*(T437-250),500)))))))</f>
        <v>109.666666666667</v>
      </c>
      <c r="AG437" s="4" t="n">
        <f aca="false">IF(U437="","",IF(U437&lt;=50,(50/50)*U437,IF(U437&lt;=100,50+((100-50)/(100-50))*(U437-50),IF(U437&lt;=250,100+((200-100)/(250-100))*(U437-100),IF(U437&lt;=350,200+((300-200)/(350-250))*(U437-250),IF(U437&lt;=430,300+((400-300)/(430-350))*(U437-350),IF(U437&lt;=600,400+((500-400)/(600-430))*(U437-430),500)))))))</f>
        <v>76.1</v>
      </c>
      <c r="AH437" s="4" t="n">
        <f aca="false">IF(V437="","",IF((V437/1000)&lt;=1,(50/1)*(V437/1000),IF((V437/1000)&lt;=2,50+((100-50)/(2-1))*(V437/1000-1),IF((V437/1000)&lt;=10,100+((200-100)/(10-2))*(V437/1000-2),IF((V437/1000)&lt;=17,200+((300-200)/(17-10))*(V437/1000-10),IF((V437/1000)&lt;=34,300+((400-300)/(34-17))*(V437/1000-17),IF((V437/1000)&lt;=57,400+((500-400)/(57-34))*(V437/1000-34),500)))))))</f>
        <v>27.05</v>
      </c>
      <c r="AI437" s="4" t="n">
        <f aca="false">IF(W437="","",IF(W437&lt;=40,(50/40)*W437,IF(W437&lt;=80,50+((100-50)/(80-40))*(W437-40),IF(W437&lt;=180,100+((200-100)/(180-80))*(W437-80),IF(W437&lt;=280,200+((300-200)/(280-180))*(W437-180),IF(W437&lt;=400,300+((400-300)/(400-280))*(W437-280),IF(W437&lt;=800,400+((500-400)/(800-400))*(W437-400),500)))))))</f>
        <v>46.75</v>
      </c>
      <c r="AJ437" s="4" t="n">
        <f aca="false">IF(X437="","",IF(X437&lt;=40,(50/40)*X437,IF(X437&lt;=80,50+((100-50)/(80-40))*(X437-40),IF(X437&lt;=380,100+((200-100)/(380-80))*(X437-80),IF(X437&lt;=800,200+((300-200)/(800-380))*(X437-380),IF(X437&lt;=1600,300+((400-300)/(1600-800))*(X437-800),IF(X437&lt;=2100,400+((500-400)/(2100-1600))*(X437-1600),500)))))))</f>
        <v>21.75</v>
      </c>
      <c r="AK437" s="4" t="n">
        <f aca="false">IF(Y437="","",IF(Y437&lt;=50,(50/50)*Y437,IF(Y437&lt;=100,50+((100-50)/(100-50))*(Y437-50),IF(Y437&lt;=168,100+((200-100)/(168-100))*(Y437-100),IF(Y437&lt;=208,200+((300-200)/(208-168))*(Y437-168),IF(Y437&lt;=748,300+((400-300)/(748-208))*(Y437-208),IF(Y437&lt;=1000,400+((500-400)/(1000-748))*(Y437-748),500)))))))</f>
        <v>37</v>
      </c>
      <c r="AL437" s="4" t="n">
        <f aca="false">ROUND(MAX(AF437,AG437,AH437,AI437,AJ437,AK437),0)</f>
        <v>110</v>
      </c>
      <c r="AM437" s="4" t="str">
        <f aca="false">IF(AL437="","",IF(AL437&lt;=50,"Good",IF(AL437&lt;=100,"Satisfactory",IF(AL437&lt;=200,"Moderate",IF(AL437&lt;=300,"Poor",IF(AL437&lt;=400,"Very Poor","Severe"))))))</f>
        <v>Moderate</v>
      </c>
    </row>
    <row r="438" customFormat="false" ht="15.75" hidden="false" customHeight="false" outlineLevel="0" collapsed="false">
      <c r="A438" s="1" t="s">
        <v>39</v>
      </c>
      <c r="B438" s="1" t="s">
        <v>40</v>
      </c>
      <c r="C438" s="1" t="n">
        <v>28.4595</v>
      </c>
      <c r="D438" s="1" t="n">
        <v>77.0266</v>
      </c>
      <c r="E438" s="5" t="n">
        <v>45919</v>
      </c>
      <c r="F438" s="6" t="s">
        <v>53</v>
      </c>
      <c r="G438" s="1" t="n">
        <v>9</v>
      </c>
      <c r="H438" s="7" t="s">
        <v>85</v>
      </c>
      <c r="I438" s="6" t="s">
        <v>43</v>
      </c>
      <c r="J438" s="7" t="s">
        <v>44</v>
      </c>
      <c r="K438" s="7" t="s">
        <v>45</v>
      </c>
      <c r="L438" s="1" t="n">
        <v>93</v>
      </c>
      <c r="M438" s="1" t="n">
        <v>24.4</v>
      </c>
      <c r="N438" s="1" t="n">
        <v>10.4</v>
      </c>
      <c r="O438" s="1" t="n">
        <v>0</v>
      </c>
      <c r="P438" s="6" t="s">
        <v>43</v>
      </c>
      <c r="Q438" s="6" t="s">
        <v>43</v>
      </c>
      <c r="R438" s="1" t="n">
        <v>1006</v>
      </c>
      <c r="S438" s="1" t="n">
        <v>0</v>
      </c>
      <c r="T438" s="1" t="n">
        <v>62.6</v>
      </c>
      <c r="U438" s="1" t="n">
        <v>74.3</v>
      </c>
      <c r="V438" s="1" t="n">
        <v>589</v>
      </c>
      <c r="W438" s="1" t="n">
        <v>38.7</v>
      </c>
      <c r="X438" s="1" t="n">
        <v>16.8</v>
      </c>
      <c r="Y438" s="1" t="n">
        <v>27</v>
      </c>
      <c r="Z438" s="1" t="n">
        <v>22</v>
      </c>
      <c r="AA438" s="1" t="n">
        <v>154</v>
      </c>
      <c r="AB438" s="7" t="s">
        <v>81</v>
      </c>
      <c r="AC438" s="7" t="s">
        <v>88</v>
      </c>
      <c r="AD438" s="6" t="s">
        <v>43</v>
      </c>
      <c r="AE438" s="6" t="s">
        <v>43</v>
      </c>
      <c r="AF438" s="4" t="n">
        <f aca="false">IF(T438="","",IF(T438&lt;=30,(50/30)*T438,IF(T438&lt;=60,50+((100-50)/(60-30))*(T438-30),IF(T438&lt;=90,100+((200-100)/(90-60))*(T438-60),IF(T438&lt;=120,200+((300-200)/(120-90))*(T438-90),IF(T438&lt;=250,300+((400-300)/(250-120))*(T438-120),IF(T438&lt;=380,400+((500-400)/(380-250))*(T438-250),500)))))))</f>
        <v>108.666666666667</v>
      </c>
      <c r="AG438" s="4" t="n">
        <f aca="false">IF(U438="","",IF(U438&lt;=50,(50/50)*U438,IF(U438&lt;=100,50+((100-50)/(100-50))*(U438-50),IF(U438&lt;=250,100+((200-100)/(250-100))*(U438-100),IF(U438&lt;=350,200+((300-200)/(350-250))*(U438-250),IF(U438&lt;=430,300+((400-300)/(430-350))*(U438-350),IF(U438&lt;=600,400+((500-400)/(600-430))*(U438-430),500)))))))</f>
        <v>74.3</v>
      </c>
      <c r="AH438" s="4" t="n">
        <f aca="false">IF(V438="","",IF((V438/1000)&lt;=1,(50/1)*(V438/1000),IF((V438/1000)&lt;=2,50+((100-50)/(2-1))*(V438/1000-1),IF((V438/1000)&lt;=10,100+((200-100)/(10-2))*(V438/1000-2),IF((V438/1000)&lt;=17,200+((300-200)/(17-10))*(V438/1000-10),IF((V438/1000)&lt;=34,300+((400-300)/(34-17))*(V438/1000-17),IF((V438/1000)&lt;=57,400+((500-400)/(57-34))*(V438/1000-34),500)))))))</f>
        <v>29.45</v>
      </c>
      <c r="AI438" s="4" t="n">
        <f aca="false">IF(W438="","",IF(W438&lt;=40,(50/40)*W438,IF(W438&lt;=80,50+((100-50)/(80-40))*(W438-40),IF(W438&lt;=180,100+((200-100)/(180-80))*(W438-80),IF(W438&lt;=280,200+((300-200)/(280-180))*(W438-180),IF(W438&lt;=400,300+((400-300)/(400-280))*(W438-280),IF(W438&lt;=800,400+((500-400)/(800-400))*(W438-400),500)))))))</f>
        <v>48.375</v>
      </c>
      <c r="AJ438" s="4" t="n">
        <f aca="false">IF(X438="","",IF(X438&lt;=40,(50/40)*X438,IF(X438&lt;=80,50+((100-50)/(80-40))*(X438-40),IF(X438&lt;=380,100+((200-100)/(380-80))*(X438-80),IF(X438&lt;=800,200+((300-200)/(800-380))*(X438-380),IF(X438&lt;=1600,300+((400-300)/(1600-800))*(X438-800),IF(X438&lt;=2100,400+((500-400)/(2100-1600))*(X438-1600),500)))))))</f>
        <v>21</v>
      </c>
      <c r="AK438" s="4" t="n">
        <f aca="false">IF(Y438="","",IF(Y438&lt;=50,(50/50)*Y438,IF(Y438&lt;=100,50+((100-50)/(100-50))*(Y438-50),IF(Y438&lt;=168,100+((200-100)/(168-100))*(Y438-100),IF(Y438&lt;=208,200+((300-200)/(208-168))*(Y438-168),IF(Y438&lt;=748,300+((400-300)/(748-208))*(Y438-208),IF(Y438&lt;=1000,400+((500-400)/(1000-748))*(Y438-748),500)))))))</f>
        <v>27</v>
      </c>
      <c r="AL438" s="4" t="n">
        <f aca="false">ROUND(MAX(AF438,AG438,AH438,AI438,AJ438,AK438),0)</f>
        <v>109</v>
      </c>
      <c r="AM438" s="4" t="str">
        <f aca="false">IF(AL438="","",IF(AL438&lt;=50,"Good",IF(AL438&lt;=100,"Satisfactory",IF(AL438&lt;=200,"Moderate",IF(AL438&lt;=300,"Poor",IF(AL438&lt;=400,"Very Poor","Severe"))))))</f>
        <v>Moderate</v>
      </c>
    </row>
    <row r="439" customFormat="false" ht="15.75" hidden="false" customHeight="false" outlineLevel="0" collapsed="false">
      <c r="A439" s="1" t="s">
        <v>39</v>
      </c>
      <c r="B439" s="1" t="s">
        <v>40</v>
      </c>
      <c r="C439" s="1" t="n">
        <v>28.4595</v>
      </c>
      <c r="D439" s="1" t="n">
        <v>77.0266</v>
      </c>
      <c r="E439" s="5" t="n">
        <v>45919</v>
      </c>
      <c r="F439" s="6" t="s">
        <v>54</v>
      </c>
      <c r="G439" s="1" t="n">
        <v>9</v>
      </c>
      <c r="H439" s="7" t="s">
        <v>85</v>
      </c>
      <c r="I439" s="6" t="s">
        <v>43</v>
      </c>
      <c r="J439" s="7" t="s">
        <v>44</v>
      </c>
      <c r="K439" s="7" t="s">
        <v>45</v>
      </c>
      <c r="L439" s="1" t="n">
        <v>94</v>
      </c>
      <c r="M439" s="1" t="n">
        <v>24.4</v>
      </c>
      <c r="N439" s="1" t="n">
        <v>10.4</v>
      </c>
      <c r="O439" s="1" t="n">
        <v>0</v>
      </c>
      <c r="P439" s="6" t="s">
        <v>43</v>
      </c>
      <c r="Q439" s="6" t="s">
        <v>43</v>
      </c>
      <c r="R439" s="1" t="n">
        <v>1006.3</v>
      </c>
      <c r="S439" s="1" t="n">
        <v>0</v>
      </c>
      <c r="T439" s="1" t="n">
        <v>73.3</v>
      </c>
      <c r="U439" s="1" t="n">
        <v>84.8</v>
      </c>
      <c r="V439" s="1" t="n">
        <v>650</v>
      </c>
      <c r="W439" s="1" t="n">
        <v>60.3</v>
      </c>
      <c r="X439" s="1" t="n">
        <v>22.9</v>
      </c>
      <c r="Y439" s="1" t="n">
        <v>12</v>
      </c>
      <c r="Z439" s="1" t="n">
        <v>22</v>
      </c>
      <c r="AA439" s="1" t="n">
        <v>154</v>
      </c>
      <c r="AB439" s="7" t="s">
        <v>81</v>
      </c>
      <c r="AC439" s="7" t="s">
        <v>88</v>
      </c>
      <c r="AD439" s="6" t="s">
        <v>43</v>
      </c>
      <c r="AE439" s="6" t="s">
        <v>43</v>
      </c>
      <c r="AF439" s="4" t="n">
        <f aca="false">IF(T439="","",IF(T439&lt;=30,(50/30)*T439,IF(T439&lt;=60,50+((100-50)/(60-30))*(T439-30),IF(T439&lt;=90,100+((200-100)/(90-60))*(T439-60),IF(T439&lt;=120,200+((300-200)/(120-90))*(T439-90),IF(T439&lt;=250,300+((400-300)/(250-120))*(T439-120),IF(T439&lt;=380,400+((500-400)/(380-250))*(T439-250),500)))))))</f>
        <v>144.333333333333</v>
      </c>
      <c r="AG439" s="4" t="n">
        <f aca="false">IF(U439="","",IF(U439&lt;=50,(50/50)*U439,IF(U439&lt;=100,50+((100-50)/(100-50))*(U439-50),IF(U439&lt;=250,100+((200-100)/(250-100))*(U439-100),IF(U439&lt;=350,200+((300-200)/(350-250))*(U439-250),IF(U439&lt;=430,300+((400-300)/(430-350))*(U439-350),IF(U439&lt;=600,400+((500-400)/(600-430))*(U439-430),500)))))))</f>
        <v>84.8</v>
      </c>
      <c r="AH439" s="4" t="n">
        <f aca="false">IF(V439="","",IF((V439/1000)&lt;=1,(50/1)*(V439/1000),IF((V439/1000)&lt;=2,50+((100-50)/(2-1))*(V439/1000-1),IF((V439/1000)&lt;=10,100+((200-100)/(10-2))*(V439/1000-2),IF((V439/1000)&lt;=17,200+((300-200)/(17-10))*(V439/1000-10),IF((V439/1000)&lt;=34,300+((400-300)/(34-17))*(V439/1000-17),IF((V439/1000)&lt;=57,400+((500-400)/(57-34))*(V439/1000-34),500)))))))</f>
        <v>32.5</v>
      </c>
      <c r="AI439" s="4" t="n">
        <f aca="false">IF(W439="","",IF(W439&lt;=40,(50/40)*W439,IF(W439&lt;=80,50+((100-50)/(80-40))*(W439-40),IF(W439&lt;=180,100+((200-100)/(180-80))*(W439-80),IF(W439&lt;=280,200+((300-200)/(280-180))*(W439-180),IF(W439&lt;=400,300+((400-300)/(400-280))*(W439-280),IF(W439&lt;=800,400+((500-400)/(800-400))*(W439-400),500)))))))</f>
        <v>75.375</v>
      </c>
      <c r="AJ439" s="4" t="n">
        <f aca="false">IF(X439="","",IF(X439&lt;=40,(50/40)*X439,IF(X439&lt;=80,50+((100-50)/(80-40))*(X439-40),IF(X439&lt;=380,100+((200-100)/(380-80))*(X439-80),IF(X439&lt;=800,200+((300-200)/(800-380))*(X439-380),IF(X439&lt;=1600,300+((400-300)/(1600-800))*(X439-800),IF(X439&lt;=2100,400+((500-400)/(2100-1600))*(X439-1600),500)))))))</f>
        <v>28.625</v>
      </c>
      <c r="AK439" s="4" t="n">
        <f aca="false">IF(Y439="","",IF(Y439&lt;=50,(50/50)*Y439,IF(Y439&lt;=100,50+((100-50)/(100-50))*(Y439-50),IF(Y439&lt;=168,100+((200-100)/(168-100))*(Y439-100),IF(Y439&lt;=208,200+((300-200)/(208-168))*(Y439-168),IF(Y439&lt;=748,300+((400-300)/(748-208))*(Y439-208),IF(Y439&lt;=1000,400+((500-400)/(1000-748))*(Y439-748),500)))))))</f>
        <v>12</v>
      </c>
      <c r="AL439" s="4" t="n">
        <f aca="false">ROUND(MAX(AF439,AG439,AH439,AI439,AJ439,AK439),0)</f>
        <v>144</v>
      </c>
      <c r="AM439" s="4" t="str">
        <f aca="false">IF(AL439="","",IF(AL439&lt;=50,"Good",IF(AL439&lt;=100,"Satisfactory",IF(AL439&lt;=200,"Moderate",IF(AL439&lt;=300,"Poor",IF(AL439&lt;=400,"Very Poor","Severe"))))))</f>
        <v>Moderate</v>
      </c>
    </row>
    <row r="440" customFormat="false" ht="15.75" hidden="false" customHeight="false" outlineLevel="0" collapsed="false">
      <c r="A440" s="1" t="s">
        <v>39</v>
      </c>
      <c r="B440" s="1" t="s">
        <v>40</v>
      </c>
      <c r="C440" s="1" t="n">
        <v>28.4595</v>
      </c>
      <c r="D440" s="1" t="n">
        <v>77.0266</v>
      </c>
      <c r="E440" s="5" t="n">
        <v>45919</v>
      </c>
      <c r="F440" s="6" t="s">
        <v>55</v>
      </c>
      <c r="G440" s="1" t="n">
        <v>9</v>
      </c>
      <c r="H440" s="7" t="s">
        <v>85</v>
      </c>
      <c r="I440" s="6" t="s">
        <v>43</v>
      </c>
      <c r="J440" s="7" t="s">
        <v>44</v>
      </c>
      <c r="K440" s="7" t="s">
        <v>56</v>
      </c>
      <c r="L440" s="1" t="n">
        <v>91</v>
      </c>
      <c r="M440" s="1" t="n">
        <v>24.3</v>
      </c>
      <c r="N440" s="1" t="n">
        <v>14</v>
      </c>
      <c r="O440" s="1" t="n">
        <v>0</v>
      </c>
      <c r="P440" s="6" t="s">
        <v>43</v>
      </c>
      <c r="Q440" s="6" t="s">
        <v>43</v>
      </c>
      <c r="R440" s="1" t="n">
        <v>1006.6</v>
      </c>
      <c r="S440" s="1" t="n">
        <v>10</v>
      </c>
      <c r="T440" s="1" t="n">
        <v>69.4</v>
      </c>
      <c r="U440" s="1" t="n">
        <v>81.5</v>
      </c>
      <c r="V440" s="1" t="n">
        <v>696</v>
      </c>
      <c r="W440" s="1" t="n">
        <v>55</v>
      </c>
      <c r="X440" s="1" t="n">
        <v>30.2</v>
      </c>
      <c r="Y440" s="1" t="n">
        <v>25</v>
      </c>
      <c r="Z440" s="1" t="n">
        <v>26</v>
      </c>
      <c r="AA440" s="1" t="n">
        <v>154</v>
      </c>
      <c r="AB440" s="7" t="s">
        <v>81</v>
      </c>
      <c r="AC440" s="7" t="s">
        <v>88</v>
      </c>
      <c r="AD440" s="6" t="s">
        <v>43</v>
      </c>
      <c r="AE440" s="6" t="s">
        <v>43</v>
      </c>
      <c r="AF440" s="4" t="n">
        <f aca="false">IF(T440="","",IF(T440&lt;=30,(50/30)*T440,IF(T440&lt;=60,50+((100-50)/(60-30))*(T440-30),IF(T440&lt;=90,100+((200-100)/(90-60))*(T440-60),IF(T440&lt;=120,200+((300-200)/(120-90))*(T440-90),IF(T440&lt;=250,300+((400-300)/(250-120))*(T440-120),IF(T440&lt;=380,400+((500-400)/(380-250))*(T440-250),500)))))))</f>
        <v>131.333333333333</v>
      </c>
      <c r="AG440" s="4" t="n">
        <f aca="false">IF(U440="","",IF(U440&lt;=50,(50/50)*U440,IF(U440&lt;=100,50+((100-50)/(100-50))*(U440-50),IF(U440&lt;=250,100+((200-100)/(250-100))*(U440-100),IF(U440&lt;=350,200+((300-200)/(350-250))*(U440-250),IF(U440&lt;=430,300+((400-300)/(430-350))*(U440-350),IF(U440&lt;=600,400+((500-400)/(600-430))*(U440-430),500)))))))</f>
        <v>81.5</v>
      </c>
      <c r="AH440" s="4" t="n">
        <f aca="false">IF(V440="","",IF((V440/1000)&lt;=1,(50/1)*(V440/1000),IF((V440/1000)&lt;=2,50+((100-50)/(2-1))*(V440/1000-1),IF((V440/1000)&lt;=10,100+((200-100)/(10-2))*(V440/1000-2),IF((V440/1000)&lt;=17,200+((300-200)/(17-10))*(V440/1000-10),IF((V440/1000)&lt;=34,300+((400-300)/(34-17))*(V440/1000-17),IF((V440/1000)&lt;=57,400+((500-400)/(57-34))*(V440/1000-34),500)))))))</f>
        <v>34.8</v>
      </c>
      <c r="AI440" s="4" t="n">
        <f aca="false">IF(W440="","",IF(W440&lt;=40,(50/40)*W440,IF(W440&lt;=80,50+((100-50)/(80-40))*(W440-40),IF(W440&lt;=180,100+((200-100)/(180-80))*(W440-80),IF(W440&lt;=280,200+((300-200)/(280-180))*(W440-180),IF(W440&lt;=400,300+((400-300)/(400-280))*(W440-280),IF(W440&lt;=800,400+((500-400)/(800-400))*(W440-400),500)))))))</f>
        <v>68.75</v>
      </c>
      <c r="AJ440" s="4" t="n">
        <f aca="false">IF(X440="","",IF(X440&lt;=40,(50/40)*X440,IF(X440&lt;=80,50+((100-50)/(80-40))*(X440-40),IF(X440&lt;=380,100+((200-100)/(380-80))*(X440-80),IF(X440&lt;=800,200+((300-200)/(800-380))*(X440-380),IF(X440&lt;=1600,300+((400-300)/(1600-800))*(X440-800),IF(X440&lt;=2100,400+((500-400)/(2100-1600))*(X440-1600),500)))))))</f>
        <v>37.75</v>
      </c>
      <c r="AK440" s="4" t="n">
        <f aca="false">IF(Y440="","",IF(Y440&lt;=50,(50/50)*Y440,IF(Y440&lt;=100,50+((100-50)/(100-50))*(Y440-50),IF(Y440&lt;=168,100+((200-100)/(168-100))*(Y440-100),IF(Y440&lt;=208,200+((300-200)/(208-168))*(Y440-168),IF(Y440&lt;=748,300+((400-300)/(748-208))*(Y440-208),IF(Y440&lt;=1000,400+((500-400)/(1000-748))*(Y440-748),500)))))))</f>
        <v>25</v>
      </c>
      <c r="AL440" s="4" t="n">
        <f aca="false">ROUND(MAX(AF440,AG440,AH440,AI440,AJ440,AK440),0)</f>
        <v>131</v>
      </c>
      <c r="AM440" s="4" t="str">
        <f aca="false">IF(AL440="","",IF(AL440&lt;=50,"Good",IF(AL440&lt;=100,"Satisfactory",IF(AL440&lt;=200,"Moderate",IF(AL440&lt;=300,"Poor",IF(AL440&lt;=400,"Very Poor","Severe"))))))</f>
        <v>Moderate</v>
      </c>
    </row>
    <row r="441" customFormat="false" ht="15.75" hidden="false" customHeight="false" outlineLevel="0" collapsed="false">
      <c r="A441" s="1" t="s">
        <v>39</v>
      </c>
      <c r="B441" s="1" t="s">
        <v>40</v>
      </c>
      <c r="C441" s="1" t="n">
        <v>28.4595</v>
      </c>
      <c r="D441" s="1" t="n">
        <v>77.0266</v>
      </c>
      <c r="E441" s="5" t="n">
        <v>45919</v>
      </c>
      <c r="F441" s="6" t="s">
        <v>57</v>
      </c>
      <c r="G441" s="1" t="n">
        <v>9</v>
      </c>
      <c r="H441" s="7" t="s">
        <v>85</v>
      </c>
      <c r="I441" s="6" t="s">
        <v>43</v>
      </c>
      <c r="J441" s="7" t="s">
        <v>44</v>
      </c>
      <c r="K441" s="7" t="s">
        <v>56</v>
      </c>
      <c r="L441" s="1" t="n">
        <v>85</v>
      </c>
      <c r="M441" s="1" t="n">
        <v>24.3</v>
      </c>
      <c r="N441" s="1" t="n">
        <v>14</v>
      </c>
      <c r="O441" s="1" t="n">
        <v>0</v>
      </c>
      <c r="P441" s="6" t="s">
        <v>43</v>
      </c>
      <c r="Q441" s="6" t="s">
        <v>43</v>
      </c>
      <c r="R441" s="1" t="n">
        <v>1007.2</v>
      </c>
      <c r="S441" s="1" t="n">
        <v>3</v>
      </c>
      <c r="T441" s="1" t="n">
        <v>60.3</v>
      </c>
      <c r="U441" s="1" t="n">
        <v>77.5</v>
      </c>
      <c r="V441" s="1" t="n">
        <v>754</v>
      </c>
      <c r="W441" s="1" t="n">
        <v>47.3</v>
      </c>
      <c r="X441" s="1" t="n">
        <v>40.2</v>
      </c>
      <c r="Y441" s="1" t="n">
        <v>45</v>
      </c>
      <c r="Z441" s="1" t="n">
        <v>32</v>
      </c>
      <c r="AA441" s="1" t="n">
        <v>154</v>
      </c>
      <c r="AB441" s="7" t="s">
        <v>81</v>
      </c>
      <c r="AC441" s="7" t="s">
        <v>88</v>
      </c>
      <c r="AD441" s="6" t="s">
        <v>43</v>
      </c>
      <c r="AE441" s="6" t="s">
        <v>43</v>
      </c>
      <c r="AF441" s="4" t="n">
        <f aca="false">IF(T441="","",IF(T441&lt;=30,(50/30)*T441,IF(T441&lt;=60,50+((100-50)/(60-30))*(T441-30),IF(T441&lt;=90,100+((200-100)/(90-60))*(T441-60),IF(T441&lt;=120,200+((300-200)/(120-90))*(T441-90),IF(T441&lt;=250,300+((400-300)/(250-120))*(T441-120),IF(T441&lt;=380,400+((500-400)/(380-250))*(T441-250),500)))))))</f>
        <v>101</v>
      </c>
      <c r="AG441" s="4" t="n">
        <f aca="false">IF(U441="","",IF(U441&lt;=50,(50/50)*U441,IF(U441&lt;=100,50+((100-50)/(100-50))*(U441-50),IF(U441&lt;=250,100+((200-100)/(250-100))*(U441-100),IF(U441&lt;=350,200+((300-200)/(350-250))*(U441-250),IF(U441&lt;=430,300+((400-300)/(430-350))*(U441-350),IF(U441&lt;=600,400+((500-400)/(600-430))*(U441-430),500)))))))</f>
        <v>77.5</v>
      </c>
      <c r="AH441" s="4" t="n">
        <f aca="false">IF(V441="","",IF((V441/1000)&lt;=1,(50/1)*(V441/1000),IF((V441/1000)&lt;=2,50+((100-50)/(2-1))*(V441/1000-1),IF((V441/1000)&lt;=10,100+((200-100)/(10-2))*(V441/1000-2),IF((V441/1000)&lt;=17,200+((300-200)/(17-10))*(V441/1000-10),IF((V441/1000)&lt;=34,300+((400-300)/(34-17))*(V441/1000-17),IF((V441/1000)&lt;=57,400+((500-400)/(57-34))*(V441/1000-34),500)))))))</f>
        <v>37.7</v>
      </c>
      <c r="AI441" s="4" t="n">
        <f aca="false">IF(W441="","",IF(W441&lt;=40,(50/40)*W441,IF(W441&lt;=80,50+((100-50)/(80-40))*(W441-40),IF(W441&lt;=180,100+((200-100)/(180-80))*(W441-80),IF(W441&lt;=280,200+((300-200)/(280-180))*(W441-180),IF(W441&lt;=400,300+((400-300)/(400-280))*(W441-280),IF(W441&lt;=800,400+((500-400)/(800-400))*(W441-400),500)))))))</f>
        <v>59.125</v>
      </c>
      <c r="AJ441" s="4" t="n">
        <f aca="false">IF(X441="","",IF(X441&lt;=40,(50/40)*X441,IF(X441&lt;=80,50+((100-50)/(80-40))*(X441-40),IF(X441&lt;=380,100+((200-100)/(380-80))*(X441-80),IF(X441&lt;=800,200+((300-200)/(800-380))*(X441-380),IF(X441&lt;=1600,300+((400-300)/(1600-800))*(X441-800),IF(X441&lt;=2100,400+((500-400)/(2100-1600))*(X441-1600),500)))))))</f>
        <v>50.25</v>
      </c>
      <c r="AK441" s="4" t="n">
        <f aca="false">IF(Y441="","",IF(Y441&lt;=50,(50/50)*Y441,IF(Y441&lt;=100,50+((100-50)/(100-50))*(Y441-50),IF(Y441&lt;=168,100+((200-100)/(168-100))*(Y441-100),IF(Y441&lt;=208,200+((300-200)/(208-168))*(Y441-168),IF(Y441&lt;=748,300+((400-300)/(748-208))*(Y441-208),IF(Y441&lt;=1000,400+((500-400)/(1000-748))*(Y441-748),500)))))))</f>
        <v>45</v>
      </c>
      <c r="AL441" s="4" t="n">
        <f aca="false">ROUND(MAX(AF441,AG441,AH441,AI441,AJ441,AK441),0)</f>
        <v>101</v>
      </c>
      <c r="AM441" s="4" t="str">
        <f aca="false">IF(AL441="","",IF(AL441&lt;=50,"Good",IF(AL441&lt;=100,"Satisfactory",IF(AL441&lt;=200,"Moderate",IF(AL441&lt;=300,"Poor",IF(AL441&lt;=400,"Very Poor","Severe"))))))</f>
        <v>Moderate</v>
      </c>
    </row>
    <row r="442" customFormat="false" ht="15.75" hidden="false" customHeight="false" outlineLevel="0" collapsed="false">
      <c r="A442" s="1" t="s">
        <v>39</v>
      </c>
      <c r="B442" s="1" t="s">
        <v>40</v>
      </c>
      <c r="C442" s="1" t="n">
        <v>28.4595</v>
      </c>
      <c r="D442" s="1" t="n">
        <v>77.0266</v>
      </c>
      <c r="E442" s="5" t="n">
        <v>45919</v>
      </c>
      <c r="F442" s="6" t="s">
        <v>58</v>
      </c>
      <c r="G442" s="1" t="n">
        <v>9</v>
      </c>
      <c r="H442" s="7" t="s">
        <v>85</v>
      </c>
      <c r="I442" s="6" t="s">
        <v>43</v>
      </c>
      <c r="J442" s="7" t="s">
        <v>44</v>
      </c>
      <c r="K442" s="7" t="s">
        <v>56</v>
      </c>
      <c r="L442" s="1" t="n">
        <v>74</v>
      </c>
      <c r="M442" s="1" t="n">
        <v>24.2</v>
      </c>
      <c r="N442" s="1" t="n">
        <v>11.5</v>
      </c>
      <c r="O442" s="1" t="n">
        <v>0</v>
      </c>
      <c r="P442" s="6" t="s">
        <v>43</v>
      </c>
      <c r="Q442" s="6" t="s">
        <v>43</v>
      </c>
      <c r="R442" s="1" t="n">
        <v>1007.9</v>
      </c>
      <c r="S442" s="1" t="n">
        <v>5</v>
      </c>
      <c r="T442" s="1" t="n">
        <v>57.5</v>
      </c>
      <c r="U442" s="1" t="n">
        <v>77.5</v>
      </c>
      <c r="V442" s="1" t="n">
        <v>760</v>
      </c>
      <c r="W442" s="1" t="n">
        <v>38.9</v>
      </c>
      <c r="X442" s="1" t="n">
        <v>47</v>
      </c>
      <c r="Y442" s="1" t="n">
        <v>72</v>
      </c>
      <c r="Z442" s="1" t="n">
        <v>38</v>
      </c>
      <c r="AA442" s="1" t="n">
        <v>155</v>
      </c>
      <c r="AB442" s="7" t="s">
        <v>81</v>
      </c>
      <c r="AC442" s="7" t="s">
        <v>48</v>
      </c>
      <c r="AD442" s="6" t="s">
        <v>43</v>
      </c>
      <c r="AE442" s="6" t="s">
        <v>43</v>
      </c>
      <c r="AF442" s="4" t="n">
        <f aca="false">IF(T442="","",IF(T442&lt;=30,(50/30)*T442,IF(T442&lt;=60,50+((100-50)/(60-30))*(T442-30),IF(T442&lt;=90,100+((200-100)/(90-60))*(T442-60),IF(T442&lt;=120,200+((300-200)/(120-90))*(T442-90),IF(T442&lt;=250,300+((400-300)/(250-120))*(T442-120),IF(T442&lt;=380,400+((500-400)/(380-250))*(T442-250),500)))))))</f>
        <v>95.8333333333333</v>
      </c>
      <c r="AG442" s="4" t="n">
        <f aca="false">IF(U442="","",IF(U442&lt;=50,(50/50)*U442,IF(U442&lt;=100,50+((100-50)/(100-50))*(U442-50),IF(U442&lt;=250,100+((200-100)/(250-100))*(U442-100),IF(U442&lt;=350,200+((300-200)/(350-250))*(U442-250),IF(U442&lt;=430,300+((400-300)/(430-350))*(U442-350),IF(U442&lt;=600,400+((500-400)/(600-430))*(U442-430),500)))))))</f>
        <v>77.5</v>
      </c>
      <c r="AH442" s="4" t="n">
        <f aca="false">IF(V442="","",IF((V442/1000)&lt;=1,(50/1)*(V442/1000),IF((V442/1000)&lt;=2,50+((100-50)/(2-1))*(V442/1000-1),IF((V442/1000)&lt;=10,100+((200-100)/(10-2))*(V442/1000-2),IF((V442/1000)&lt;=17,200+((300-200)/(17-10))*(V442/1000-10),IF((V442/1000)&lt;=34,300+((400-300)/(34-17))*(V442/1000-17),IF((V442/1000)&lt;=57,400+((500-400)/(57-34))*(V442/1000-34),500)))))))</f>
        <v>38</v>
      </c>
      <c r="AI442" s="4" t="n">
        <f aca="false">IF(W442="","",IF(W442&lt;=40,(50/40)*W442,IF(W442&lt;=80,50+((100-50)/(80-40))*(W442-40),IF(W442&lt;=180,100+((200-100)/(180-80))*(W442-80),IF(W442&lt;=280,200+((300-200)/(280-180))*(W442-180),IF(W442&lt;=400,300+((400-300)/(400-280))*(W442-280),IF(W442&lt;=800,400+((500-400)/(800-400))*(W442-400),500)))))))</f>
        <v>48.625</v>
      </c>
      <c r="AJ442" s="4" t="n">
        <f aca="false">IF(X442="","",IF(X442&lt;=40,(50/40)*X442,IF(X442&lt;=80,50+((100-50)/(80-40))*(X442-40),IF(X442&lt;=380,100+((200-100)/(380-80))*(X442-80),IF(X442&lt;=800,200+((300-200)/(800-380))*(X442-380),IF(X442&lt;=1600,300+((400-300)/(1600-800))*(X442-800),IF(X442&lt;=2100,400+((500-400)/(2100-1600))*(X442-1600),500)))))))</f>
        <v>58.75</v>
      </c>
      <c r="AK442" s="4" t="n">
        <f aca="false">IF(Y442="","",IF(Y442&lt;=50,(50/50)*Y442,IF(Y442&lt;=100,50+((100-50)/(100-50))*(Y442-50),IF(Y442&lt;=168,100+((200-100)/(168-100))*(Y442-100),IF(Y442&lt;=208,200+((300-200)/(208-168))*(Y442-168),IF(Y442&lt;=748,300+((400-300)/(748-208))*(Y442-208),IF(Y442&lt;=1000,400+((500-400)/(1000-748))*(Y442-748),500)))))))</f>
        <v>72</v>
      </c>
      <c r="AL442" s="4" t="n">
        <f aca="false">ROUND(MAX(AF442,AG442,AH442,AI442,AJ442,AK442),0)</f>
        <v>96</v>
      </c>
      <c r="AM442" s="4" t="str">
        <f aca="false">IF(AL442="","",IF(AL442&lt;=50,"Good",IF(AL442&lt;=100,"Satisfactory",IF(AL442&lt;=200,"Moderate",IF(AL442&lt;=300,"Poor",IF(AL442&lt;=400,"Very Poor","Severe"))))))</f>
        <v>Satisfactory</v>
      </c>
    </row>
    <row r="443" customFormat="false" ht="15.75" hidden="false" customHeight="false" outlineLevel="0" collapsed="false">
      <c r="A443" s="1" t="s">
        <v>39</v>
      </c>
      <c r="B443" s="1" t="s">
        <v>40</v>
      </c>
      <c r="C443" s="1" t="n">
        <v>28.4595</v>
      </c>
      <c r="D443" s="1" t="n">
        <v>77.0266</v>
      </c>
      <c r="E443" s="5" t="n">
        <v>45919</v>
      </c>
      <c r="F443" s="6" t="s">
        <v>59</v>
      </c>
      <c r="G443" s="1" t="n">
        <v>9</v>
      </c>
      <c r="H443" s="7" t="s">
        <v>85</v>
      </c>
      <c r="I443" s="6" t="s">
        <v>43</v>
      </c>
      <c r="J443" s="7" t="s">
        <v>44</v>
      </c>
      <c r="K443" s="7" t="s">
        <v>60</v>
      </c>
      <c r="L443" s="1" t="n">
        <v>62</v>
      </c>
      <c r="M443" s="1" t="n">
        <v>23.3</v>
      </c>
      <c r="N443" s="1" t="n">
        <v>18</v>
      </c>
      <c r="O443" s="1" t="n">
        <v>0</v>
      </c>
      <c r="P443" s="6" t="s">
        <v>43</v>
      </c>
      <c r="Q443" s="6" t="s">
        <v>43</v>
      </c>
      <c r="R443" s="1" t="n">
        <v>1008.1</v>
      </c>
      <c r="S443" s="1" t="n">
        <v>23</v>
      </c>
      <c r="T443" s="1" t="n">
        <v>57.7</v>
      </c>
      <c r="U443" s="1" t="n">
        <v>82</v>
      </c>
      <c r="V443" s="1" t="n">
        <v>666</v>
      </c>
      <c r="W443" s="1" t="n">
        <v>29.3</v>
      </c>
      <c r="X443" s="1" t="n">
        <v>47.8</v>
      </c>
      <c r="Y443" s="1" t="n">
        <v>111</v>
      </c>
      <c r="Z443" s="1" t="n">
        <v>43</v>
      </c>
      <c r="AA443" s="1" t="n">
        <v>155</v>
      </c>
      <c r="AB443" s="7" t="s">
        <v>81</v>
      </c>
      <c r="AC443" s="7" t="s">
        <v>48</v>
      </c>
      <c r="AD443" s="6" t="s">
        <v>43</v>
      </c>
      <c r="AE443" s="6" t="s">
        <v>43</v>
      </c>
      <c r="AF443" s="4" t="n">
        <f aca="false">IF(T443="","",IF(T443&lt;=30,(50/30)*T443,IF(T443&lt;=60,50+((100-50)/(60-30))*(T443-30),IF(T443&lt;=90,100+((200-100)/(90-60))*(T443-60),IF(T443&lt;=120,200+((300-200)/(120-90))*(T443-90),IF(T443&lt;=250,300+((400-300)/(250-120))*(T443-120),IF(T443&lt;=380,400+((500-400)/(380-250))*(T443-250),500)))))))</f>
        <v>96.1666666666667</v>
      </c>
      <c r="AG443" s="4" t="n">
        <f aca="false">IF(U443="","",IF(U443&lt;=50,(50/50)*U443,IF(U443&lt;=100,50+((100-50)/(100-50))*(U443-50),IF(U443&lt;=250,100+((200-100)/(250-100))*(U443-100),IF(U443&lt;=350,200+((300-200)/(350-250))*(U443-250),IF(U443&lt;=430,300+((400-300)/(430-350))*(U443-350),IF(U443&lt;=600,400+((500-400)/(600-430))*(U443-430),500)))))))</f>
        <v>82</v>
      </c>
      <c r="AH443" s="4" t="n">
        <f aca="false">IF(V443="","",IF((V443/1000)&lt;=1,(50/1)*(V443/1000),IF((V443/1000)&lt;=2,50+((100-50)/(2-1))*(V443/1000-1),IF((V443/1000)&lt;=10,100+((200-100)/(10-2))*(V443/1000-2),IF((V443/1000)&lt;=17,200+((300-200)/(17-10))*(V443/1000-10),IF((V443/1000)&lt;=34,300+((400-300)/(34-17))*(V443/1000-17),IF((V443/1000)&lt;=57,400+((500-400)/(57-34))*(V443/1000-34),500)))))))</f>
        <v>33.3</v>
      </c>
      <c r="AI443" s="4" t="n">
        <f aca="false">IF(W443="","",IF(W443&lt;=40,(50/40)*W443,IF(W443&lt;=80,50+((100-50)/(80-40))*(W443-40),IF(W443&lt;=180,100+((200-100)/(180-80))*(W443-80),IF(W443&lt;=280,200+((300-200)/(280-180))*(W443-180),IF(W443&lt;=400,300+((400-300)/(400-280))*(W443-280),IF(W443&lt;=800,400+((500-400)/(800-400))*(W443-400),500)))))))</f>
        <v>36.625</v>
      </c>
      <c r="AJ443" s="4" t="n">
        <f aca="false">IF(X443="","",IF(X443&lt;=40,(50/40)*X443,IF(X443&lt;=80,50+((100-50)/(80-40))*(X443-40),IF(X443&lt;=380,100+((200-100)/(380-80))*(X443-80),IF(X443&lt;=800,200+((300-200)/(800-380))*(X443-380),IF(X443&lt;=1600,300+((400-300)/(1600-800))*(X443-800),IF(X443&lt;=2100,400+((500-400)/(2100-1600))*(X443-1600),500)))))))</f>
        <v>59.75</v>
      </c>
      <c r="AK443" s="4" t="n">
        <f aca="false">IF(Y443="","",IF(Y443&lt;=50,(50/50)*Y443,IF(Y443&lt;=100,50+((100-50)/(100-50))*(Y443-50),IF(Y443&lt;=168,100+((200-100)/(168-100))*(Y443-100),IF(Y443&lt;=208,200+((300-200)/(208-168))*(Y443-168),IF(Y443&lt;=748,300+((400-300)/(748-208))*(Y443-208),IF(Y443&lt;=1000,400+((500-400)/(1000-748))*(Y443-748),500)))))))</f>
        <v>116.176470588235</v>
      </c>
      <c r="AL443" s="4" t="n">
        <f aca="false">ROUND(MAX(AF443,AG443,AH443,AI443,AJ443,AK443),0)</f>
        <v>116</v>
      </c>
      <c r="AM443" s="4" t="str">
        <f aca="false">IF(AL443="","",IF(AL443&lt;=50,"Good",IF(AL443&lt;=100,"Satisfactory",IF(AL443&lt;=200,"Moderate",IF(AL443&lt;=300,"Poor",IF(AL443&lt;=400,"Very Poor","Severe"))))))</f>
        <v>Moderate</v>
      </c>
    </row>
    <row r="444" customFormat="false" ht="15.75" hidden="false" customHeight="false" outlineLevel="0" collapsed="false">
      <c r="A444" s="1" t="s">
        <v>39</v>
      </c>
      <c r="B444" s="1" t="s">
        <v>40</v>
      </c>
      <c r="C444" s="1" t="n">
        <v>28.4595</v>
      </c>
      <c r="D444" s="1" t="n">
        <v>77.0266</v>
      </c>
      <c r="E444" s="5" t="n">
        <v>45919</v>
      </c>
      <c r="F444" s="6" t="s">
        <v>61</v>
      </c>
      <c r="G444" s="1" t="n">
        <v>9</v>
      </c>
      <c r="H444" s="7" t="s">
        <v>85</v>
      </c>
      <c r="I444" s="6" t="s">
        <v>43</v>
      </c>
      <c r="J444" s="7" t="s">
        <v>44</v>
      </c>
      <c r="K444" s="7" t="s">
        <v>60</v>
      </c>
      <c r="L444" s="1" t="n">
        <v>60</v>
      </c>
      <c r="M444" s="1" t="n">
        <v>22.2</v>
      </c>
      <c r="N444" s="1" t="n">
        <v>32.4</v>
      </c>
      <c r="O444" s="1" t="n">
        <v>0.9</v>
      </c>
      <c r="P444" s="6" t="s">
        <v>46</v>
      </c>
      <c r="Q444" s="6" t="s">
        <v>43</v>
      </c>
      <c r="R444" s="1" t="n">
        <v>1008.7</v>
      </c>
      <c r="S444" s="1" t="n">
        <v>90</v>
      </c>
      <c r="T444" s="1" t="n">
        <v>53.1</v>
      </c>
      <c r="U444" s="1" t="n">
        <v>78.7</v>
      </c>
      <c r="V444" s="1" t="n">
        <v>519</v>
      </c>
      <c r="W444" s="1" t="n">
        <v>19</v>
      </c>
      <c r="X444" s="1" t="n">
        <v>45.4</v>
      </c>
      <c r="Y444" s="1" t="n">
        <v>157</v>
      </c>
      <c r="Z444" s="1" t="n">
        <v>47</v>
      </c>
      <c r="AA444" s="1" t="n">
        <v>154</v>
      </c>
      <c r="AB444" s="7" t="s">
        <v>81</v>
      </c>
      <c r="AC444" s="7" t="s">
        <v>48</v>
      </c>
      <c r="AD444" s="6" t="s">
        <v>43</v>
      </c>
      <c r="AE444" s="6" t="s">
        <v>43</v>
      </c>
      <c r="AF444" s="4" t="n">
        <f aca="false">IF(T444="","",IF(T444&lt;=30,(50/30)*T444,IF(T444&lt;=60,50+((100-50)/(60-30))*(T444-30),IF(T444&lt;=90,100+((200-100)/(90-60))*(T444-60),IF(T444&lt;=120,200+((300-200)/(120-90))*(T444-90),IF(T444&lt;=250,300+((400-300)/(250-120))*(T444-120),IF(T444&lt;=380,400+((500-400)/(380-250))*(T444-250),500)))))))</f>
        <v>88.5</v>
      </c>
      <c r="AG444" s="4" t="n">
        <f aca="false">IF(U444="","",IF(U444&lt;=50,(50/50)*U444,IF(U444&lt;=100,50+((100-50)/(100-50))*(U444-50),IF(U444&lt;=250,100+((200-100)/(250-100))*(U444-100),IF(U444&lt;=350,200+((300-200)/(350-250))*(U444-250),IF(U444&lt;=430,300+((400-300)/(430-350))*(U444-350),IF(U444&lt;=600,400+((500-400)/(600-430))*(U444-430),500)))))))</f>
        <v>78.7</v>
      </c>
      <c r="AH444" s="4" t="n">
        <f aca="false">IF(V444="","",IF((V444/1000)&lt;=1,(50/1)*(V444/1000),IF((V444/1000)&lt;=2,50+((100-50)/(2-1))*(V444/1000-1),IF((V444/1000)&lt;=10,100+((200-100)/(10-2))*(V444/1000-2),IF((V444/1000)&lt;=17,200+((300-200)/(17-10))*(V444/1000-10),IF((V444/1000)&lt;=34,300+((400-300)/(34-17))*(V444/1000-17),IF((V444/1000)&lt;=57,400+((500-400)/(57-34))*(V444/1000-34),500)))))))</f>
        <v>25.95</v>
      </c>
      <c r="AI444" s="4" t="n">
        <f aca="false">IF(W444="","",IF(W444&lt;=40,(50/40)*W444,IF(W444&lt;=80,50+((100-50)/(80-40))*(W444-40),IF(W444&lt;=180,100+((200-100)/(180-80))*(W444-80),IF(W444&lt;=280,200+((300-200)/(280-180))*(W444-180),IF(W444&lt;=400,300+((400-300)/(400-280))*(W444-280),IF(W444&lt;=800,400+((500-400)/(800-400))*(W444-400),500)))))))</f>
        <v>23.75</v>
      </c>
      <c r="AJ444" s="4" t="n">
        <f aca="false">IF(X444="","",IF(X444&lt;=40,(50/40)*X444,IF(X444&lt;=80,50+((100-50)/(80-40))*(X444-40),IF(X444&lt;=380,100+((200-100)/(380-80))*(X444-80),IF(X444&lt;=800,200+((300-200)/(800-380))*(X444-380),IF(X444&lt;=1600,300+((400-300)/(1600-800))*(X444-800),IF(X444&lt;=2100,400+((500-400)/(2100-1600))*(X444-1600),500)))))))</f>
        <v>56.75</v>
      </c>
      <c r="AK444" s="4" t="n">
        <f aca="false">IF(Y444="","",IF(Y444&lt;=50,(50/50)*Y444,IF(Y444&lt;=100,50+((100-50)/(100-50))*(Y444-50),IF(Y444&lt;=168,100+((200-100)/(168-100))*(Y444-100),IF(Y444&lt;=208,200+((300-200)/(208-168))*(Y444-168),IF(Y444&lt;=748,300+((400-300)/(748-208))*(Y444-208),IF(Y444&lt;=1000,400+((500-400)/(1000-748))*(Y444-748),500)))))))</f>
        <v>183.823529411765</v>
      </c>
      <c r="AL444" s="4" t="n">
        <f aca="false">ROUND(MAX(AF444,AG444,AH444,AI444,AJ444,AK444),0)</f>
        <v>184</v>
      </c>
      <c r="AM444" s="4" t="str">
        <f aca="false">IF(AL444="","",IF(AL444&lt;=50,"Good",IF(AL444&lt;=100,"Satisfactory",IF(AL444&lt;=200,"Moderate",IF(AL444&lt;=300,"Poor",IF(AL444&lt;=400,"Very Poor","Severe"))))))</f>
        <v>Moderate</v>
      </c>
    </row>
    <row r="445" customFormat="false" ht="15.75" hidden="false" customHeight="false" outlineLevel="0" collapsed="false">
      <c r="A445" s="1" t="s">
        <v>39</v>
      </c>
      <c r="B445" s="1" t="s">
        <v>40</v>
      </c>
      <c r="C445" s="1" t="n">
        <v>28.4595</v>
      </c>
      <c r="D445" s="1" t="n">
        <v>77.0266</v>
      </c>
      <c r="E445" s="5" t="n">
        <v>45919</v>
      </c>
      <c r="F445" s="6" t="s">
        <v>62</v>
      </c>
      <c r="G445" s="1" t="n">
        <v>9</v>
      </c>
      <c r="H445" s="7" t="s">
        <v>85</v>
      </c>
      <c r="I445" s="6" t="s">
        <v>43</v>
      </c>
      <c r="J445" s="7" t="s">
        <v>44</v>
      </c>
      <c r="K445" s="7" t="s">
        <v>60</v>
      </c>
      <c r="L445" s="1" t="n">
        <v>59</v>
      </c>
      <c r="M445" s="1" t="n">
        <v>22.3</v>
      </c>
      <c r="N445" s="1" t="n">
        <v>32</v>
      </c>
      <c r="O445" s="1" t="n">
        <v>0</v>
      </c>
      <c r="P445" s="6" t="s">
        <v>43</v>
      </c>
      <c r="Q445" s="6" t="s">
        <v>43</v>
      </c>
      <c r="R445" s="1" t="n">
        <v>1008.3</v>
      </c>
      <c r="S445" s="1" t="n">
        <v>3</v>
      </c>
      <c r="T445" s="1" t="n">
        <v>50.2</v>
      </c>
      <c r="U445" s="1" t="n">
        <v>75.7</v>
      </c>
      <c r="V445" s="1" t="n">
        <v>394</v>
      </c>
      <c r="W445" s="1" t="n">
        <v>11.3</v>
      </c>
      <c r="X445" s="1" t="n">
        <v>41.8</v>
      </c>
      <c r="Y445" s="1" t="n">
        <v>191</v>
      </c>
      <c r="Z445" s="1" t="n">
        <v>50</v>
      </c>
      <c r="AA445" s="1" t="n">
        <v>154</v>
      </c>
      <c r="AB445" s="7" t="s">
        <v>81</v>
      </c>
      <c r="AC445" s="7" t="s">
        <v>48</v>
      </c>
      <c r="AD445" s="6" t="s">
        <v>43</v>
      </c>
      <c r="AE445" s="6" t="s">
        <v>43</v>
      </c>
      <c r="AF445" s="4" t="n">
        <f aca="false">IF(T445="","",IF(T445&lt;=30,(50/30)*T445,IF(T445&lt;=60,50+((100-50)/(60-30))*(T445-30),IF(T445&lt;=90,100+((200-100)/(90-60))*(T445-60),IF(T445&lt;=120,200+((300-200)/(120-90))*(T445-90),IF(T445&lt;=250,300+((400-300)/(250-120))*(T445-120),IF(T445&lt;=380,400+((500-400)/(380-250))*(T445-250),500)))))))</f>
        <v>83.6666666666667</v>
      </c>
      <c r="AG445" s="4" t="n">
        <f aca="false">IF(U445="","",IF(U445&lt;=50,(50/50)*U445,IF(U445&lt;=100,50+((100-50)/(100-50))*(U445-50),IF(U445&lt;=250,100+((200-100)/(250-100))*(U445-100),IF(U445&lt;=350,200+((300-200)/(350-250))*(U445-250),IF(U445&lt;=430,300+((400-300)/(430-350))*(U445-350),IF(U445&lt;=600,400+((500-400)/(600-430))*(U445-430),500)))))))</f>
        <v>75.7</v>
      </c>
      <c r="AH445" s="4" t="n">
        <f aca="false">IF(V445="","",IF((V445/1000)&lt;=1,(50/1)*(V445/1000),IF((V445/1000)&lt;=2,50+((100-50)/(2-1))*(V445/1000-1),IF((V445/1000)&lt;=10,100+((200-100)/(10-2))*(V445/1000-2),IF((V445/1000)&lt;=17,200+((300-200)/(17-10))*(V445/1000-10),IF((V445/1000)&lt;=34,300+((400-300)/(34-17))*(V445/1000-17),IF((V445/1000)&lt;=57,400+((500-400)/(57-34))*(V445/1000-34),500)))))))</f>
        <v>19.7</v>
      </c>
      <c r="AI445" s="4" t="n">
        <f aca="false">IF(W445="","",IF(W445&lt;=40,(50/40)*W445,IF(W445&lt;=80,50+((100-50)/(80-40))*(W445-40),IF(W445&lt;=180,100+((200-100)/(180-80))*(W445-80),IF(W445&lt;=280,200+((300-200)/(280-180))*(W445-180),IF(W445&lt;=400,300+((400-300)/(400-280))*(W445-280),IF(W445&lt;=800,400+((500-400)/(800-400))*(W445-400),500)))))))</f>
        <v>14.125</v>
      </c>
      <c r="AJ445" s="4" t="n">
        <f aca="false">IF(X445="","",IF(X445&lt;=40,(50/40)*X445,IF(X445&lt;=80,50+((100-50)/(80-40))*(X445-40),IF(X445&lt;=380,100+((200-100)/(380-80))*(X445-80),IF(X445&lt;=800,200+((300-200)/(800-380))*(X445-380),IF(X445&lt;=1600,300+((400-300)/(1600-800))*(X445-800),IF(X445&lt;=2100,400+((500-400)/(2100-1600))*(X445-1600),500)))))))</f>
        <v>52.25</v>
      </c>
      <c r="AK445" s="4" t="n">
        <f aca="false">IF(Y445="","",IF(Y445&lt;=50,(50/50)*Y445,IF(Y445&lt;=100,50+((100-50)/(100-50))*(Y445-50),IF(Y445&lt;=168,100+((200-100)/(168-100))*(Y445-100),IF(Y445&lt;=208,200+((300-200)/(208-168))*(Y445-168),IF(Y445&lt;=748,300+((400-300)/(748-208))*(Y445-208),IF(Y445&lt;=1000,400+((500-400)/(1000-748))*(Y445-748),500)))))))</f>
        <v>257.5</v>
      </c>
      <c r="AL445" s="4" t="n">
        <f aca="false">ROUND(MAX(AF445,AG445,AH445,AI445,AJ445,AK445),0)</f>
        <v>258</v>
      </c>
      <c r="AM445" s="4" t="str">
        <f aca="false">IF(AL445="","",IF(AL445&lt;=50,"Good",IF(AL445&lt;=100,"Satisfactory",IF(AL445&lt;=200,"Moderate",IF(AL445&lt;=300,"Poor",IF(AL445&lt;=400,"Very Poor","Severe"))))))</f>
        <v>Poor</v>
      </c>
    </row>
    <row r="446" customFormat="false" ht="15.75" hidden="false" customHeight="false" outlineLevel="0" collapsed="false">
      <c r="A446" s="1" t="s">
        <v>39</v>
      </c>
      <c r="B446" s="1" t="s">
        <v>40</v>
      </c>
      <c r="C446" s="1" t="n">
        <v>28.4595</v>
      </c>
      <c r="D446" s="1" t="n">
        <v>77.0266</v>
      </c>
      <c r="E446" s="5" t="n">
        <v>45919</v>
      </c>
      <c r="F446" s="6" t="s">
        <v>63</v>
      </c>
      <c r="G446" s="1" t="n">
        <v>9</v>
      </c>
      <c r="H446" s="7" t="s">
        <v>85</v>
      </c>
      <c r="I446" s="6" t="s">
        <v>43</v>
      </c>
      <c r="J446" s="7" t="s">
        <v>44</v>
      </c>
      <c r="K446" s="7" t="s">
        <v>60</v>
      </c>
      <c r="L446" s="1" t="n">
        <v>50</v>
      </c>
      <c r="M446" s="1" t="n">
        <v>21.8</v>
      </c>
      <c r="N446" s="1" t="n">
        <v>28.4</v>
      </c>
      <c r="O446" s="1" t="n">
        <v>0</v>
      </c>
      <c r="P446" s="6" t="s">
        <v>43</v>
      </c>
      <c r="Q446" s="6" t="s">
        <v>43</v>
      </c>
      <c r="R446" s="1" t="n">
        <v>1007.2</v>
      </c>
      <c r="S446" s="1" t="n">
        <v>27</v>
      </c>
      <c r="T446" s="1" t="n">
        <v>49</v>
      </c>
      <c r="U446" s="1" t="n">
        <v>74.3</v>
      </c>
      <c r="V446" s="1" t="n">
        <v>316</v>
      </c>
      <c r="W446" s="1" t="n">
        <v>7.4</v>
      </c>
      <c r="X446" s="1" t="n">
        <v>36.6</v>
      </c>
      <c r="Y446" s="1" t="n">
        <v>207</v>
      </c>
      <c r="Z446" s="1" t="n">
        <v>51</v>
      </c>
      <c r="AA446" s="1" t="n">
        <v>154</v>
      </c>
      <c r="AB446" s="7" t="s">
        <v>81</v>
      </c>
      <c r="AC446" s="7" t="s">
        <v>48</v>
      </c>
      <c r="AD446" s="6" t="s">
        <v>43</v>
      </c>
      <c r="AE446" s="6" t="s">
        <v>43</v>
      </c>
      <c r="AF446" s="4" t="n">
        <f aca="false">IF(T446="","",IF(T446&lt;=30,(50/30)*T446,IF(T446&lt;=60,50+((100-50)/(60-30))*(T446-30),IF(T446&lt;=90,100+((200-100)/(90-60))*(T446-60),IF(T446&lt;=120,200+((300-200)/(120-90))*(T446-90),IF(T446&lt;=250,300+((400-300)/(250-120))*(T446-120),IF(T446&lt;=380,400+((500-400)/(380-250))*(T446-250),500)))))))</f>
        <v>81.6666666666667</v>
      </c>
      <c r="AG446" s="4" t="n">
        <f aca="false">IF(U446="","",IF(U446&lt;=50,(50/50)*U446,IF(U446&lt;=100,50+((100-50)/(100-50))*(U446-50),IF(U446&lt;=250,100+((200-100)/(250-100))*(U446-100),IF(U446&lt;=350,200+((300-200)/(350-250))*(U446-250),IF(U446&lt;=430,300+((400-300)/(430-350))*(U446-350),IF(U446&lt;=600,400+((500-400)/(600-430))*(U446-430),500)))))))</f>
        <v>74.3</v>
      </c>
      <c r="AH446" s="4" t="n">
        <f aca="false">IF(V446="","",IF((V446/1000)&lt;=1,(50/1)*(V446/1000),IF((V446/1000)&lt;=2,50+((100-50)/(2-1))*(V446/1000-1),IF((V446/1000)&lt;=10,100+((200-100)/(10-2))*(V446/1000-2),IF((V446/1000)&lt;=17,200+((300-200)/(17-10))*(V446/1000-10),IF((V446/1000)&lt;=34,300+((400-300)/(34-17))*(V446/1000-17),IF((V446/1000)&lt;=57,400+((500-400)/(57-34))*(V446/1000-34),500)))))))</f>
        <v>15.8</v>
      </c>
      <c r="AI446" s="4" t="n">
        <f aca="false">IF(W446="","",IF(W446&lt;=40,(50/40)*W446,IF(W446&lt;=80,50+((100-50)/(80-40))*(W446-40),IF(W446&lt;=180,100+((200-100)/(180-80))*(W446-80),IF(W446&lt;=280,200+((300-200)/(280-180))*(W446-180),IF(W446&lt;=400,300+((400-300)/(400-280))*(W446-280),IF(W446&lt;=800,400+((500-400)/(800-400))*(W446-400),500)))))))</f>
        <v>9.25</v>
      </c>
      <c r="AJ446" s="4" t="n">
        <f aca="false">IF(X446="","",IF(X446&lt;=40,(50/40)*X446,IF(X446&lt;=80,50+((100-50)/(80-40))*(X446-40),IF(X446&lt;=380,100+((200-100)/(380-80))*(X446-80),IF(X446&lt;=800,200+((300-200)/(800-380))*(X446-380),IF(X446&lt;=1600,300+((400-300)/(1600-800))*(X446-800),IF(X446&lt;=2100,400+((500-400)/(2100-1600))*(X446-1600),500)))))))</f>
        <v>45.75</v>
      </c>
      <c r="AK446" s="4" t="n">
        <f aca="false">IF(Y446="","",IF(Y446&lt;=50,(50/50)*Y446,IF(Y446&lt;=100,50+((100-50)/(100-50))*(Y446-50),IF(Y446&lt;=168,100+((200-100)/(168-100))*(Y446-100),IF(Y446&lt;=208,200+((300-200)/(208-168))*(Y446-168),IF(Y446&lt;=748,300+((400-300)/(748-208))*(Y446-208),IF(Y446&lt;=1000,400+((500-400)/(1000-748))*(Y446-748),500)))))))</f>
        <v>297.5</v>
      </c>
      <c r="AL446" s="4" t="n">
        <f aca="false">ROUND(MAX(AF446,AG446,AH446,AI446,AJ446,AK446),0)</f>
        <v>298</v>
      </c>
      <c r="AM446" s="4" t="str">
        <f aca="false">IF(AL446="","",IF(AL446&lt;=50,"Good",IF(AL446&lt;=100,"Satisfactory",IF(AL446&lt;=200,"Moderate",IF(AL446&lt;=300,"Poor",IF(AL446&lt;=400,"Very Poor","Severe"))))))</f>
        <v>Poor</v>
      </c>
    </row>
    <row r="447" customFormat="false" ht="15.75" hidden="false" customHeight="false" outlineLevel="0" collapsed="false">
      <c r="A447" s="1" t="s">
        <v>39</v>
      </c>
      <c r="B447" s="1" t="s">
        <v>40</v>
      </c>
      <c r="C447" s="1" t="n">
        <v>28.4595</v>
      </c>
      <c r="D447" s="1" t="n">
        <v>77.0266</v>
      </c>
      <c r="E447" s="5" t="n">
        <v>45919</v>
      </c>
      <c r="F447" s="6" t="s">
        <v>64</v>
      </c>
      <c r="G447" s="1" t="n">
        <v>9</v>
      </c>
      <c r="H447" s="7" t="s">
        <v>85</v>
      </c>
      <c r="I447" s="6" t="s">
        <v>43</v>
      </c>
      <c r="J447" s="7" t="s">
        <v>44</v>
      </c>
      <c r="K447" s="7" t="s">
        <v>65</v>
      </c>
      <c r="L447" s="1" t="n">
        <v>47</v>
      </c>
      <c r="M447" s="1" t="n">
        <v>20.7</v>
      </c>
      <c r="N447" s="1" t="n">
        <v>32.4</v>
      </c>
      <c r="O447" s="1" t="n">
        <v>0</v>
      </c>
      <c r="P447" s="6" t="s">
        <v>43</v>
      </c>
      <c r="Q447" s="6" t="s">
        <v>43</v>
      </c>
      <c r="R447" s="1" t="n">
        <v>1006.3</v>
      </c>
      <c r="S447" s="1" t="n">
        <v>20</v>
      </c>
      <c r="T447" s="1" t="n">
        <v>49.6</v>
      </c>
      <c r="U447" s="1" t="n">
        <v>75.2</v>
      </c>
      <c r="V447" s="1" t="n">
        <v>260</v>
      </c>
      <c r="W447" s="1" t="n">
        <v>6.1</v>
      </c>
      <c r="X447" s="1" t="n">
        <v>30.2</v>
      </c>
      <c r="Y447" s="1" t="n">
        <v>212</v>
      </c>
      <c r="Z447" s="1" t="n">
        <v>50</v>
      </c>
      <c r="AA447" s="1" t="n">
        <v>154</v>
      </c>
      <c r="AB447" s="7" t="s">
        <v>81</v>
      </c>
      <c r="AC447" s="7" t="s">
        <v>48</v>
      </c>
      <c r="AD447" s="6" t="s">
        <v>43</v>
      </c>
      <c r="AE447" s="6" t="s">
        <v>43</v>
      </c>
      <c r="AF447" s="4" t="n">
        <f aca="false">IF(T447="","",IF(T447&lt;=30,(50/30)*T447,IF(T447&lt;=60,50+((100-50)/(60-30))*(T447-30),IF(T447&lt;=90,100+((200-100)/(90-60))*(T447-60),IF(T447&lt;=120,200+((300-200)/(120-90))*(T447-90),IF(T447&lt;=250,300+((400-300)/(250-120))*(T447-120),IF(T447&lt;=380,400+((500-400)/(380-250))*(T447-250),500)))))))</f>
        <v>82.6666666666667</v>
      </c>
      <c r="AG447" s="4" t="n">
        <f aca="false">IF(U447="","",IF(U447&lt;=50,(50/50)*U447,IF(U447&lt;=100,50+((100-50)/(100-50))*(U447-50),IF(U447&lt;=250,100+((200-100)/(250-100))*(U447-100),IF(U447&lt;=350,200+((300-200)/(350-250))*(U447-250),IF(U447&lt;=430,300+((400-300)/(430-350))*(U447-350),IF(U447&lt;=600,400+((500-400)/(600-430))*(U447-430),500)))))))</f>
        <v>75.2</v>
      </c>
      <c r="AH447" s="4" t="n">
        <f aca="false">IF(V447="","",IF((V447/1000)&lt;=1,(50/1)*(V447/1000),IF((V447/1000)&lt;=2,50+((100-50)/(2-1))*(V447/1000-1),IF((V447/1000)&lt;=10,100+((200-100)/(10-2))*(V447/1000-2),IF((V447/1000)&lt;=17,200+((300-200)/(17-10))*(V447/1000-10),IF((V447/1000)&lt;=34,300+((400-300)/(34-17))*(V447/1000-17),IF((V447/1000)&lt;=57,400+((500-400)/(57-34))*(V447/1000-34),500)))))))</f>
        <v>13</v>
      </c>
      <c r="AI447" s="4" t="n">
        <f aca="false">IF(W447="","",IF(W447&lt;=40,(50/40)*W447,IF(W447&lt;=80,50+((100-50)/(80-40))*(W447-40),IF(W447&lt;=180,100+((200-100)/(180-80))*(W447-80),IF(W447&lt;=280,200+((300-200)/(280-180))*(W447-180),IF(W447&lt;=400,300+((400-300)/(400-280))*(W447-280),IF(W447&lt;=800,400+((500-400)/(800-400))*(W447-400),500)))))))</f>
        <v>7.625</v>
      </c>
      <c r="AJ447" s="4" t="n">
        <f aca="false">IF(X447="","",IF(X447&lt;=40,(50/40)*X447,IF(X447&lt;=80,50+((100-50)/(80-40))*(X447-40),IF(X447&lt;=380,100+((200-100)/(380-80))*(X447-80),IF(X447&lt;=800,200+((300-200)/(800-380))*(X447-380),IF(X447&lt;=1600,300+((400-300)/(1600-800))*(X447-800),IF(X447&lt;=2100,400+((500-400)/(2100-1600))*(X447-1600),500)))))))</f>
        <v>37.75</v>
      </c>
      <c r="AK447" s="4" t="n">
        <f aca="false">IF(Y447="","",IF(Y447&lt;=50,(50/50)*Y447,IF(Y447&lt;=100,50+((100-50)/(100-50))*(Y447-50),IF(Y447&lt;=168,100+((200-100)/(168-100))*(Y447-100),IF(Y447&lt;=208,200+((300-200)/(208-168))*(Y447-168),IF(Y447&lt;=748,300+((400-300)/(748-208))*(Y447-208),IF(Y447&lt;=1000,400+((500-400)/(1000-748))*(Y447-748),500)))))))</f>
        <v>300.740740740741</v>
      </c>
      <c r="AL447" s="4" t="n">
        <f aca="false">ROUND(MAX(AF447,AG447,AH447,AI447,AJ447,AK447),0)</f>
        <v>301</v>
      </c>
      <c r="AM447" s="4" t="str">
        <f aca="false">IF(AL447="","",IF(AL447&lt;=50,"Good",IF(AL447&lt;=100,"Satisfactory",IF(AL447&lt;=200,"Moderate",IF(AL447&lt;=300,"Poor",IF(AL447&lt;=400,"Very Poor","Severe"))))))</f>
        <v>Very Poor</v>
      </c>
    </row>
    <row r="448" customFormat="false" ht="15.75" hidden="false" customHeight="false" outlineLevel="0" collapsed="false">
      <c r="A448" s="1" t="s">
        <v>39</v>
      </c>
      <c r="B448" s="1" t="s">
        <v>40</v>
      </c>
      <c r="C448" s="1" t="n">
        <v>28.4595</v>
      </c>
      <c r="D448" s="1" t="n">
        <v>77.0266</v>
      </c>
      <c r="E448" s="5" t="n">
        <v>45919</v>
      </c>
      <c r="F448" s="6" t="s">
        <v>66</v>
      </c>
      <c r="G448" s="1" t="n">
        <v>9</v>
      </c>
      <c r="H448" s="7" t="s">
        <v>85</v>
      </c>
      <c r="I448" s="6" t="s">
        <v>43</v>
      </c>
      <c r="J448" s="7" t="s">
        <v>44</v>
      </c>
      <c r="K448" s="7" t="s">
        <v>65</v>
      </c>
      <c r="L448" s="1" t="n">
        <v>45</v>
      </c>
      <c r="M448" s="1" t="n">
        <v>20.2</v>
      </c>
      <c r="N448" s="1" t="n">
        <v>32.4</v>
      </c>
      <c r="O448" s="1" t="n">
        <v>0</v>
      </c>
      <c r="P448" s="6" t="s">
        <v>43</v>
      </c>
      <c r="Q448" s="6" t="s">
        <v>43</v>
      </c>
      <c r="R448" s="1" t="n">
        <v>1004.8</v>
      </c>
      <c r="S448" s="1" t="n">
        <v>9</v>
      </c>
      <c r="T448" s="1" t="n">
        <v>51.6</v>
      </c>
      <c r="U448" s="1" t="n">
        <v>77.3</v>
      </c>
      <c r="V448" s="1" t="n">
        <v>231</v>
      </c>
      <c r="W448" s="1" t="n">
        <v>6.6</v>
      </c>
      <c r="X448" s="1" t="n">
        <v>25.7</v>
      </c>
      <c r="Y448" s="1" t="n">
        <v>210</v>
      </c>
      <c r="Z448" s="1" t="n">
        <v>50</v>
      </c>
      <c r="AA448" s="1" t="n">
        <v>154</v>
      </c>
      <c r="AB448" s="7" t="s">
        <v>81</v>
      </c>
      <c r="AC448" s="7" t="s">
        <v>48</v>
      </c>
      <c r="AD448" s="6" t="s">
        <v>43</v>
      </c>
      <c r="AE448" s="6" t="s">
        <v>43</v>
      </c>
      <c r="AF448" s="4" t="n">
        <f aca="false">IF(T448="","",IF(T448&lt;=30,(50/30)*T448,IF(T448&lt;=60,50+((100-50)/(60-30))*(T448-30),IF(T448&lt;=90,100+((200-100)/(90-60))*(T448-60),IF(T448&lt;=120,200+((300-200)/(120-90))*(T448-90),IF(T448&lt;=250,300+((400-300)/(250-120))*(T448-120),IF(T448&lt;=380,400+((500-400)/(380-250))*(T448-250),500)))))))</f>
        <v>86</v>
      </c>
      <c r="AG448" s="4" t="n">
        <f aca="false">IF(U448="","",IF(U448&lt;=50,(50/50)*U448,IF(U448&lt;=100,50+((100-50)/(100-50))*(U448-50),IF(U448&lt;=250,100+((200-100)/(250-100))*(U448-100),IF(U448&lt;=350,200+((300-200)/(350-250))*(U448-250),IF(U448&lt;=430,300+((400-300)/(430-350))*(U448-350),IF(U448&lt;=600,400+((500-400)/(600-430))*(U448-430),500)))))))</f>
        <v>77.3</v>
      </c>
      <c r="AH448" s="4" t="n">
        <f aca="false">IF(V448="","",IF((V448/1000)&lt;=1,(50/1)*(V448/1000),IF((V448/1000)&lt;=2,50+((100-50)/(2-1))*(V448/1000-1),IF((V448/1000)&lt;=10,100+((200-100)/(10-2))*(V448/1000-2),IF((V448/1000)&lt;=17,200+((300-200)/(17-10))*(V448/1000-10),IF((V448/1000)&lt;=34,300+((400-300)/(34-17))*(V448/1000-17),IF((V448/1000)&lt;=57,400+((500-400)/(57-34))*(V448/1000-34),500)))))))</f>
        <v>11.55</v>
      </c>
      <c r="AI448" s="4" t="n">
        <f aca="false">IF(W448="","",IF(W448&lt;=40,(50/40)*W448,IF(W448&lt;=80,50+((100-50)/(80-40))*(W448-40),IF(W448&lt;=180,100+((200-100)/(180-80))*(W448-80),IF(W448&lt;=280,200+((300-200)/(280-180))*(W448-180),IF(W448&lt;=400,300+((400-300)/(400-280))*(W448-280),IF(W448&lt;=800,400+((500-400)/(800-400))*(W448-400),500)))))))</f>
        <v>8.25</v>
      </c>
      <c r="AJ448" s="4" t="n">
        <f aca="false">IF(X448="","",IF(X448&lt;=40,(50/40)*X448,IF(X448&lt;=80,50+((100-50)/(80-40))*(X448-40),IF(X448&lt;=380,100+((200-100)/(380-80))*(X448-80),IF(X448&lt;=800,200+((300-200)/(800-380))*(X448-380),IF(X448&lt;=1600,300+((400-300)/(1600-800))*(X448-800),IF(X448&lt;=2100,400+((500-400)/(2100-1600))*(X448-1600),500)))))))</f>
        <v>32.125</v>
      </c>
      <c r="AK448" s="4" t="n">
        <f aca="false">IF(Y448="","",IF(Y448&lt;=50,(50/50)*Y448,IF(Y448&lt;=100,50+((100-50)/(100-50))*(Y448-50),IF(Y448&lt;=168,100+((200-100)/(168-100))*(Y448-100),IF(Y448&lt;=208,200+((300-200)/(208-168))*(Y448-168),IF(Y448&lt;=748,300+((400-300)/(748-208))*(Y448-208),IF(Y448&lt;=1000,400+((500-400)/(1000-748))*(Y448-748),500)))))))</f>
        <v>300.37037037037</v>
      </c>
      <c r="AL448" s="4" t="n">
        <f aca="false">ROUND(MAX(AF448,AG448,AH448,AI448,AJ448,AK448),0)</f>
        <v>300</v>
      </c>
      <c r="AM448" s="4" t="str">
        <f aca="false">IF(AL448="","",IF(AL448&lt;=50,"Good",IF(AL448&lt;=100,"Satisfactory",IF(AL448&lt;=200,"Moderate",IF(AL448&lt;=300,"Poor",IF(AL448&lt;=400,"Very Poor","Severe"))))))</f>
        <v>Poor</v>
      </c>
    </row>
    <row r="449" customFormat="false" ht="15.75" hidden="false" customHeight="false" outlineLevel="0" collapsed="false">
      <c r="A449" s="1" t="s">
        <v>39</v>
      </c>
      <c r="B449" s="1" t="s">
        <v>40</v>
      </c>
      <c r="C449" s="1" t="n">
        <v>28.4595</v>
      </c>
      <c r="D449" s="1" t="n">
        <v>77.0266</v>
      </c>
      <c r="E449" s="5" t="n">
        <v>45919</v>
      </c>
      <c r="F449" s="6" t="s">
        <v>67</v>
      </c>
      <c r="G449" s="1" t="n">
        <v>9</v>
      </c>
      <c r="H449" s="7" t="s">
        <v>85</v>
      </c>
      <c r="I449" s="6" t="s">
        <v>43</v>
      </c>
      <c r="J449" s="7" t="s">
        <v>44</v>
      </c>
      <c r="K449" s="7" t="s">
        <v>65</v>
      </c>
      <c r="L449" s="1" t="n">
        <v>46</v>
      </c>
      <c r="M449" s="1" t="n">
        <v>20.8</v>
      </c>
      <c r="N449" s="1" t="n">
        <v>31</v>
      </c>
      <c r="O449" s="1" t="n">
        <v>0</v>
      </c>
      <c r="P449" s="6" t="s">
        <v>43</v>
      </c>
      <c r="Q449" s="6" t="s">
        <v>43</v>
      </c>
      <c r="R449" s="1" t="n">
        <v>1003.7</v>
      </c>
      <c r="S449" s="1" t="n">
        <v>16</v>
      </c>
      <c r="T449" s="1" t="n">
        <v>50.6</v>
      </c>
      <c r="U449" s="1" t="n">
        <v>76.4</v>
      </c>
      <c r="V449" s="1" t="n">
        <v>212</v>
      </c>
      <c r="W449" s="1" t="n">
        <v>7.9</v>
      </c>
      <c r="X449" s="1" t="n">
        <v>24.2</v>
      </c>
      <c r="Y449" s="1" t="n">
        <v>202</v>
      </c>
      <c r="Z449" s="1" t="n">
        <v>51</v>
      </c>
      <c r="AA449" s="1" t="n">
        <v>154</v>
      </c>
      <c r="AB449" s="7" t="s">
        <v>81</v>
      </c>
      <c r="AC449" s="7" t="s">
        <v>48</v>
      </c>
      <c r="AD449" s="6" t="s">
        <v>43</v>
      </c>
      <c r="AE449" s="6" t="s">
        <v>43</v>
      </c>
      <c r="AF449" s="4" t="n">
        <f aca="false">IF(T449="","",IF(T449&lt;=30,(50/30)*T449,IF(T449&lt;=60,50+((100-50)/(60-30))*(T449-30),IF(T449&lt;=90,100+((200-100)/(90-60))*(T449-60),IF(T449&lt;=120,200+((300-200)/(120-90))*(T449-90),IF(T449&lt;=250,300+((400-300)/(250-120))*(T449-120),IF(T449&lt;=380,400+((500-400)/(380-250))*(T449-250),500)))))))</f>
        <v>84.3333333333333</v>
      </c>
      <c r="AG449" s="4" t="n">
        <f aca="false">IF(U449="","",IF(U449&lt;=50,(50/50)*U449,IF(U449&lt;=100,50+((100-50)/(100-50))*(U449-50),IF(U449&lt;=250,100+((200-100)/(250-100))*(U449-100),IF(U449&lt;=350,200+((300-200)/(350-250))*(U449-250),IF(U449&lt;=430,300+((400-300)/(430-350))*(U449-350),IF(U449&lt;=600,400+((500-400)/(600-430))*(U449-430),500)))))))</f>
        <v>76.4</v>
      </c>
      <c r="AH449" s="4" t="n">
        <f aca="false">IF(V449="","",IF((V449/1000)&lt;=1,(50/1)*(V449/1000),IF((V449/1000)&lt;=2,50+((100-50)/(2-1))*(V449/1000-1),IF((V449/1000)&lt;=10,100+((200-100)/(10-2))*(V449/1000-2),IF((V449/1000)&lt;=17,200+((300-200)/(17-10))*(V449/1000-10),IF((V449/1000)&lt;=34,300+((400-300)/(34-17))*(V449/1000-17),IF((V449/1000)&lt;=57,400+((500-400)/(57-34))*(V449/1000-34),500)))))))</f>
        <v>10.6</v>
      </c>
      <c r="AI449" s="4" t="n">
        <f aca="false">IF(W449="","",IF(W449&lt;=40,(50/40)*W449,IF(W449&lt;=80,50+((100-50)/(80-40))*(W449-40),IF(W449&lt;=180,100+((200-100)/(180-80))*(W449-80),IF(W449&lt;=280,200+((300-200)/(280-180))*(W449-180),IF(W449&lt;=400,300+((400-300)/(400-280))*(W449-280),IF(W449&lt;=800,400+((500-400)/(800-400))*(W449-400),500)))))))</f>
        <v>9.875</v>
      </c>
      <c r="AJ449" s="4" t="n">
        <f aca="false">IF(X449="","",IF(X449&lt;=40,(50/40)*X449,IF(X449&lt;=80,50+((100-50)/(80-40))*(X449-40),IF(X449&lt;=380,100+((200-100)/(380-80))*(X449-80),IF(X449&lt;=800,200+((300-200)/(800-380))*(X449-380),IF(X449&lt;=1600,300+((400-300)/(1600-800))*(X449-800),IF(X449&lt;=2100,400+((500-400)/(2100-1600))*(X449-1600),500)))))))</f>
        <v>30.25</v>
      </c>
      <c r="AK449" s="4" t="n">
        <f aca="false">IF(Y449="","",IF(Y449&lt;=50,(50/50)*Y449,IF(Y449&lt;=100,50+((100-50)/(100-50))*(Y449-50),IF(Y449&lt;=168,100+((200-100)/(168-100))*(Y449-100),IF(Y449&lt;=208,200+((300-200)/(208-168))*(Y449-168),IF(Y449&lt;=748,300+((400-300)/(748-208))*(Y449-208),IF(Y449&lt;=1000,400+((500-400)/(1000-748))*(Y449-748),500)))))))</f>
        <v>285</v>
      </c>
      <c r="AL449" s="4" t="n">
        <f aca="false">ROUND(MAX(AF449,AG449,AH449,AI449,AJ449,AK449),0)</f>
        <v>285</v>
      </c>
      <c r="AM449" s="4" t="str">
        <f aca="false">IF(AL449="","",IF(AL449&lt;=50,"Good",IF(AL449&lt;=100,"Satisfactory",IF(AL449&lt;=200,"Moderate",IF(AL449&lt;=300,"Poor",IF(AL449&lt;=400,"Very Poor","Severe"))))))</f>
        <v>Poor</v>
      </c>
    </row>
    <row r="450" customFormat="false" ht="15.75" hidden="false" customHeight="false" outlineLevel="0" collapsed="false">
      <c r="A450" s="1" t="s">
        <v>39</v>
      </c>
      <c r="B450" s="1" t="s">
        <v>40</v>
      </c>
      <c r="C450" s="1" t="n">
        <v>28.4595</v>
      </c>
      <c r="D450" s="1" t="n">
        <v>77.0266</v>
      </c>
      <c r="E450" s="5" t="n">
        <v>45919</v>
      </c>
      <c r="F450" s="6" t="s">
        <v>68</v>
      </c>
      <c r="G450" s="1" t="n">
        <v>9</v>
      </c>
      <c r="H450" s="7" t="s">
        <v>85</v>
      </c>
      <c r="I450" s="6" t="s">
        <v>43</v>
      </c>
      <c r="J450" s="7" t="s">
        <v>44</v>
      </c>
      <c r="K450" s="7" t="s">
        <v>65</v>
      </c>
      <c r="L450" s="1" t="n">
        <v>48</v>
      </c>
      <c r="M450" s="1" t="n">
        <v>21</v>
      </c>
      <c r="N450" s="1" t="n">
        <v>32</v>
      </c>
      <c r="O450" s="1" t="n">
        <v>0</v>
      </c>
      <c r="P450" s="6" t="s">
        <v>43</v>
      </c>
      <c r="Q450" s="6" t="s">
        <v>43</v>
      </c>
      <c r="R450" s="1" t="n">
        <v>1003.1</v>
      </c>
      <c r="S450" s="1" t="n">
        <v>6</v>
      </c>
      <c r="T450" s="1" t="n">
        <v>48.4</v>
      </c>
      <c r="U450" s="1" t="n">
        <v>73.6</v>
      </c>
      <c r="V450" s="1" t="n">
        <v>220</v>
      </c>
      <c r="W450" s="1" t="n">
        <v>11.1</v>
      </c>
      <c r="X450" s="1" t="n">
        <v>24.5</v>
      </c>
      <c r="Y450" s="1" t="n">
        <v>187</v>
      </c>
      <c r="Z450" s="1" t="n">
        <v>52</v>
      </c>
      <c r="AA450" s="1" t="n">
        <v>155</v>
      </c>
      <c r="AB450" s="7" t="s">
        <v>81</v>
      </c>
      <c r="AC450" s="7" t="s">
        <v>48</v>
      </c>
      <c r="AD450" s="6" t="s">
        <v>43</v>
      </c>
      <c r="AE450" s="6" t="s">
        <v>43</v>
      </c>
      <c r="AF450" s="4" t="n">
        <f aca="false">IF(T450="","",IF(T450&lt;=30,(50/30)*T450,IF(T450&lt;=60,50+((100-50)/(60-30))*(T450-30),IF(T450&lt;=90,100+((200-100)/(90-60))*(T450-60),IF(T450&lt;=120,200+((300-200)/(120-90))*(T450-90),IF(T450&lt;=250,300+((400-300)/(250-120))*(T450-120),IF(T450&lt;=380,400+((500-400)/(380-250))*(T450-250),500)))))))</f>
        <v>80.6666666666667</v>
      </c>
      <c r="AG450" s="4" t="n">
        <f aca="false">IF(U450="","",IF(U450&lt;=50,(50/50)*U450,IF(U450&lt;=100,50+((100-50)/(100-50))*(U450-50),IF(U450&lt;=250,100+((200-100)/(250-100))*(U450-100),IF(U450&lt;=350,200+((300-200)/(350-250))*(U450-250),IF(U450&lt;=430,300+((400-300)/(430-350))*(U450-350),IF(U450&lt;=600,400+((500-400)/(600-430))*(U450-430),500)))))))</f>
        <v>73.6</v>
      </c>
      <c r="AH450" s="4" t="n">
        <f aca="false">IF(V450="","",IF((V450/1000)&lt;=1,(50/1)*(V450/1000),IF((V450/1000)&lt;=2,50+((100-50)/(2-1))*(V450/1000-1),IF((V450/1000)&lt;=10,100+((200-100)/(10-2))*(V450/1000-2),IF((V450/1000)&lt;=17,200+((300-200)/(17-10))*(V450/1000-10),IF((V450/1000)&lt;=34,300+((400-300)/(34-17))*(V450/1000-17),IF((V450/1000)&lt;=57,400+((500-400)/(57-34))*(V450/1000-34),500)))))))</f>
        <v>11</v>
      </c>
      <c r="AI450" s="4" t="n">
        <f aca="false">IF(W450="","",IF(W450&lt;=40,(50/40)*W450,IF(W450&lt;=80,50+((100-50)/(80-40))*(W450-40),IF(W450&lt;=180,100+((200-100)/(180-80))*(W450-80),IF(W450&lt;=280,200+((300-200)/(280-180))*(W450-180),IF(W450&lt;=400,300+((400-300)/(400-280))*(W450-280),IF(W450&lt;=800,400+((500-400)/(800-400))*(W450-400),500)))))))</f>
        <v>13.875</v>
      </c>
      <c r="AJ450" s="4" t="n">
        <f aca="false">IF(X450="","",IF(X450&lt;=40,(50/40)*X450,IF(X450&lt;=80,50+((100-50)/(80-40))*(X450-40),IF(X450&lt;=380,100+((200-100)/(380-80))*(X450-80),IF(X450&lt;=800,200+((300-200)/(800-380))*(X450-380),IF(X450&lt;=1600,300+((400-300)/(1600-800))*(X450-800),IF(X450&lt;=2100,400+((500-400)/(2100-1600))*(X450-1600),500)))))))</f>
        <v>30.625</v>
      </c>
      <c r="AK450" s="4" t="n">
        <f aca="false">IF(Y450="","",IF(Y450&lt;=50,(50/50)*Y450,IF(Y450&lt;=100,50+((100-50)/(100-50))*(Y450-50),IF(Y450&lt;=168,100+((200-100)/(168-100))*(Y450-100),IF(Y450&lt;=208,200+((300-200)/(208-168))*(Y450-168),IF(Y450&lt;=748,300+((400-300)/(748-208))*(Y450-208),IF(Y450&lt;=1000,400+((500-400)/(1000-748))*(Y450-748),500)))))))</f>
        <v>247.5</v>
      </c>
      <c r="AL450" s="4" t="n">
        <f aca="false">ROUND(MAX(AF450,AG450,AH450,AI450,AJ450,AK450),0)</f>
        <v>248</v>
      </c>
      <c r="AM450" s="4" t="str">
        <f aca="false">IF(AL450="","",IF(AL450&lt;=50,"Good",IF(AL450&lt;=100,"Satisfactory",IF(AL450&lt;=200,"Moderate",IF(AL450&lt;=300,"Poor",IF(AL450&lt;=400,"Very Poor","Severe"))))))</f>
        <v>Poor</v>
      </c>
    </row>
    <row r="451" customFormat="false" ht="15.75" hidden="false" customHeight="false" outlineLevel="0" collapsed="false">
      <c r="A451" s="1" t="s">
        <v>39</v>
      </c>
      <c r="B451" s="1" t="s">
        <v>40</v>
      </c>
      <c r="C451" s="1" t="n">
        <v>28.4595</v>
      </c>
      <c r="D451" s="1" t="n">
        <v>77.0266</v>
      </c>
      <c r="E451" s="5" t="n">
        <v>45919</v>
      </c>
      <c r="F451" s="6" t="s">
        <v>69</v>
      </c>
      <c r="G451" s="1" t="n">
        <v>9</v>
      </c>
      <c r="H451" s="7" t="s">
        <v>85</v>
      </c>
      <c r="I451" s="6" t="s">
        <v>43</v>
      </c>
      <c r="J451" s="7" t="s">
        <v>44</v>
      </c>
      <c r="K451" s="7" t="s">
        <v>65</v>
      </c>
      <c r="L451" s="1" t="n">
        <v>53</v>
      </c>
      <c r="M451" s="1" t="n">
        <v>21.5</v>
      </c>
      <c r="N451" s="1" t="n">
        <v>28.8</v>
      </c>
      <c r="O451" s="1" t="n">
        <v>0</v>
      </c>
      <c r="P451" s="6" t="s">
        <v>43</v>
      </c>
      <c r="Q451" s="6" t="s">
        <v>43</v>
      </c>
      <c r="R451" s="1" t="n">
        <v>1003.2</v>
      </c>
      <c r="S451" s="1" t="n">
        <v>4</v>
      </c>
      <c r="T451" s="1" t="n">
        <v>51.3</v>
      </c>
      <c r="U451" s="1" t="n">
        <v>99</v>
      </c>
      <c r="V451" s="1" t="n">
        <v>307</v>
      </c>
      <c r="W451" s="1" t="n">
        <v>19.2</v>
      </c>
      <c r="X451" s="1" t="n">
        <v>32.9</v>
      </c>
      <c r="Y451" s="1" t="n">
        <v>178</v>
      </c>
      <c r="Z451" s="1" t="n">
        <v>93</v>
      </c>
      <c r="AA451" s="1" t="n">
        <v>173</v>
      </c>
      <c r="AB451" s="7" t="s">
        <v>81</v>
      </c>
      <c r="AC451" s="7" t="s">
        <v>48</v>
      </c>
      <c r="AD451" s="6" t="s">
        <v>43</v>
      </c>
      <c r="AE451" s="6" t="s">
        <v>43</v>
      </c>
      <c r="AF451" s="4" t="n">
        <f aca="false">IF(T451="","",IF(T451&lt;=30,(50/30)*T451,IF(T451&lt;=60,50+((100-50)/(60-30))*(T451-30),IF(T451&lt;=90,100+((200-100)/(90-60))*(T451-60),IF(T451&lt;=120,200+((300-200)/(120-90))*(T451-90),IF(T451&lt;=250,300+((400-300)/(250-120))*(T451-120),IF(T451&lt;=380,400+((500-400)/(380-250))*(T451-250),500)))))))</f>
        <v>85.5</v>
      </c>
      <c r="AG451" s="4" t="n">
        <f aca="false">IF(U451="","",IF(U451&lt;=50,(50/50)*U451,IF(U451&lt;=100,50+((100-50)/(100-50))*(U451-50),IF(U451&lt;=250,100+((200-100)/(250-100))*(U451-100),IF(U451&lt;=350,200+((300-200)/(350-250))*(U451-250),IF(U451&lt;=430,300+((400-300)/(430-350))*(U451-350),IF(U451&lt;=600,400+((500-400)/(600-430))*(U451-430),500)))))))</f>
        <v>99</v>
      </c>
      <c r="AH451" s="4" t="n">
        <f aca="false">IF(V451="","",IF((V451/1000)&lt;=1,(50/1)*(V451/1000),IF((V451/1000)&lt;=2,50+((100-50)/(2-1))*(V451/1000-1),IF((V451/1000)&lt;=10,100+((200-100)/(10-2))*(V451/1000-2),IF((V451/1000)&lt;=17,200+((300-200)/(17-10))*(V451/1000-10),IF((V451/1000)&lt;=34,300+((400-300)/(34-17))*(V451/1000-17),IF((V451/1000)&lt;=57,400+((500-400)/(57-34))*(V451/1000-34),500)))))))</f>
        <v>15.35</v>
      </c>
      <c r="AI451" s="4" t="n">
        <f aca="false">IF(W451="","",IF(W451&lt;=40,(50/40)*W451,IF(W451&lt;=80,50+((100-50)/(80-40))*(W451-40),IF(W451&lt;=180,100+((200-100)/(180-80))*(W451-80),IF(W451&lt;=280,200+((300-200)/(280-180))*(W451-180),IF(W451&lt;=400,300+((400-300)/(400-280))*(W451-280),IF(W451&lt;=800,400+((500-400)/(800-400))*(W451-400),500)))))))</f>
        <v>24</v>
      </c>
      <c r="AJ451" s="4" t="n">
        <f aca="false">IF(X451="","",IF(X451&lt;=40,(50/40)*X451,IF(X451&lt;=80,50+((100-50)/(80-40))*(X451-40),IF(X451&lt;=380,100+((200-100)/(380-80))*(X451-80),IF(X451&lt;=800,200+((300-200)/(800-380))*(X451-380),IF(X451&lt;=1600,300+((400-300)/(1600-800))*(X451-800),IF(X451&lt;=2100,400+((500-400)/(2100-1600))*(X451-1600),500)))))))</f>
        <v>41.125</v>
      </c>
      <c r="AK451" s="4" t="n">
        <f aca="false">IF(Y451="","",IF(Y451&lt;=50,(50/50)*Y451,IF(Y451&lt;=100,50+((100-50)/(100-50))*(Y451-50),IF(Y451&lt;=168,100+((200-100)/(168-100))*(Y451-100),IF(Y451&lt;=208,200+((300-200)/(208-168))*(Y451-168),IF(Y451&lt;=748,300+((400-300)/(748-208))*(Y451-208),IF(Y451&lt;=1000,400+((500-400)/(1000-748))*(Y451-748),500)))))))</f>
        <v>225</v>
      </c>
      <c r="AL451" s="4" t="n">
        <f aca="false">ROUND(MAX(AF451,AG451,AH451,AI451,AJ451,AK451),0)</f>
        <v>225</v>
      </c>
      <c r="AM451" s="4" t="str">
        <f aca="false">IF(AL451="","",IF(AL451&lt;=50,"Good",IF(AL451&lt;=100,"Satisfactory",IF(AL451&lt;=200,"Moderate",IF(AL451&lt;=300,"Poor",IF(AL451&lt;=400,"Very Poor","Severe"))))))</f>
        <v>Poor</v>
      </c>
    </row>
    <row r="452" customFormat="false" ht="15.75" hidden="false" customHeight="false" outlineLevel="0" collapsed="false">
      <c r="A452" s="1" t="s">
        <v>39</v>
      </c>
      <c r="B452" s="1" t="s">
        <v>40</v>
      </c>
      <c r="C452" s="1" t="n">
        <v>28.4595</v>
      </c>
      <c r="D452" s="1" t="n">
        <v>77.0266</v>
      </c>
      <c r="E452" s="5" t="n">
        <v>45919</v>
      </c>
      <c r="F452" s="6" t="s">
        <v>70</v>
      </c>
      <c r="G452" s="1" t="n">
        <v>9</v>
      </c>
      <c r="H452" s="7" t="s">
        <v>85</v>
      </c>
      <c r="I452" s="6" t="s">
        <v>43</v>
      </c>
      <c r="J452" s="7" t="s">
        <v>44</v>
      </c>
      <c r="K452" s="7" t="s">
        <v>71</v>
      </c>
      <c r="L452" s="1" t="n">
        <v>61</v>
      </c>
      <c r="M452" s="1" t="n">
        <v>22.8</v>
      </c>
      <c r="N452" s="1" t="n">
        <v>22</v>
      </c>
      <c r="O452" s="1" t="n">
        <v>0</v>
      </c>
      <c r="P452" s="6" t="s">
        <v>43</v>
      </c>
      <c r="Q452" s="6" t="s">
        <v>43</v>
      </c>
      <c r="R452" s="1" t="n">
        <v>1004.4</v>
      </c>
      <c r="S452" s="1" t="n">
        <v>49</v>
      </c>
      <c r="T452" s="1" t="n">
        <v>50.2</v>
      </c>
      <c r="U452" s="1" t="n">
        <v>89.9</v>
      </c>
      <c r="V452" s="1" t="n">
        <v>518</v>
      </c>
      <c r="W452" s="1" t="n">
        <v>27.9</v>
      </c>
      <c r="X452" s="1" t="n">
        <v>33.3</v>
      </c>
      <c r="Y452" s="1" t="n">
        <v>148</v>
      </c>
      <c r="Z452" s="1" t="n">
        <v>85</v>
      </c>
      <c r="AA452" s="1" t="n">
        <v>184</v>
      </c>
      <c r="AB452" s="7" t="s">
        <v>81</v>
      </c>
      <c r="AC452" s="7" t="s">
        <v>48</v>
      </c>
      <c r="AD452" s="6" t="s">
        <v>43</v>
      </c>
      <c r="AE452" s="6" t="s">
        <v>43</v>
      </c>
      <c r="AF452" s="4" t="n">
        <f aca="false">IF(T452="","",IF(T452&lt;=30,(50/30)*T452,IF(T452&lt;=60,50+((100-50)/(60-30))*(T452-30),IF(T452&lt;=90,100+((200-100)/(90-60))*(T452-60),IF(T452&lt;=120,200+((300-200)/(120-90))*(T452-90),IF(T452&lt;=250,300+((400-300)/(250-120))*(T452-120),IF(T452&lt;=380,400+((500-400)/(380-250))*(T452-250),500)))))))</f>
        <v>83.6666666666667</v>
      </c>
      <c r="AG452" s="4" t="n">
        <f aca="false">IF(U452="","",IF(U452&lt;=50,(50/50)*U452,IF(U452&lt;=100,50+((100-50)/(100-50))*(U452-50),IF(U452&lt;=250,100+((200-100)/(250-100))*(U452-100),IF(U452&lt;=350,200+((300-200)/(350-250))*(U452-250),IF(U452&lt;=430,300+((400-300)/(430-350))*(U452-350),IF(U452&lt;=600,400+((500-400)/(600-430))*(U452-430),500)))))))</f>
        <v>89.9</v>
      </c>
      <c r="AH452" s="4" t="n">
        <f aca="false">IF(V452="","",IF((V452/1000)&lt;=1,(50/1)*(V452/1000),IF((V452/1000)&lt;=2,50+((100-50)/(2-1))*(V452/1000-1),IF((V452/1000)&lt;=10,100+((200-100)/(10-2))*(V452/1000-2),IF((V452/1000)&lt;=17,200+((300-200)/(17-10))*(V452/1000-10),IF((V452/1000)&lt;=34,300+((400-300)/(34-17))*(V452/1000-17),IF((V452/1000)&lt;=57,400+((500-400)/(57-34))*(V452/1000-34),500)))))))</f>
        <v>25.9</v>
      </c>
      <c r="AI452" s="4" t="n">
        <f aca="false">IF(W452="","",IF(W452&lt;=40,(50/40)*W452,IF(W452&lt;=80,50+((100-50)/(80-40))*(W452-40),IF(W452&lt;=180,100+((200-100)/(180-80))*(W452-80),IF(W452&lt;=280,200+((300-200)/(280-180))*(W452-180),IF(W452&lt;=400,300+((400-300)/(400-280))*(W452-280),IF(W452&lt;=800,400+((500-400)/(800-400))*(W452-400),500)))))))</f>
        <v>34.875</v>
      </c>
      <c r="AJ452" s="4" t="n">
        <f aca="false">IF(X452="","",IF(X452&lt;=40,(50/40)*X452,IF(X452&lt;=80,50+((100-50)/(80-40))*(X452-40),IF(X452&lt;=380,100+((200-100)/(380-80))*(X452-80),IF(X452&lt;=800,200+((300-200)/(800-380))*(X452-380),IF(X452&lt;=1600,300+((400-300)/(1600-800))*(X452-800),IF(X452&lt;=2100,400+((500-400)/(2100-1600))*(X452-1600),500)))))))</f>
        <v>41.625</v>
      </c>
      <c r="AK452" s="4" t="n">
        <f aca="false">IF(Y452="","",IF(Y452&lt;=50,(50/50)*Y452,IF(Y452&lt;=100,50+((100-50)/(100-50))*(Y452-50),IF(Y452&lt;=168,100+((200-100)/(168-100))*(Y452-100),IF(Y452&lt;=208,200+((300-200)/(208-168))*(Y452-168),IF(Y452&lt;=748,300+((400-300)/(748-208))*(Y452-208),IF(Y452&lt;=1000,400+((500-400)/(1000-748))*(Y452-748),500)))))))</f>
        <v>170.588235294118</v>
      </c>
      <c r="AL452" s="4" t="n">
        <f aca="false">ROUND(MAX(AF452,AG452,AH452,AI452,AJ452,AK452),0)</f>
        <v>171</v>
      </c>
      <c r="AM452" s="4" t="str">
        <f aca="false">IF(AL452="","",IF(AL452&lt;=50,"Good",IF(AL452&lt;=100,"Satisfactory",IF(AL452&lt;=200,"Moderate",IF(AL452&lt;=300,"Poor",IF(AL452&lt;=400,"Very Poor","Severe"))))))</f>
        <v>Moderate</v>
      </c>
    </row>
    <row r="453" customFormat="false" ht="15.75" hidden="false" customHeight="false" outlineLevel="0" collapsed="false">
      <c r="A453" s="1" t="s">
        <v>39</v>
      </c>
      <c r="B453" s="1" t="s">
        <v>40</v>
      </c>
      <c r="C453" s="1" t="n">
        <v>28.4595</v>
      </c>
      <c r="D453" s="1" t="n">
        <v>77.0266</v>
      </c>
      <c r="E453" s="5" t="n">
        <v>45919</v>
      </c>
      <c r="F453" s="6" t="s">
        <v>72</v>
      </c>
      <c r="G453" s="1" t="n">
        <v>9</v>
      </c>
      <c r="H453" s="7" t="s">
        <v>85</v>
      </c>
      <c r="I453" s="6" t="s">
        <v>43</v>
      </c>
      <c r="J453" s="7" t="s">
        <v>44</v>
      </c>
      <c r="K453" s="7" t="s">
        <v>71</v>
      </c>
      <c r="L453" s="1" t="n">
        <v>66</v>
      </c>
      <c r="M453" s="1" t="n">
        <v>23.3</v>
      </c>
      <c r="N453" s="1" t="n">
        <v>18</v>
      </c>
      <c r="O453" s="1" t="n">
        <v>0</v>
      </c>
      <c r="P453" s="6" t="s">
        <v>43</v>
      </c>
      <c r="Q453" s="6" t="s">
        <v>43</v>
      </c>
      <c r="R453" s="1" t="n">
        <v>1005</v>
      </c>
      <c r="S453" s="1" t="n">
        <v>17</v>
      </c>
      <c r="T453" s="1" t="n">
        <v>54.8</v>
      </c>
      <c r="U453" s="1" t="n">
        <v>90.3</v>
      </c>
      <c r="V453" s="1" t="n">
        <v>809</v>
      </c>
      <c r="W453" s="1" t="n">
        <v>40.3</v>
      </c>
      <c r="X453" s="1" t="n">
        <v>34.1</v>
      </c>
      <c r="Y453" s="1" t="n">
        <v>105</v>
      </c>
      <c r="Z453" s="1" t="n">
        <v>73</v>
      </c>
      <c r="AA453" s="1" t="n">
        <v>182</v>
      </c>
      <c r="AB453" s="7" t="s">
        <v>81</v>
      </c>
      <c r="AC453" s="7" t="s">
        <v>48</v>
      </c>
      <c r="AD453" s="6" t="s">
        <v>43</v>
      </c>
      <c r="AE453" s="6" t="s">
        <v>43</v>
      </c>
      <c r="AF453" s="4" t="n">
        <f aca="false">IF(T453="","",IF(T453&lt;=30,(50/30)*T453,IF(T453&lt;=60,50+((100-50)/(60-30))*(T453-30),IF(T453&lt;=90,100+((200-100)/(90-60))*(T453-60),IF(T453&lt;=120,200+((300-200)/(120-90))*(T453-90),IF(T453&lt;=250,300+((400-300)/(250-120))*(T453-120),IF(T453&lt;=380,400+((500-400)/(380-250))*(T453-250),500)))))))</f>
        <v>91.3333333333333</v>
      </c>
      <c r="AG453" s="4" t="n">
        <f aca="false">IF(U453="","",IF(U453&lt;=50,(50/50)*U453,IF(U453&lt;=100,50+((100-50)/(100-50))*(U453-50),IF(U453&lt;=250,100+((200-100)/(250-100))*(U453-100),IF(U453&lt;=350,200+((300-200)/(350-250))*(U453-250),IF(U453&lt;=430,300+((400-300)/(430-350))*(U453-350),IF(U453&lt;=600,400+((500-400)/(600-430))*(U453-430),500)))))))</f>
        <v>90.3</v>
      </c>
      <c r="AH453" s="4" t="n">
        <f aca="false">IF(V453="","",IF((V453/1000)&lt;=1,(50/1)*(V453/1000),IF((V453/1000)&lt;=2,50+((100-50)/(2-1))*(V453/1000-1),IF((V453/1000)&lt;=10,100+((200-100)/(10-2))*(V453/1000-2),IF((V453/1000)&lt;=17,200+((300-200)/(17-10))*(V453/1000-10),IF((V453/1000)&lt;=34,300+((400-300)/(34-17))*(V453/1000-17),IF((V453/1000)&lt;=57,400+((500-400)/(57-34))*(V453/1000-34),500)))))))</f>
        <v>40.45</v>
      </c>
      <c r="AI453" s="4" t="n">
        <f aca="false">IF(W453="","",IF(W453&lt;=40,(50/40)*W453,IF(W453&lt;=80,50+((100-50)/(80-40))*(W453-40),IF(W453&lt;=180,100+((200-100)/(180-80))*(W453-80),IF(W453&lt;=280,200+((300-200)/(280-180))*(W453-180),IF(W453&lt;=400,300+((400-300)/(400-280))*(W453-280),IF(W453&lt;=800,400+((500-400)/(800-400))*(W453-400),500)))))))</f>
        <v>50.375</v>
      </c>
      <c r="AJ453" s="4" t="n">
        <f aca="false">IF(X453="","",IF(X453&lt;=40,(50/40)*X453,IF(X453&lt;=80,50+((100-50)/(80-40))*(X453-40),IF(X453&lt;=380,100+((200-100)/(380-80))*(X453-80),IF(X453&lt;=800,200+((300-200)/(800-380))*(X453-380),IF(X453&lt;=1600,300+((400-300)/(1600-800))*(X453-800),IF(X453&lt;=2100,400+((500-400)/(2100-1600))*(X453-1600),500)))))))</f>
        <v>42.625</v>
      </c>
      <c r="AK453" s="4" t="n">
        <f aca="false">IF(Y453="","",IF(Y453&lt;=50,(50/50)*Y453,IF(Y453&lt;=100,50+((100-50)/(100-50))*(Y453-50),IF(Y453&lt;=168,100+((200-100)/(168-100))*(Y453-100),IF(Y453&lt;=208,200+((300-200)/(208-168))*(Y453-168),IF(Y453&lt;=748,300+((400-300)/(748-208))*(Y453-208),IF(Y453&lt;=1000,400+((500-400)/(1000-748))*(Y453-748),500)))))))</f>
        <v>107.352941176471</v>
      </c>
      <c r="AL453" s="4" t="n">
        <f aca="false">ROUND(MAX(AF453,AG453,AH453,AI453,AJ453,AK453),0)</f>
        <v>107</v>
      </c>
      <c r="AM453" s="4" t="str">
        <f aca="false">IF(AL453="","",IF(AL453&lt;=50,"Good",IF(AL453&lt;=100,"Satisfactory",IF(AL453&lt;=200,"Moderate",IF(AL453&lt;=300,"Poor",IF(AL453&lt;=400,"Very Poor","Severe"))))))</f>
        <v>Moderate</v>
      </c>
    </row>
    <row r="454" customFormat="false" ht="15.75" hidden="false" customHeight="false" outlineLevel="0" collapsed="false">
      <c r="A454" s="1" t="s">
        <v>39</v>
      </c>
      <c r="B454" s="1" t="s">
        <v>40</v>
      </c>
      <c r="C454" s="1" t="n">
        <v>28.4595</v>
      </c>
      <c r="D454" s="1" t="n">
        <v>77.0266</v>
      </c>
      <c r="E454" s="5" t="n">
        <v>45919</v>
      </c>
      <c r="F454" s="6" t="s">
        <v>73</v>
      </c>
      <c r="G454" s="1" t="n">
        <v>9</v>
      </c>
      <c r="H454" s="7" t="s">
        <v>85</v>
      </c>
      <c r="I454" s="6" t="s">
        <v>43</v>
      </c>
      <c r="J454" s="7" t="s">
        <v>44</v>
      </c>
      <c r="K454" s="7" t="s">
        <v>71</v>
      </c>
      <c r="L454" s="1" t="n">
        <v>70</v>
      </c>
      <c r="M454" s="1" t="n">
        <v>23.6</v>
      </c>
      <c r="N454" s="1" t="n">
        <v>14</v>
      </c>
      <c r="O454" s="1" t="n">
        <v>0</v>
      </c>
      <c r="P454" s="6" t="s">
        <v>43</v>
      </c>
      <c r="Q454" s="6" t="s">
        <v>43</v>
      </c>
      <c r="R454" s="1" t="n">
        <v>1005.6</v>
      </c>
      <c r="S454" s="1" t="n">
        <v>2</v>
      </c>
      <c r="T454" s="1" t="n">
        <v>58.3</v>
      </c>
      <c r="U454" s="1" t="n">
        <v>92</v>
      </c>
      <c r="V454" s="1" t="n">
        <v>1099</v>
      </c>
      <c r="W454" s="1" t="n">
        <v>53.5</v>
      </c>
      <c r="X454" s="1" t="n">
        <v>35.6</v>
      </c>
      <c r="Y454" s="1" t="n">
        <v>69</v>
      </c>
      <c r="Z454" s="1" t="n">
        <v>65</v>
      </c>
      <c r="AA454" s="1" t="n">
        <v>169</v>
      </c>
      <c r="AB454" s="7" t="s">
        <v>81</v>
      </c>
      <c r="AC454" s="7" t="s">
        <v>48</v>
      </c>
      <c r="AD454" s="6" t="s">
        <v>43</v>
      </c>
      <c r="AE454" s="6" t="s">
        <v>43</v>
      </c>
      <c r="AF454" s="4" t="n">
        <f aca="false">IF(T454="","",IF(T454&lt;=30,(50/30)*T454,IF(T454&lt;=60,50+((100-50)/(60-30))*(T454-30),IF(T454&lt;=90,100+((200-100)/(90-60))*(T454-60),IF(T454&lt;=120,200+((300-200)/(120-90))*(T454-90),IF(T454&lt;=250,300+((400-300)/(250-120))*(T454-120),IF(T454&lt;=380,400+((500-400)/(380-250))*(T454-250),500)))))))</f>
        <v>97.1666666666667</v>
      </c>
      <c r="AG454" s="4" t="n">
        <f aca="false">IF(U454="","",IF(U454&lt;=50,(50/50)*U454,IF(U454&lt;=100,50+((100-50)/(100-50))*(U454-50),IF(U454&lt;=250,100+((200-100)/(250-100))*(U454-100),IF(U454&lt;=350,200+((300-200)/(350-250))*(U454-250),IF(U454&lt;=430,300+((400-300)/(430-350))*(U454-350),IF(U454&lt;=600,400+((500-400)/(600-430))*(U454-430),500)))))))</f>
        <v>92</v>
      </c>
      <c r="AH454" s="4" t="n">
        <f aca="false">IF(V454="","",IF((V454/1000)&lt;=1,(50/1)*(V454/1000),IF((V454/1000)&lt;=2,50+((100-50)/(2-1))*(V454/1000-1),IF((V454/1000)&lt;=10,100+((200-100)/(10-2))*(V454/1000-2),IF((V454/1000)&lt;=17,200+((300-200)/(17-10))*(V454/1000-10),IF((V454/1000)&lt;=34,300+((400-300)/(34-17))*(V454/1000-17),IF((V454/1000)&lt;=57,400+((500-400)/(57-34))*(V454/1000-34),500)))))))</f>
        <v>54.95</v>
      </c>
      <c r="AI454" s="4" t="n">
        <f aca="false">IF(W454="","",IF(W454&lt;=40,(50/40)*W454,IF(W454&lt;=80,50+((100-50)/(80-40))*(W454-40),IF(W454&lt;=180,100+((200-100)/(180-80))*(W454-80),IF(W454&lt;=280,200+((300-200)/(280-180))*(W454-180),IF(W454&lt;=400,300+((400-300)/(400-280))*(W454-280),IF(W454&lt;=800,400+((500-400)/(800-400))*(W454-400),500)))))))</f>
        <v>66.875</v>
      </c>
      <c r="AJ454" s="4" t="n">
        <f aca="false">IF(X454="","",IF(X454&lt;=40,(50/40)*X454,IF(X454&lt;=80,50+((100-50)/(80-40))*(X454-40),IF(X454&lt;=380,100+((200-100)/(380-80))*(X454-80),IF(X454&lt;=800,200+((300-200)/(800-380))*(X454-380),IF(X454&lt;=1600,300+((400-300)/(1600-800))*(X454-800),IF(X454&lt;=2100,400+((500-400)/(2100-1600))*(X454-1600),500)))))))</f>
        <v>44.5</v>
      </c>
      <c r="AK454" s="4" t="n">
        <f aca="false">IF(Y454="","",IF(Y454&lt;=50,(50/50)*Y454,IF(Y454&lt;=100,50+((100-50)/(100-50))*(Y454-50),IF(Y454&lt;=168,100+((200-100)/(168-100))*(Y454-100),IF(Y454&lt;=208,200+((300-200)/(208-168))*(Y454-168),IF(Y454&lt;=748,300+((400-300)/(748-208))*(Y454-208),IF(Y454&lt;=1000,400+((500-400)/(1000-748))*(Y454-748),500)))))))</f>
        <v>69</v>
      </c>
      <c r="AL454" s="4" t="n">
        <f aca="false">ROUND(MAX(AF454,AG454,AH454,AI454,AJ454,AK454),0)</f>
        <v>97</v>
      </c>
      <c r="AM454" s="4" t="str">
        <f aca="false">IF(AL454="","",IF(AL454&lt;=50,"Good",IF(AL454&lt;=100,"Satisfactory",IF(AL454&lt;=200,"Moderate",IF(AL454&lt;=300,"Poor",IF(AL454&lt;=400,"Very Poor","Severe"))))))</f>
        <v>Satisfactory</v>
      </c>
    </row>
    <row r="455" customFormat="false" ht="15.75" hidden="false" customHeight="false" outlineLevel="0" collapsed="false">
      <c r="A455" s="1" t="s">
        <v>39</v>
      </c>
      <c r="B455" s="1" t="s">
        <v>40</v>
      </c>
      <c r="C455" s="1" t="n">
        <v>28.4595</v>
      </c>
      <c r="D455" s="1" t="n">
        <v>77.0266</v>
      </c>
      <c r="E455" s="5" t="n">
        <v>45919</v>
      </c>
      <c r="F455" s="6" t="s">
        <v>74</v>
      </c>
      <c r="G455" s="1" t="n">
        <v>9</v>
      </c>
      <c r="H455" s="7" t="s">
        <v>85</v>
      </c>
      <c r="I455" s="6" t="s">
        <v>43</v>
      </c>
      <c r="J455" s="7" t="s">
        <v>44</v>
      </c>
      <c r="K455" s="7" t="s">
        <v>75</v>
      </c>
      <c r="L455" s="1" t="n">
        <v>71</v>
      </c>
      <c r="M455" s="1" t="n">
        <v>23.7</v>
      </c>
      <c r="N455" s="1" t="n">
        <v>13.3</v>
      </c>
      <c r="O455" s="1" t="n">
        <v>0</v>
      </c>
      <c r="P455" s="6" t="s">
        <v>43</v>
      </c>
      <c r="Q455" s="6" t="s">
        <v>43</v>
      </c>
      <c r="R455" s="1" t="n">
        <v>1006.3</v>
      </c>
      <c r="S455" s="1" t="n">
        <v>1</v>
      </c>
      <c r="T455" s="1" t="n">
        <v>64.5</v>
      </c>
      <c r="U455" s="1" t="n">
        <v>97.3</v>
      </c>
      <c r="V455" s="1" t="n">
        <v>1425</v>
      </c>
      <c r="W455" s="1" t="n">
        <v>69</v>
      </c>
      <c r="X455" s="1" t="n">
        <v>39.4</v>
      </c>
      <c r="Y455" s="1" t="n">
        <v>45</v>
      </c>
      <c r="Z455" s="1" t="n">
        <v>65</v>
      </c>
      <c r="AA455" s="1" t="n">
        <v>152</v>
      </c>
      <c r="AB455" s="7" t="s">
        <v>81</v>
      </c>
      <c r="AC455" s="7" t="s">
        <v>88</v>
      </c>
      <c r="AD455" s="6" t="s">
        <v>43</v>
      </c>
      <c r="AE455" s="6" t="s">
        <v>43</v>
      </c>
      <c r="AF455" s="4" t="n">
        <f aca="false">IF(T455="","",IF(T455&lt;=30,(50/30)*T455,IF(T455&lt;=60,50+((100-50)/(60-30))*(T455-30),IF(T455&lt;=90,100+((200-100)/(90-60))*(T455-60),IF(T455&lt;=120,200+((300-200)/(120-90))*(T455-90),IF(T455&lt;=250,300+((400-300)/(250-120))*(T455-120),IF(T455&lt;=380,400+((500-400)/(380-250))*(T455-250),500)))))))</f>
        <v>115</v>
      </c>
      <c r="AG455" s="4" t="n">
        <f aca="false">IF(U455="","",IF(U455&lt;=50,(50/50)*U455,IF(U455&lt;=100,50+((100-50)/(100-50))*(U455-50),IF(U455&lt;=250,100+((200-100)/(250-100))*(U455-100),IF(U455&lt;=350,200+((300-200)/(350-250))*(U455-250),IF(U455&lt;=430,300+((400-300)/(430-350))*(U455-350),IF(U455&lt;=600,400+((500-400)/(600-430))*(U455-430),500)))))))</f>
        <v>97.3</v>
      </c>
      <c r="AH455" s="4" t="n">
        <f aca="false">IF(V455="","",IF((V455/1000)&lt;=1,(50/1)*(V455/1000),IF((V455/1000)&lt;=2,50+((100-50)/(2-1))*(V455/1000-1),IF((V455/1000)&lt;=10,100+((200-100)/(10-2))*(V455/1000-2),IF((V455/1000)&lt;=17,200+((300-200)/(17-10))*(V455/1000-10),IF((V455/1000)&lt;=34,300+((400-300)/(34-17))*(V455/1000-17),IF((V455/1000)&lt;=57,400+((500-400)/(57-34))*(V455/1000-34),500)))))))</f>
        <v>71.25</v>
      </c>
      <c r="AI455" s="4" t="n">
        <f aca="false">IF(W455="","",IF(W455&lt;=40,(50/40)*W455,IF(W455&lt;=80,50+((100-50)/(80-40))*(W455-40),IF(W455&lt;=180,100+((200-100)/(180-80))*(W455-80),IF(W455&lt;=280,200+((300-200)/(280-180))*(W455-180),IF(W455&lt;=400,300+((400-300)/(400-280))*(W455-280),IF(W455&lt;=800,400+((500-400)/(800-400))*(W455-400),500)))))))</f>
        <v>86.25</v>
      </c>
      <c r="AJ455" s="4" t="n">
        <f aca="false">IF(X455="","",IF(X455&lt;=40,(50/40)*X455,IF(X455&lt;=80,50+((100-50)/(80-40))*(X455-40),IF(X455&lt;=380,100+((200-100)/(380-80))*(X455-80),IF(X455&lt;=800,200+((300-200)/(800-380))*(X455-380),IF(X455&lt;=1600,300+((400-300)/(1600-800))*(X455-800),IF(X455&lt;=2100,400+((500-400)/(2100-1600))*(X455-1600),500)))))))</f>
        <v>49.25</v>
      </c>
      <c r="AK455" s="4" t="n">
        <f aca="false">IF(Y455="","",IF(Y455&lt;=50,(50/50)*Y455,IF(Y455&lt;=100,50+((100-50)/(100-50))*(Y455-50),IF(Y455&lt;=168,100+((200-100)/(168-100))*(Y455-100),IF(Y455&lt;=208,200+((300-200)/(208-168))*(Y455-168),IF(Y455&lt;=748,300+((400-300)/(748-208))*(Y455-208),IF(Y455&lt;=1000,400+((500-400)/(1000-748))*(Y455-748),500)))))))</f>
        <v>45</v>
      </c>
      <c r="AL455" s="4" t="n">
        <f aca="false">ROUND(MAX(AF455,AG455,AH455,AI455,AJ455,AK455),0)</f>
        <v>115</v>
      </c>
      <c r="AM455" s="4" t="str">
        <f aca="false">IF(AL455="","",IF(AL455&lt;=50,"Good",IF(AL455&lt;=100,"Satisfactory",IF(AL455&lt;=200,"Moderate",IF(AL455&lt;=300,"Poor",IF(AL455&lt;=400,"Very Poor","Severe"))))))</f>
        <v>Moderate</v>
      </c>
    </row>
    <row r="456" customFormat="false" ht="15.75" hidden="false" customHeight="false" outlineLevel="0" collapsed="false">
      <c r="A456" s="1" t="s">
        <v>39</v>
      </c>
      <c r="B456" s="1" t="s">
        <v>40</v>
      </c>
      <c r="C456" s="1" t="n">
        <v>28.4595</v>
      </c>
      <c r="D456" s="1" t="n">
        <v>77.0266</v>
      </c>
      <c r="E456" s="5" t="n">
        <v>45919</v>
      </c>
      <c r="F456" s="6" t="s">
        <v>76</v>
      </c>
      <c r="G456" s="1" t="n">
        <v>9</v>
      </c>
      <c r="H456" s="7" t="s">
        <v>85</v>
      </c>
      <c r="I456" s="6" t="s">
        <v>43</v>
      </c>
      <c r="J456" s="7" t="s">
        <v>44</v>
      </c>
      <c r="K456" s="7" t="s">
        <v>75</v>
      </c>
      <c r="L456" s="1" t="n">
        <v>74</v>
      </c>
      <c r="M456" s="1" t="n">
        <v>23.8</v>
      </c>
      <c r="N456" s="1" t="n">
        <v>11.9</v>
      </c>
      <c r="O456" s="1" t="n">
        <v>0</v>
      </c>
      <c r="P456" s="6" t="s">
        <v>43</v>
      </c>
      <c r="Q456" s="6" t="s">
        <v>43</v>
      </c>
      <c r="R456" s="1" t="n">
        <v>1006.5</v>
      </c>
      <c r="S456" s="1" t="n">
        <v>1</v>
      </c>
      <c r="T456" s="1" t="n">
        <v>73.1</v>
      </c>
      <c r="U456" s="1" t="n">
        <v>108</v>
      </c>
      <c r="V456" s="1" t="n">
        <v>1751</v>
      </c>
      <c r="W456" s="1" t="n">
        <v>85.3</v>
      </c>
      <c r="X456" s="1" t="n">
        <v>44</v>
      </c>
      <c r="Y456" s="1" t="n">
        <v>26</v>
      </c>
      <c r="Z456" s="1" t="n">
        <v>68</v>
      </c>
      <c r="AA456" s="1" t="n">
        <v>152</v>
      </c>
      <c r="AB456" s="7" t="s">
        <v>81</v>
      </c>
      <c r="AC456" s="7" t="s">
        <v>88</v>
      </c>
      <c r="AD456" s="6" t="s">
        <v>43</v>
      </c>
      <c r="AE456" s="6" t="s">
        <v>43</v>
      </c>
      <c r="AF456" s="4" t="n">
        <f aca="false">IF(T456="","",IF(T456&lt;=30,(50/30)*T456,IF(T456&lt;=60,50+((100-50)/(60-30))*(T456-30),IF(T456&lt;=90,100+((200-100)/(90-60))*(T456-60),IF(T456&lt;=120,200+((300-200)/(120-90))*(T456-90),IF(T456&lt;=250,300+((400-300)/(250-120))*(T456-120),IF(T456&lt;=380,400+((500-400)/(380-250))*(T456-250),500)))))))</f>
        <v>143.666666666667</v>
      </c>
      <c r="AG456" s="4" t="n">
        <f aca="false">IF(U456="","",IF(U456&lt;=50,(50/50)*U456,IF(U456&lt;=100,50+((100-50)/(100-50))*(U456-50),IF(U456&lt;=250,100+((200-100)/(250-100))*(U456-100),IF(U456&lt;=350,200+((300-200)/(350-250))*(U456-250),IF(U456&lt;=430,300+((400-300)/(430-350))*(U456-350),IF(U456&lt;=600,400+((500-400)/(600-430))*(U456-430),500)))))))</f>
        <v>105.333333333333</v>
      </c>
      <c r="AH456" s="4" t="n">
        <f aca="false">IF(V456="","",IF((V456/1000)&lt;=1,(50/1)*(V456/1000),IF((V456/1000)&lt;=2,50+((100-50)/(2-1))*(V456/1000-1),IF((V456/1000)&lt;=10,100+((200-100)/(10-2))*(V456/1000-2),IF((V456/1000)&lt;=17,200+((300-200)/(17-10))*(V456/1000-10),IF((V456/1000)&lt;=34,300+((400-300)/(34-17))*(V456/1000-17),IF((V456/1000)&lt;=57,400+((500-400)/(57-34))*(V456/1000-34),500)))))))</f>
        <v>87.55</v>
      </c>
      <c r="AI456" s="4" t="n">
        <f aca="false">IF(W456="","",IF(W456&lt;=40,(50/40)*W456,IF(W456&lt;=80,50+((100-50)/(80-40))*(W456-40),IF(W456&lt;=180,100+((200-100)/(180-80))*(W456-80),IF(W456&lt;=280,200+((300-200)/(280-180))*(W456-180),IF(W456&lt;=400,300+((400-300)/(400-280))*(W456-280),IF(W456&lt;=800,400+((500-400)/(800-400))*(W456-400),500)))))))</f>
        <v>105.3</v>
      </c>
      <c r="AJ456" s="4" t="n">
        <f aca="false">IF(X456="","",IF(X456&lt;=40,(50/40)*X456,IF(X456&lt;=80,50+((100-50)/(80-40))*(X456-40),IF(X456&lt;=380,100+((200-100)/(380-80))*(X456-80),IF(X456&lt;=800,200+((300-200)/(800-380))*(X456-380),IF(X456&lt;=1600,300+((400-300)/(1600-800))*(X456-800),IF(X456&lt;=2100,400+((500-400)/(2100-1600))*(X456-1600),500)))))))</f>
        <v>55</v>
      </c>
      <c r="AK456" s="4" t="n">
        <f aca="false">IF(Y456="","",IF(Y456&lt;=50,(50/50)*Y456,IF(Y456&lt;=100,50+((100-50)/(100-50))*(Y456-50),IF(Y456&lt;=168,100+((200-100)/(168-100))*(Y456-100),IF(Y456&lt;=208,200+((300-200)/(208-168))*(Y456-168),IF(Y456&lt;=748,300+((400-300)/(748-208))*(Y456-208),IF(Y456&lt;=1000,400+((500-400)/(1000-748))*(Y456-748),500)))))))</f>
        <v>26</v>
      </c>
      <c r="AL456" s="4" t="n">
        <f aca="false">ROUND(MAX(AF456,AG456,AH456,AI456,AJ456,AK456),0)</f>
        <v>144</v>
      </c>
      <c r="AM456" s="4" t="str">
        <f aca="false">IF(AL456="","",IF(AL456&lt;=50,"Good",IF(AL456&lt;=100,"Satisfactory",IF(AL456&lt;=200,"Moderate",IF(AL456&lt;=300,"Poor",IF(AL456&lt;=400,"Very Poor","Severe"))))))</f>
        <v>Moderate</v>
      </c>
    </row>
    <row r="457" customFormat="false" ht="15.75" hidden="false" customHeight="false" outlineLevel="0" collapsed="false">
      <c r="A457" s="1" t="s">
        <v>39</v>
      </c>
      <c r="B457" s="1" t="s">
        <v>40</v>
      </c>
      <c r="C457" s="1" t="n">
        <v>28.4595</v>
      </c>
      <c r="D457" s="1" t="n">
        <v>77.0266</v>
      </c>
      <c r="E457" s="5" t="n">
        <v>45919</v>
      </c>
      <c r="F457" s="6" t="s">
        <v>77</v>
      </c>
      <c r="G457" s="1" t="n">
        <v>9</v>
      </c>
      <c r="H457" s="7" t="s">
        <v>85</v>
      </c>
      <c r="I457" s="6" t="s">
        <v>43</v>
      </c>
      <c r="J457" s="7" t="s">
        <v>44</v>
      </c>
      <c r="K457" s="7" t="s">
        <v>75</v>
      </c>
      <c r="L457" s="1" t="n">
        <v>76</v>
      </c>
      <c r="M457" s="1" t="n">
        <v>24</v>
      </c>
      <c r="N457" s="1" t="n">
        <v>7.2</v>
      </c>
      <c r="O457" s="1" t="n">
        <v>0</v>
      </c>
      <c r="P457" s="6" t="s">
        <v>43</v>
      </c>
      <c r="Q457" s="6" t="s">
        <v>43</v>
      </c>
      <c r="R457" s="1" t="n">
        <v>1006.1</v>
      </c>
      <c r="S457" s="1" t="n">
        <v>0</v>
      </c>
      <c r="T457" s="1" t="n">
        <v>83.4</v>
      </c>
      <c r="U457" s="1" t="n">
        <v>119.7</v>
      </c>
      <c r="V457" s="1" t="n">
        <v>1888</v>
      </c>
      <c r="W457" s="1" t="n">
        <v>94.3</v>
      </c>
      <c r="X457" s="1" t="n">
        <v>45.7</v>
      </c>
      <c r="Y457" s="1" t="n">
        <v>14</v>
      </c>
      <c r="Z457" s="1" t="n">
        <v>70</v>
      </c>
      <c r="AA457" s="1" t="n">
        <v>152</v>
      </c>
      <c r="AB457" s="7" t="s">
        <v>81</v>
      </c>
      <c r="AC457" s="7" t="s">
        <v>88</v>
      </c>
      <c r="AD457" s="6" t="s">
        <v>43</v>
      </c>
      <c r="AE457" s="6" t="s">
        <v>43</v>
      </c>
      <c r="AF457" s="4" t="n">
        <f aca="false">IF(T457="","",IF(T457&lt;=30,(50/30)*T457,IF(T457&lt;=60,50+((100-50)/(60-30))*(T457-30),IF(T457&lt;=90,100+((200-100)/(90-60))*(T457-60),IF(T457&lt;=120,200+((300-200)/(120-90))*(T457-90),IF(T457&lt;=250,300+((400-300)/(250-120))*(T457-120),IF(T457&lt;=380,400+((500-400)/(380-250))*(T457-250),500)))))))</f>
        <v>178</v>
      </c>
      <c r="AG457" s="4" t="n">
        <f aca="false">IF(U457="","",IF(U457&lt;=50,(50/50)*U457,IF(U457&lt;=100,50+((100-50)/(100-50))*(U457-50),IF(U457&lt;=250,100+((200-100)/(250-100))*(U457-100),IF(U457&lt;=350,200+((300-200)/(350-250))*(U457-250),IF(U457&lt;=430,300+((400-300)/(430-350))*(U457-350),IF(U457&lt;=600,400+((500-400)/(600-430))*(U457-430),500)))))))</f>
        <v>113.133333333333</v>
      </c>
      <c r="AH457" s="4" t="n">
        <f aca="false">IF(V457="","",IF((V457/1000)&lt;=1,(50/1)*(V457/1000),IF((V457/1000)&lt;=2,50+((100-50)/(2-1))*(V457/1000-1),IF((V457/1000)&lt;=10,100+((200-100)/(10-2))*(V457/1000-2),IF((V457/1000)&lt;=17,200+((300-200)/(17-10))*(V457/1000-10),IF((V457/1000)&lt;=34,300+((400-300)/(34-17))*(V457/1000-17),IF((V457/1000)&lt;=57,400+((500-400)/(57-34))*(V457/1000-34),500)))))))</f>
        <v>94.4</v>
      </c>
      <c r="AI457" s="4" t="n">
        <f aca="false">IF(W457="","",IF(W457&lt;=40,(50/40)*W457,IF(W457&lt;=80,50+((100-50)/(80-40))*(W457-40),IF(W457&lt;=180,100+((200-100)/(180-80))*(W457-80),IF(W457&lt;=280,200+((300-200)/(280-180))*(W457-180),IF(W457&lt;=400,300+((400-300)/(400-280))*(W457-280),IF(W457&lt;=800,400+((500-400)/(800-400))*(W457-400),500)))))))</f>
        <v>114.3</v>
      </c>
      <c r="AJ457" s="4" t="n">
        <f aca="false">IF(X457="","",IF(X457&lt;=40,(50/40)*X457,IF(X457&lt;=80,50+((100-50)/(80-40))*(X457-40),IF(X457&lt;=380,100+((200-100)/(380-80))*(X457-80),IF(X457&lt;=800,200+((300-200)/(800-380))*(X457-380),IF(X457&lt;=1600,300+((400-300)/(1600-800))*(X457-800),IF(X457&lt;=2100,400+((500-400)/(2100-1600))*(X457-1600),500)))))))</f>
        <v>57.125</v>
      </c>
      <c r="AK457" s="4" t="n">
        <f aca="false">IF(Y457="","",IF(Y457&lt;=50,(50/50)*Y457,IF(Y457&lt;=100,50+((100-50)/(100-50))*(Y457-50),IF(Y457&lt;=168,100+((200-100)/(168-100))*(Y457-100),IF(Y457&lt;=208,200+((300-200)/(208-168))*(Y457-168),IF(Y457&lt;=748,300+((400-300)/(748-208))*(Y457-208),IF(Y457&lt;=1000,400+((500-400)/(1000-748))*(Y457-748),500)))))))</f>
        <v>14</v>
      </c>
      <c r="AL457" s="4" t="n">
        <f aca="false">ROUND(MAX(AF457,AG457,AH457,AI457,AJ457,AK457),0)</f>
        <v>178</v>
      </c>
      <c r="AM457" s="4" t="str">
        <f aca="false">IF(AL457="","",IF(AL457&lt;=50,"Good",IF(AL457&lt;=100,"Satisfactory",IF(AL457&lt;=200,"Moderate",IF(AL457&lt;=300,"Poor",IF(AL457&lt;=400,"Very Poor","Severe"))))))</f>
        <v>Moderate</v>
      </c>
    </row>
    <row r="458" customFormat="false" ht="15.75" hidden="false" customHeight="false" outlineLevel="0" collapsed="false">
      <c r="A458" s="1" t="s">
        <v>39</v>
      </c>
      <c r="B458" s="1" t="s">
        <v>40</v>
      </c>
      <c r="C458" s="1" t="n">
        <v>28.4595</v>
      </c>
      <c r="D458" s="1" t="n">
        <v>77.0266</v>
      </c>
      <c r="E458" s="5" t="n">
        <v>45920</v>
      </c>
      <c r="F458" s="6" t="s">
        <v>41</v>
      </c>
      <c r="G458" s="1" t="n">
        <v>9</v>
      </c>
      <c r="H458" s="7" t="s">
        <v>86</v>
      </c>
      <c r="I458" s="6" t="s">
        <v>46</v>
      </c>
      <c r="J458" s="7" t="s">
        <v>44</v>
      </c>
      <c r="K458" s="7" t="s">
        <v>45</v>
      </c>
      <c r="L458" s="1" t="n">
        <v>75</v>
      </c>
      <c r="M458" s="1" t="n">
        <v>23.1</v>
      </c>
      <c r="N458" s="1" t="n">
        <v>5</v>
      </c>
      <c r="O458" s="1" t="n">
        <v>0</v>
      </c>
      <c r="P458" s="6" t="s">
        <v>43</v>
      </c>
      <c r="Q458" s="6" t="s">
        <v>43</v>
      </c>
      <c r="R458" s="1" t="n">
        <v>1005.7</v>
      </c>
      <c r="S458" s="1" t="n">
        <v>0</v>
      </c>
      <c r="T458" s="1" t="n">
        <v>89.6</v>
      </c>
      <c r="U458" s="1" t="n">
        <v>123.4</v>
      </c>
      <c r="V458" s="1" t="n">
        <v>1686</v>
      </c>
      <c r="W458" s="1" t="n">
        <v>90.9</v>
      </c>
      <c r="X458" s="1" t="n">
        <v>42.1</v>
      </c>
      <c r="Y458" s="1" t="n">
        <v>10</v>
      </c>
      <c r="Z458" s="1" t="n">
        <v>67</v>
      </c>
      <c r="AA458" s="1" t="n">
        <v>152</v>
      </c>
      <c r="AB458" s="7" t="s">
        <v>81</v>
      </c>
      <c r="AC458" s="7" t="s">
        <v>88</v>
      </c>
      <c r="AD458" s="6" t="s">
        <v>43</v>
      </c>
      <c r="AE458" s="6" t="s">
        <v>43</v>
      </c>
      <c r="AF458" s="4" t="n">
        <f aca="false">IF(T458="","",IF(T458&lt;=30,(50/30)*T458,IF(T458&lt;=60,50+((100-50)/(60-30))*(T458-30),IF(T458&lt;=90,100+((200-100)/(90-60))*(T458-60),IF(T458&lt;=120,200+((300-200)/(120-90))*(T458-90),IF(T458&lt;=250,300+((400-300)/(250-120))*(T458-120),IF(T458&lt;=380,400+((500-400)/(380-250))*(T458-250),500)))))))</f>
        <v>198.666666666667</v>
      </c>
      <c r="AG458" s="4" t="n">
        <f aca="false">IF(U458="","",IF(U458&lt;=50,(50/50)*U458,IF(U458&lt;=100,50+((100-50)/(100-50))*(U458-50),IF(U458&lt;=250,100+((200-100)/(250-100))*(U458-100),IF(U458&lt;=350,200+((300-200)/(350-250))*(U458-250),IF(U458&lt;=430,300+((400-300)/(430-350))*(U458-350),IF(U458&lt;=600,400+((500-400)/(600-430))*(U458-430),500)))))))</f>
        <v>115.6</v>
      </c>
      <c r="AH458" s="4" t="n">
        <f aca="false">IF(V458="","",IF((V458/1000)&lt;=1,(50/1)*(V458/1000),IF((V458/1000)&lt;=2,50+((100-50)/(2-1))*(V458/1000-1),IF((V458/1000)&lt;=10,100+((200-100)/(10-2))*(V458/1000-2),IF((V458/1000)&lt;=17,200+((300-200)/(17-10))*(V458/1000-10),IF((V458/1000)&lt;=34,300+((400-300)/(34-17))*(V458/1000-17),IF((V458/1000)&lt;=57,400+((500-400)/(57-34))*(V458/1000-34),500)))))))</f>
        <v>84.3</v>
      </c>
      <c r="AI458" s="4" t="n">
        <f aca="false">IF(W458="","",IF(W458&lt;=40,(50/40)*W458,IF(W458&lt;=80,50+((100-50)/(80-40))*(W458-40),IF(W458&lt;=180,100+((200-100)/(180-80))*(W458-80),IF(W458&lt;=280,200+((300-200)/(280-180))*(W458-180),IF(W458&lt;=400,300+((400-300)/(400-280))*(W458-280),IF(W458&lt;=800,400+((500-400)/(800-400))*(W458-400),500)))))))</f>
        <v>110.9</v>
      </c>
      <c r="AJ458" s="4" t="n">
        <f aca="false">IF(X458="","",IF(X458&lt;=40,(50/40)*X458,IF(X458&lt;=80,50+((100-50)/(80-40))*(X458-40),IF(X458&lt;=380,100+((200-100)/(380-80))*(X458-80),IF(X458&lt;=800,200+((300-200)/(800-380))*(X458-380),IF(X458&lt;=1600,300+((400-300)/(1600-800))*(X458-800),IF(X458&lt;=2100,400+((500-400)/(2100-1600))*(X458-1600),500)))))))</f>
        <v>52.625</v>
      </c>
      <c r="AK458" s="4" t="n">
        <f aca="false">IF(Y458="","",IF(Y458&lt;=50,(50/50)*Y458,IF(Y458&lt;=100,50+((100-50)/(100-50))*(Y458-50),IF(Y458&lt;=168,100+((200-100)/(168-100))*(Y458-100),IF(Y458&lt;=208,200+((300-200)/(208-168))*(Y458-168),IF(Y458&lt;=748,300+((400-300)/(748-208))*(Y458-208),IF(Y458&lt;=1000,400+((500-400)/(1000-748))*(Y458-748),500)))))))</f>
        <v>10</v>
      </c>
      <c r="AL458" s="4" t="n">
        <f aca="false">ROUND(MAX(AF458,AG458,AH458,AI458,AJ458,AK458),0)</f>
        <v>199</v>
      </c>
      <c r="AM458" s="4" t="str">
        <f aca="false">IF(AL458="","",IF(AL458&lt;=50,"Good",IF(AL458&lt;=100,"Satisfactory",IF(AL458&lt;=200,"Moderate",IF(AL458&lt;=300,"Poor",IF(AL458&lt;=400,"Very Poor","Severe"))))))</f>
        <v>Moderate</v>
      </c>
    </row>
    <row r="459" customFormat="false" ht="15.75" hidden="false" customHeight="false" outlineLevel="0" collapsed="false">
      <c r="A459" s="1" t="s">
        <v>39</v>
      </c>
      <c r="B459" s="1" t="s">
        <v>40</v>
      </c>
      <c r="C459" s="1" t="n">
        <v>28.4595</v>
      </c>
      <c r="D459" s="1" t="n">
        <v>77.0266</v>
      </c>
      <c r="E459" s="5" t="n">
        <v>45920</v>
      </c>
      <c r="F459" s="6" t="s">
        <v>49</v>
      </c>
      <c r="G459" s="1" t="n">
        <v>9</v>
      </c>
      <c r="H459" s="7" t="s">
        <v>86</v>
      </c>
      <c r="I459" s="6" t="s">
        <v>46</v>
      </c>
      <c r="J459" s="7" t="s">
        <v>44</v>
      </c>
      <c r="K459" s="7" t="s">
        <v>45</v>
      </c>
      <c r="L459" s="1" t="n">
        <v>84</v>
      </c>
      <c r="M459" s="1" t="n">
        <v>23.5</v>
      </c>
      <c r="N459" s="1" t="n">
        <v>9.4</v>
      </c>
      <c r="O459" s="1" t="n">
        <v>0</v>
      </c>
      <c r="P459" s="6" t="s">
        <v>43</v>
      </c>
      <c r="Q459" s="6" t="s">
        <v>43</v>
      </c>
      <c r="R459" s="1" t="n">
        <v>1005.6</v>
      </c>
      <c r="S459" s="1" t="n">
        <v>0</v>
      </c>
      <c r="T459" s="1" t="n">
        <v>85.7</v>
      </c>
      <c r="U459" s="1" t="n">
        <v>116.2</v>
      </c>
      <c r="V459" s="1" t="n">
        <v>1296</v>
      </c>
      <c r="W459" s="1" t="n">
        <v>80.3</v>
      </c>
      <c r="X459" s="1" t="n">
        <v>35.6</v>
      </c>
      <c r="Y459" s="1" t="n">
        <v>13</v>
      </c>
      <c r="Z459" s="1" t="n">
        <v>62</v>
      </c>
      <c r="AA459" s="1" t="n">
        <v>153</v>
      </c>
      <c r="AB459" s="7" t="s">
        <v>81</v>
      </c>
      <c r="AC459" s="7" t="s">
        <v>88</v>
      </c>
      <c r="AD459" s="6" t="s">
        <v>43</v>
      </c>
      <c r="AE459" s="6" t="s">
        <v>43</v>
      </c>
      <c r="AF459" s="4" t="n">
        <f aca="false">IF(T459="","",IF(T459&lt;=30,(50/30)*T459,IF(T459&lt;=60,50+((100-50)/(60-30))*(T459-30),IF(T459&lt;=90,100+((200-100)/(90-60))*(T459-60),IF(T459&lt;=120,200+((300-200)/(120-90))*(T459-90),IF(T459&lt;=250,300+((400-300)/(250-120))*(T459-120),IF(T459&lt;=380,400+((500-400)/(380-250))*(T459-250),500)))))))</f>
        <v>185.666666666667</v>
      </c>
      <c r="AG459" s="4" t="n">
        <f aca="false">IF(U459="","",IF(U459&lt;=50,(50/50)*U459,IF(U459&lt;=100,50+((100-50)/(100-50))*(U459-50),IF(U459&lt;=250,100+((200-100)/(250-100))*(U459-100),IF(U459&lt;=350,200+((300-200)/(350-250))*(U459-250),IF(U459&lt;=430,300+((400-300)/(430-350))*(U459-350),IF(U459&lt;=600,400+((500-400)/(600-430))*(U459-430),500)))))))</f>
        <v>110.8</v>
      </c>
      <c r="AH459" s="4" t="n">
        <f aca="false">IF(V459="","",IF((V459/1000)&lt;=1,(50/1)*(V459/1000),IF((V459/1000)&lt;=2,50+((100-50)/(2-1))*(V459/1000-1),IF((V459/1000)&lt;=10,100+((200-100)/(10-2))*(V459/1000-2),IF((V459/1000)&lt;=17,200+((300-200)/(17-10))*(V459/1000-10),IF((V459/1000)&lt;=34,300+((400-300)/(34-17))*(V459/1000-17),IF((V459/1000)&lt;=57,400+((500-400)/(57-34))*(V459/1000-34),500)))))))</f>
        <v>64.8</v>
      </c>
      <c r="AI459" s="4" t="n">
        <f aca="false">IF(W459="","",IF(W459&lt;=40,(50/40)*W459,IF(W459&lt;=80,50+((100-50)/(80-40))*(W459-40),IF(W459&lt;=180,100+((200-100)/(180-80))*(W459-80),IF(W459&lt;=280,200+((300-200)/(280-180))*(W459-180),IF(W459&lt;=400,300+((400-300)/(400-280))*(W459-280),IF(W459&lt;=800,400+((500-400)/(800-400))*(W459-400),500)))))))</f>
        <v>100.3</v>
      </c>
      <c r="AJ459" s="4" t="n">
        <f aca="false">IF(X459="","",IF(X459&lt;=40,(50/40)*X459,IF(X459&lt;=80,50+((100-50)/(80-40))*(X459-40),IF(X459&lt;=380,100+((200-100)/(380-80))*(X459-80),IF(X459&lt;=800,200+((300-200)/(800-380))*(X459-380),IF(X459&lt;=1600,300+((400-300)/(1600-800))*(X459-800),IF(X459&lt;=2100,400+((500-400)/(2100-1600))*(X459-1600),500)))))))</f>
        <v>44.5</v>
      </c>
      <c r="AK459" s="4" t="n">
        <f aca="false">IF(Y459="","",IF(Y459&lt;=50,(50/50)*Y459,IF(Y459&lt;=100,50+((100-50)/(100-50))*(Y459-50),IF(Y459&lt;=168,100+((200-100)/(168-100))*(Y459-100),IF(Y459&lt;=208,200+((300-200)/(208-168))*(Y459-168),IF(Y459&lt;=748,300+((400-300)/(748-208))*(Y459-208),IF(Y459&lt;=1000,400+((500-400)/(1000-748))*(Y459-748),500)))))))</f>
        <v>13</v>
      </c>
      <c r="AL459" s="4" t="n">
        <f aca="false">ROUND(MAX(AF459,AG459,AH459,AI459,AJ459,AK459),0)</f>
        <v>186</v>
      </c>
      <c r="AM459" s="4" t="str">
        <f aca="false">IF(AL459="","",IF(AL459&lt;=50,"Good",IF(AL459&lt;=100,"Satisfactory",IF(AL459&lt;=200,"Moderate",IF(AL459&lt;=300,"Poor",IF(AL459&lt;=400,"Very Poor","Severe"))))))</f>
        <v>Moderate</v>
      </c>
    </row>
    <row r="460" customFormat="false" ht="15.75" hidden="false" customHeight="false" outlineLevel="0" collapsed="false">
      <c r="A460" s="1" t="s">
        <v>39</v>
      </c>
      <c r="B460" s="1" t="s">
        <v>40</v>
      </c>
      <c r="C460" s="1" t="n">
        <v>28.4595</v>
      </c>
      <c r="D460" s="1" t="n">
        <v>77.0266</v>
      </c>
      <c r="E460" s="5" t="n">
        <v>45920</v>
      </c>
      <c r="F460" s="6" t="s">
        <v>51</v>
      </c>
      <c r="G460" s="1" t="n">
        <v>9</v>
      </c>
      <c r="H460" s="7" t="s">
        <v>86</v>
      </c>
      <c r="I460" s="6" t="s">
        <v>46</v>
      </c>
      <c r="J460" s="7" t="s">
        <v>44</v>
      </c>
      <c r="K460" s="7" t="s">
        <v>45</v>
      </c>
      <c r="L460" s="1" t="n">
        <v>86</v>
      </c>
      <c r="M460" s="1" t="n">
        <v>23.6</v>
      </c>
      <c r="N460" s="1" t="n">
        <v>10.1</v>
      </c>
      <c r="O460" s="1" t="n">
        <v>0</v>
      </c>
      <c r="P460" s="6" t="s">
        <v>43</v>
      </c>
      <c r="Q460" s="6" t="s">
        <v>43</v>
      </c>
      <c r="R460" s="1" t="n">
        <v>1005.6</v>
      </c>
      <c r="S460" s="1" t="n">
        <v>0</v>
      </c>
      <c r="T460" s="1" t="n">
        <v>76.8</v>
      </c>
      <c r="U460" s="1" t="n">
        <v>107.1</v>
      </c>
      <c r="V460" s="1" t="n">
        <v>980</v>
      </c>
      <c r="W460" s="1" t="n">
        <v>69.9</v>
      </c>
      <c r="X460" s="1" t="n">
        <v>29.9</v>
      </c>
      <c r="Y460" s="1" t="n">
        <v>16</v>
      </c>
      <c r="Z460" s="1" t="n">
        <v>58</v>
      </c>
      <c r="AA460" s="1" t="n">
        <v>153</v>
      </c>
      <c r="AB460" s="7" t="s">
        <v>81</v>
      </c>
      <c r="AC460" s="7" t="s">
        <v>88</v>
      </c>
      <c r="AD460" s="6" t="s">
        <v>43</v>
      </c>
      <c r="AE460" s="6" t="s">
        <v>43</v>
      </c>
      <c r="AF460" s="4" t="n">
        <f aca="false">IF(T460="","",IF(T460&lt;=30,(50/30)*T460,IF(T460&lt;=60,50+((100-50)/(60-30))*(T460-30),IF(T460&lt;=90,100+((200-100)/(90-60))*(T460-60),IF(T460&lt;=120,200+((300-200)/(120-90))*(T460-90),IF(T460&lt;=250,300+((400-300)/(250-120))*(T460-120),IF(T460&lt;=380,400+((500-400)/(380-250))*(T460-250),500)))))))</f>
        <v>156</v>
      </c>
      <c r="AG460" s="4" t="n">
        <f aca="false">IF(U460="","",IF(U460&lt;=50,(50/50)*U460,IF(U460&lt;=100,50+((100-50)/(100-50))*(U460-50),IF(U460&lt;=250,100+((200-100)/(250-100))*(U460-100),IF(U460&lt;=350,200+((300-200)/(350-250))*(U460-250),IF(U460&lt;=430,300+((400-300)/(430-350))*(U460-350),IF(U460&lt;=600,400+((500-400)/(600-430))*(U460-430),500)))))))</f>
        <v>104.733333333333</v>
      </c>
      <c r="AH460" s="4" t="n">
        <f aca="false">IF(V460="","",IF((V460/1000)&lt;=1,(50/1)*(V460/1000),IF((V460/1000)&lt;=2,50+((100-50)/(2-1))*(V460/1000-1),IF((V460/1000)&lt;=10,100+((200-100)/(10-2))*(V460/1000-2),IF((V460/1000)&lt;=17,200+((300-200)/(17-10))*(V460/1000-10),IF((V460/1000)&lt;=34,300+((400-300)/(34-17))*(V460/1000-17),IF((V460/1000)&lt;=57,400+((500-400)/(57-34))*(V460/1000-34),500)))))))</f>
        <v>49</v>
      </c>
      <c r="AI460" s="4" t="n">
        <f aca="false">IF(W460="","",IF(W460&lt;=40,(50/40)*W460,IF(W460&lt;=80,50+((100-50)/(80-40))*(W460-40),IF(W460&lt;=180,100+((200-100)/(180-80))*(W460-80),IF(W460&lt;=280,200+((300-200)/(280-180))*(W460-180),IF(W460&lt;=400,300+((400-300)/(400-280))*(W460-280),IF(W460&lt;=800,400+((500-400)/(800-400))*(W460-400),500)))))))</f>
        <v>87.375</v>
      </c>
      <c r="AJ460" s="4" t="n">
        <f aca="false">IF(X460="","",IF(X460&lt;=40,(50/40)*X460,IF(X460&lt;=80,50+((100-50)/(80-40))*(X460-40),IF(X460&lt;=380,100+((200-100)/(380-80))*(X460-80),IF(X460&lt;=800,200+((300-200)/(800-380))*(X460-380),IF(X460&lt;=1600,300+((400-300)/(1600-800))*(X460-800),IF(X460&lt;=2100,400+((500-400)/(2100-1600))*(X460-1600),500)))))))</f>
        <v>37.375</v>
      </c>
      <c r="AK460" s="4" t="n">
        <f aca="false">IF(Y460="","",IF(Y460&lt;=50,(50/50)*Y460,IF(Y460&lt;=100,50+((100-50)/(100-50))*(Y460-50),IF(Y460&lt;=168,100+((200-100)/(168-100))*(Y460-100),IF(Y460&lt;=208,200+((300-200)/(208-168))*(Y460-168),IF(Y460&lt;=748,300+((400-300)/(748-208))*(Y460-208),IF(Y460&lt;=1000,400+((500-400)/(1000-748))*(Y460-748),500)))))))</f>
        <v>16</v>
      </c>
      <c r="AL460" s="4" t="n">
        <f aca="false">ROUND(MAX(AF460,AG460,AH460,AI460,AJ460,AK460),0)</f>
        <v>156</v>
      </c>
      <c r="AM460" s="4" t="str">
        <f aca="false">IF(AL460="","",IF(AL460&lt;=50,"Good",IF(AL460&lt;=100,"Satisfactory",IF(AL460&lt;=200,"Moderate",IF(AL460&lt;=300,"Poor",IF(AL460&lt;=400,"Very Poor","Severe"))))))</f>
        <v>Moderate</v>
      </c>
    </row>
    <row r="461" customFormat="false" ht="15.75" hidden="false" customHeight="false" outlineLevel="0" collapsed="false">
      <c r="A461" s="1" t="s">
        <v>39</v>
      </c>
      <c r="B461" s="1" t="s">
        <v>40</v>
      </c>
      <c r="C461" s="1" t="n">
        <v>28.4595</v>
      </c>
      <c r="D461" s="1" t="n">
        <v>77.0266</v>
      </c>
      <c r="E461" s="5" t="n">
        <v>45920</v>
      </c>
      <c r="F461" s="6" t="s">
        <v>52</v>
      </c>
      <c r="G461" s="1" t="n">
        <v>9</v>
      </c>
      <c r="H461" s="7" t="s">
        <v>86</v>
      </c>
      <c r="I461" s="6" t="s">
        <v>46</v>
      </c>
      <c r="J461" s="7" t="s">
        <v>44</v>
      </c>
      <c r="K461" s="7" t="s">
        <v>45</v>
      </c>
      <c r="L461" s="1" t="n">
        <v>87</v>
      </c>
      <c r="M461" s="1" t="n">
        <v>23.5</v>
      </c>
      <c r="N461" s="1" t="n">
        <v>10.1</v>
      </c>
      <c r="O461" s="1" t="n">
        <v>0</v>
      </c>
      <c r="P461" s="6" t="s">
        <v>43</v>
      </c>
      <c r="Q461" s="6" t="s">
        <v>43</v>
      </c>
      <c r="R461" s="1" t="n">
        <v>1005.6</v>
      </c>
      <c r="S461" s="1" t="n">
        <v>0</v>
      </c>
      <c r="T461" s="1" t="n">
        <v>68.9</v>
      </c>
      <c r="U461" s="1" t="n">
        <v>99.2</v>
      </c>
      <c r="V461" s="1" t="n">
        <v>842</v>
      </c>
      <c r="W461" s="1" t="n">
        <v>61.9</v>
      </c>
      <c r="X461" s="1" t="n">
        <v>26.2</v>
      </c>
      <c r="Y461" s="1" t="n">
        <v>17</v>
      </c>
      <c r="Z461" s="1" t="n">
        <v>57</v>
      </c>
      <c r="AA461" s="1" t="n">
        <v>153</v>
      </c>
      <c r="AB461" s="7" t="s">
        <v>81</v>
      </c>
      <c r="AC461" s="7" t="s">
        <v>88</v>
      </c>
      <c r="AD461" s="6" t="s">
        <v>43</v>
      </c>
      <c r="AE461" s="6" t="s">
        <v>43</v>
      </c>
      <c r="AF461" s="4" t="n">
        <f aca="false">IF(T461="","",IF(T461&lt;=30,(50/30)*T461,IF(T461&lt;=60,50+((100-50)/(60-30))*(T461-30),IF(T461&lt;=90,100+((200-100)/(90-60))*(T461-60),IF(T461&lt;=120,200+((300-200)/(120-90))*(T461-90),IF(T461&lt;=250,300+((400-300)/(250-120))*(T461-120),IF(T461&lt;=380,400+((500-400)/(380-250))*(T461-250),500)))))))</f>
        <v>129.666666666667</v>
      </c>
      <c r="AG461" s="4" t="n">
        <f aca="false">IF(U461="","",IF(U461&lt;=50,(50/50)*U461,IF(U461&lt;=100,50+((100-50)/(100-50))*(U461-50),IF(U461&lt;=250,100+((200-100)/(250-100))*(U461-100),IF(U461&lt;=350,200+((300-200)/(350-250))*(U461-250),IF(U461&lt;=430,300+((400-300)/(430-350))*(U461-350),IF(U461&lt;=600,400+((500-400)/(600-430))*(U461-430),500)))))))</f>
        <v>99.2</v>
      </c>
      <c r="AH461" s="4" t="n">
        <f aca="false">IF(V461="","",IF((V461/1000)&lt;=1,(50/1)*(V461/1000),IF((V461/1000)&lt;=2,50+((100-50)/(2-1))*(V461/1000-1),IF((V461/1000)&lt;=10,100+((200-100)/(10-2))*(V461/1000-2),IF((V461/1000)&lt;=17,200+((300-200)/(17-10))*(V461/1000-10),IF((V461/1000)&lt;=34,300+((400-300)/(34-17))*(V461/1000-17),IF((V461/1000)&lt;=57,400+((500-400)/(57-34))*(V461/1000-34),500)))))))</f>
        <v>42.1</v>
      </c>
      <c r="AI461" s="4" t="n">
        <f aca="false">IF(W461="","",IF(W461&lt;=40,(50/40)*W461,IF(W461&lt;=80,50+((100-50)/(80-40))*(W461-40),IF(W461&lt;=180,100+((200-100)/(180-80))*(W461-80),IF(W461&lt;=280,200+((300-200)/(280-180))*(W461-180),IF(W461&lt;=400,300+((400-300)/(400-280))*(W461-280),IF(W461&lt;=800,400+((500-400)/(800-400))*(W461-400),500)))))))</f>
        <v>77.375</v>
      </c>
      <c r="AJ461" s="4" t="n">
        <f aca="false">IF(X461="","",IF(X461&lt;=40,(50/40)*X461,IF(X461&lt;=80,50+((100-50)/(80-40))*(X461-40),IF(X461&lt;=380,100+((200-100)/(380-80))*(X461-80),IF(X461&lt;=800,200+((300-200)/(800-380))*(X461-380),IF(X461&lt;=1600,300+((400-300)/(1600-800))*(X461-800),IF(X461&lt;=2100,400+((500-400)/(2100-1600))*(X461-1600),500)))))))</f>
        <v>32.75</v>
      </c>
      <c r="AK461" s="4" t="n">
        <f aca="false">IF(Y461="","",IF(Y461&lt;=50,(50/50)*Y461,IF(Y461&lt;=100,50+((100-50)/(100-50))*(Y461-50),IF(Y461&lt;=168,100+((200-100)/(168-100))*(Y461-100),IF(Y461&lt;=208,200+((300-200)/(208-168))*(Y461-168),IF(Y461&lt;=748,300+((400-300)/(748-208))*(Y461-208),IF(Y461&lt;=1000,400+((500-400)/(1000-748))*(Y461-748),500)))))))</f>
        <v>17</v>
      </c>
      <c r="AL461" s="4" t="n">
        <f aca="false">ROUND(MAX(AF461,AG461,AH461,AI461,AJ461,AK461),0)</f>
        <v>130</v>
      </c>
      <c r="AM461" s="4" t="str">
        <f aca="false">IF(AL461="","",IF(AL461&lt;=50,"Good",IF(AL461&lt;=100,"Satisfactory",IF(AL461&lt;=200,"Moderate",IF(AL461&lt;=300,"Poor",IF(AL461&lt;=400,"Very Poor","Severe"))))))</f>
        <v>Moderate</v>
      </c>
    </row>
    <row r="462" customFormat="false" ht="15.75" hidden="false" customHeight="false" outlineLevel="0" collapsed="false">
      <c r="A462" s="1" t="s">
        <v>39</v>
      </c>
      <c r="B462" s="1" t="s">
        <v>40</v>
      </c>
      <c r="C462" s="1" t="n">
        <v>28.4595</v>
      </c>
      <c r="D462" s="1" t="n">
        <v>77.0266</v>
      </c>
      <c r="E462" s="5" t="n">
        <v>45920</v>
      </c>
      <c r="F462" s="6" t="s">
        <v>53</v>
      </c>
      <c r="G462" s="1" t="n">
        <v>9</v>
      </c>
      <c r="H462" s="7" t="s">
        <v>86</v>
      </c>
      <c r="I462" s="6" t="s">
        <v>46</v>
      </c>
      <c r="J462" s="7" t="s">
        <v>44</v>
      </c>
      <c r="K462" s="7" t="s">
        <v>45</v>
      </c>
      <c r="L462" s="1" t="n">
        <v>89</v>
      </c>
      <c r="M462" s="1" t="n">
        <v>23.5</v>
      </c>
      <c r="N462" s="1" t="n">
        <v>7.6</v>
      </c>
      <c r="O462" s="1" t="n">
        <v>0</v>
      </c>
      <c r="P462" s="6" t="s">
        <v>43</v>
      </c>
      <c r="Q462" s="6" t="s">
        <v>43</v>
      </c>
      <c r="R462" s="1" t="n">
        <v>1005.6</v>
      </c>
      <c r="S462" s="1" t="n">
        <v>24</v>
      </c>
      <c r="T462" s="1" t="n">
        <v>62.9</v>
      </c>
      <c r="U462" s="1" t="n">
        <v>93.4</v>
      </c>
      <c r="V462" s="1" t="n">
        <v>778</v>
      </c>
      <c r="W462" s="1" t="n">
        <v>54.2</v>
      </c>
      <c r="X462" s="1" t="n">
        <v>23.3</v>
      </c>
      <c r="Y462" s="1" t="n">
        <v>18</v>
      </c>
      <c r="Z462" s="1" t="n">
        <v>57</v>
      </c>
      <c r="AA462" s="1" t="n">
        <v>153</v>
      </c>
      <c r="AB462" s="7" t="s">
        <v>81</v>
      </c>
      <c r="AC462" s="7" t="s">
        <v>88</v>
      </c>
      <c r="AD462" s="6" t="s">
        <v>43</v>
      </c>
      <c r="AE462" s="6" t="s">
        <v>43</v>
      </c>
      <c r="AF462" s="4" t="n">
        <f aca="false">IF(T462="","",IF(T462&lt;=30,(50/30)*T462,IF(T462&lt;=60,50+((100-50)/(60-30))*(T462-30),IF(T462&lt;=90,100+((200-100)/(90-60))*(T462-60),IF(T462&lt;=120,200+((300-200)/(120-90))*(T462-90),IF(T462&lt;=250,300+((400-300)/(250-120))*(T462-120),IF(T462&lt;=380,400+((500-400)/(380-250))*(T462-250),500)))))))</f>
        <v>109.666666666667</v>
      </c>
      <c r="AG462" s="4" t="n">
        <f aca="false">IF(U462="","",IF(U462&lt;=50,(50/50)*U462,IF(U462&lt;=100,50+((100-50)/(100-50))*(U462-50),IF(U462&lt;=250,100+((200-100)/(250-100))*(U462-100),IF(U462&lt;=350,200+((300-200)/(350-250))*(U462-250),IF(U462&lt;=430,300+((400-300)/(430-350))*(U462-350),IF(U462&lt;=600,400+((500-400)/(600-430))*(U462-430),500)))))))</f>
        <v>93.4</v>
      </c>
      <c r="AH462" s="4" t="n">
        <f aca="false">IF(V462="","",IF((V462/1000)&lt;=1,(50/1)*(V462/1000),IF((V462/1000)&lt;=2,50+((100-50)/(2-1))*(V462/1000-1),IF((V462/1000)&lt;=10,100+((200-100)/(10-2))*(V462/1000-2),IF((V462/1000)&lt;=17,200+((300-200)/(17-10))*(V462/1000-10),IF((V462/1000)&lt;=34,300+((400-300)/(34-17))*(V462/1000-17),IF((V462/1000)&lt;=57,400+((500-400)/(57-34))*(V462/1000-34),500)))))))</f>
        <v>38.9</v>
      </c>
      <c r="AI462" s="4" t="n">
        <f aca="false">IF(W462="","",IF(W462&lt;=40,(50/40)*W462,IF(W462&lt;=80,50+((100-50)/(80-40))*(W462-40),IF(W462&lt;=180,100+((200-100)/(180-80))*(W462-80),IF(W462&lt;=280,200+((300-200)/(280-180))*(W462-180),IF(W462&lt;=400,300+((400-300)/(400-280))*(W462-280),IF(W462&lt;=800,400+((500-400)/(800-400))*(W462-400),500)))))))</f>
        <v>67.75</v>
      </c>
      <c r="AJ462" s="4" t="n">
        <f aca="false">IF(X462="","",IF(X462&lt;=40,(50/40)*X462,IF(X462&lt;=80,50+((100-50)/(80-40))*(X462-40),IF(X462&lt;=380,100+((200-100)/(380-80))*(X462-80),IF(X462&lt;=800,200+((300-200)/(800-380))*(X462-380),IF(X462&lt;=1600,300+((400-300)/(1600-800))*(X462-800),IF(X462&lt;=2100,400+((500-400)/(2100-1600))*(X462-1600),500)))))))</f>
        <v>29.125</v>
      </c>
      <c r="AK462" s="4" t="n">
        <f aca="false">IF(Y462="","",IF(Y462&lt;=50,(50/50)*Y462,IF(Y462&lt;=100,50+((100-50)/(100-50))*(Y462-50),IF(Y462&lt;=168,100+((200-100)/(168-100))*(Y462-100),IF(Y462&lt;=208,200+((300-200)/(208-168))*(Y462-168),IF(Y462&lt;=748,300+((400-300)/(748-208))*(Y462-208),IF(Y462&lt;=1000,400+((500-400)/(1000-748))*(Y462-748),500)))))))</f>
        <v>18</v>
      </c>
      <c r="AL462" s="4" t="n">
        <f aca="false">ROUND(MAX(AF462,AG462,AH462,AI462,AJ462,AK462),0)</f>
        <v>110</v>
      </c>
      <c r="AM462" s="4" t="str">
        <f aca="false">IF(AL462="","",IF(AL462&lt;=50,"Good",IF(AL462&lt;=100,"Satisfactory",IF(AL462&lt;=200,"Moderate",IF(AL462&lt;=300,"Poor",IF(AL462&lt;=400,"Very Poor","Severe"))))))</f>
        <v>Moderate</v>
      </c>
    </row>
    <row r="463" customFormat="false" ht="15.75" hidden="false" customHeight="false" outlineLevel="0" collapsed="false">
      <c r="A463" s="1" t="s">
        <v>39</v>
      </c>
      <c r="B463" s="1" t="s">
        <v>40</v>
      </c>
      <c r="C463" s="1" t="n">
        <v>28.4595</v>
      </c>
      <c r="D463" s="1" t="n">
        <v>77.0266</v>
      </c>
      <c r="E463" s="5" t="n">
        <v>45920</v>
      </c>
      <c r="F463" s="6" t="s">
        <v>54</v>
      </c>
      <c r="G463" s="1" t="n">
        <v>9</v>
      </c>
      <c r="H463" s="7" t="s">
        <v>86</v>
      </c>
      <c r="I463" s="6" t="s">
        <v>46</v>
      </c>
      <c r="J463" s="7" t="s">
        <v>44</v>
      </c>
      <c r="K463" s="7" t="s">
        <v>45</v>
      </c>
      <c r="L463" s="1" t="n">
        <v>91</v>
      </c>
      <c r="M463" s="1" t="n">
        <v>23.5</v>
      </c>
      <c r="N463" s="1" t="n">
        <v>7.6</v>
      </c>
      <c r="O463" s="1" t="n">
        <v>0</v>
      </c>
      <c r="P463" s="6" t="s">
        <v>43</v>
      </c>
      <c r="Q463" s="6" t="s">
        <v>43</v>
      </c>
      <c r="R463" s="1" t="n">
        <v>1006</v>
      </c>
      <c r="S463" s="1" t="n">
        <v>2</v>
      </c>
      <c r="T463" s="1" t="n">
        <v>61.9</v>
      </c>
      <c r="U463" s="1" t="n">
        <v>91.5</v>
      </c>
      <c r="V463" s="1" t="n">
        <v>742</v>
      </c>
      <c r="W463" s="1" t="n">
        <v>46.2</v>
      </c>
      <c r="X463" s="1" t="n">
        <v>27.2</v>
      </c>
      <c r="Y463" s="1" t="n">
        <v>29</v>
      </c>
      <c r="Z463" s="1" t="n">
        <v>57</v>
      </c>
      <c r="AA463" s="1" t="n">
        <v>153</v>
      </c>
      <c r="AB463" s="7" t="s">
        <v>81</v>
      </c>
      <c r="AC463" s="7" t="s">
        <v>88</v>
      </c>
      <c r="AD463" s="6" t="s">
        <v>43</v>
      </c>
      <c r="AE463" s="6" t="s">
        <v>43</v>
      </c>
      <c r="AF463" s="4" t="n">
        <f aca="false">IF(T463="","",IF(T463&lt;=30,(50/30)*T463,IF(T463&lt;=60,50+((100-50)/(60-30))*(T463-30),IF(T463&lt;=90,100+((200-100)/(90-60))*(T463-60),IF(T463&lt;=120,200+((300-200)/(120-90))*(T463-90),IF(T463&lt;=250,300+((400-300)/(250-120))*(T463-120),IF(T463&lt;=380,400+((500-400)/(380-250))*(T463-250),500)))))))</f>
        <v>106.333333333333</v>
      </c>
      <c r="AG463" s="4" t="n">
        <f aca="false">IF(U463="","",IF(U463&lt;=50,(50/50)*U463,IF(U463&lt;=100,50+((100-50)/(100-50))*(U463-50),IF(U463&lt;=250,100+((200-100)/(250-100))*(U463-100),IF(U463&lt;=350,200+((300-200)/(350-250))*(U463-250),IF(U463&lt;=430,300+((400-300)/(430-350))*(U463-350),IF(U463&lt;=600,400+((500-400)/(600-430))*(U463-430),500)))))))</f>
        <v>91.5</v>
      </c>
      <c r="AH463" s="4" t="n">
        <f aca="false">IF(V463="","",IF((V463/1000)&lt;=1,(50/1)*(V463/1000),IF((V463/1000)&lt;=2,50+((100-50)/(2-1))*(V463/1000-1),IF((V463/1000)&lt;=10,100+((200-100)/(10-2))*(V463/1000-2),IF((V463/1000)&lt;=17,200+((300-200)/(17-10))*(V463/1000-10),IF((V463/1000)&lt;=34,300+((400-300)/(34-17))*(V463/1000-17),IF((V463/1000)&lt;=57,400+((500-400)/(57-34))*(V463/1000-34),500)))))))</f>
        <v>37.1</v>
      </c>
      <c r="AI463" s="4" t="n">
        <f aca="false">IF(W463="","",IF(W463&lt;=40,(50/40)*W463,IF(W463&lt;=80,50+((100-50)/(80-40))*(W463-40),IF(W463&lt;=180,100+((200-100)/(180-80))*(W463-80),IF(W463&lt;=280,200+((300-200)/(280-180))*(W463-180),IF(W463&lt;=400,300+((400-300)/(400-280))*(W463-280),IF(W463&lt;=800,400+((500-400)/(800-400))*(W463-400),500)))))))</f>
        <v>57.75</v>
      </c>
      <c r="AJ463" s="4" t="n">
        <f aca="false">IF(X463="","",IF(X463&lt;=40,(50/40)*X463,IF(X463&lt;=80,50+((100-50)/(80-40))*(X463-40),IF(X463&lt;=380,100+((200-100)/(380-80))*(X463-80),IF(X463&lt;=800,200+((300-200)/(800-380))*(X463-380),IF(X463&lt;=1600,300+((400-300)/(1600-800))*(X463-800),IF(X463&lt;=2100,400+((500-400)/(2100-1600))*(X463-1600),500)))))))</f>
        <v>34</v>
      </c>
      <c r="AK463" s="4" t="n">
        <f aca="false">IF(Y463="","",IF(Y463&lt;=50,(50/50)*Y463,IF(Y463&lt;=100,50+((100-50)/(100-50))*(Y463-50),IF(Y463&lt;=168,100+((200-100)/(168-100))*(Y463-100),IF(Y463&lt;=208,200+((300-200)/(208-168))*(Y463-168),IF(Y463&lt;=748,300+((400-300)/(748-208))*(Y463-208),IF(Y463&lt;=1000,400+((500-400)/(1000-748))*(Y463-748),500)))))))</f>
        <v>29</v>
      </c>
      <c r="AL463" s="4" t="n">
        <f aca="false">ROUND(MAX(AF463,AG463,AH463,AI463,AJ463,AK463),0)</f>
        <v>106</v>
      </c>
      <c r="AM463" s="4" t="str">
        <f aca="false">IF(AL463="","",IF(AL463&lt;=50,"Good",IF(AL463&lt;=100,"Satisfactory",IF(AL463&lt;=200,"Moderate",IF(AL463&lt;=300,"Poor",IF(AL463&lt;=400,"Very Poor","Severe"))))))</f>
        <v>Moderate</v>
      </c>
    </row>
    <row r="464" customFormat="false" ht="15.75" hidden="false" customHeight="false" outlineLevel="0" collapsed="false">
      <c r="A464" s="1" t="s">
        <v>39</v>
      </c>
      <c r="B464" s="1" t="s">
        <v>40</v>
      </c>
      <c r="C464" s="1" t="n">
        <v>28.4595</v>
      </c>
      <c r="D464" s="1" t="n">
        <v>77.0266</v>
      </c>
      <c r="E464" s="5" t="n">
        <v>45920</v>
      </c>
      <c r="F464" s="6" t="s">
        <v>55</v>
      </c>
      <c r="G464" s="1" t="n">
        <v>9</v>
      </c>
      <c r="H464" s="7" t="s">
        <v>86</v>
      </c>
      <c r="I464" s="6" t="s">
        <v>46</v>
      </c>
      <c r="J464" s="7" t="s">
        <v>44</v>
      </c>
      <c r="K464" s="7" t="s">
        <v>56</v>
      </c>
      <c r="L464" s="1" t="n">
        <v>90</v>
      </c>
      <c r="M464" s="1" t="n">
        <v>24.5</v>
      </c>
      <c r="N464" s="1" t="n">
        <v>12.2</v>
      </c>
      <c r="O464" s="1" t="n">
        <v>0</v>
      </c>
      <c r="P464" s="6" t="s">
        <v>43</v>
      </c>
      <c r="Q464" s="6" t="s">
        <v>43</v>
      </c>
      <c r="R464" s="1" t="n">
        <v>1006.7</v>
      </c>
      <c r="S464" s="1" t="n">
        <v>0</v>
      </c>
      <c r="T464" s="1" t="n">
        <v>62.4</v>
      </c>
      <c r="U464" s="1" t="n">
        <v>90.1</v>
      </c>
      <c r="V464" s="1" t="n">
        <v>745</v>
      </c>
      <c r="W464" s="1" t="n">
        <v>42.3</v>
      </c>
      <c r="X464" s="1" t="n">
        <v>25.9</v>
      </c>
      <c r="Y464" s="1" t="n">
        <v>42</v>
      </c>
      <c r="Z464" s="1" t="n">
        <v>60</v>
      </c>
      <c r="AA464" s="1" t="n">
        <v>153</v>
      </c>
      <c r="AB464" s="7" t="s">
        <v>81</v>
      </c>
      <c r="AC464" s="7" t="s">
        <v>88</v>
      </c>
      <c r="AD464" s="6" t="s">
        <v>43</v>
      </c>
      <c r="AE464" s="6" t="s">
        <v>43</v>
      </c>
      <c r="AF464" s="4" t="n">
        <f aca="false">IF(T464="","",IF(T464&lt;=30,(50/30)*T464,IF(T464&lt;=60,50+((100-50)/(60-30))*(T464-30),IF(T464&lt;=90,100+((200-100)/(90-60))*(T464-60),IF(T464&lt;=120,200+((300-200)/(120-90))*(T464-90),IF(T464&lt;=250,300+((400-300)/(250-120))*(T464-120),IF(T464&lt;=380,400+((500-400)/(380-250))*(T464-250),500)))))))</f>
        <v>108</v>
      </c>
      <c r="AG464" s="4" t="n">
        <f aca="false">IF(U464="","",IF(U464&lt;=50,(50/50)*U464,IF(U464&lt;=100,50+((100-50)/(100-50))*(U464-50),IF(U464&lt;=250,100+((200-100)/(250-100))*(U464-100),IF(U464&lt;=350,200+((300-200)/(350-250))*(U464-250),IF(U464&lt;=430,300+((400-300)/(430-350))*(U464-350),IF(U464&lt;=600,400+((500-400)/(600-430))*(U464-430),500)))))))</f>
        <v>90.1</v>
      </c>
      <c r="AH464" s="4" t="n">
        <f aca="false">IF(V464="","",IF((V464/1000)&lt;=1,(50/1)*(V464/1000),IF((V464/1000)&lt;=2,50+((100-50)/(2-1))*(V464/1000-1),IF((V464/1000)&lt;=10,100+((200-100)/(10-2))*(V464/1000-2),IF((V464/1000)&lt;=17,200+((300-200)/(17-10))*(V464/1000-10),IF((V464/1000)&lt;=34,300+((400-300)/(34-17))*(V464/1000-17),IF((V464/1000)&lt;=57,400+((500-400)/(57-34))*(V464/1000-34),500)))))))</f>
        <v>37.25</v>
      </c>
      <c r="AI464" s="4" t="n">
        <f aca="false">IF(W464="","",IF(W464&lt;=40,(50/40)*W464,IF(W464&lt;=80,50+((100-50)/(80-40))*(W464-40),IF(W464&lt;=180,100+((200-100)/(180-80))*(W464-80),IF(W464&lt;=280,200+((300-200)/(280-180))*(W464-180),IF(W464&lt;=400,300+((400-300)/(400-280))*(W464-280),IF(W464&lt;=800,400+((500-400)/(800-400))*(W464-400),500)))))))</f>
        <v>52.875</v>
      </c>
      <c r="AJ464" s="4" t="n">
        <f aca="false">IF(X464="","",IF(X464&lt;=40,(50/40)*X464,IF(X464&lt;=80,50+((100-50)/(80-40))*(X464-40),IF(X464&lt;=380,100+((200-100)/(380-80))*(X464-80),IF(X464&lt;=800,200+((300-200)/(800-380))*(X464-380),IF(X464&lt;=1600,300+((400-300)/(1600-800))*(X464-800),IF(X464&lt;=2100,400+((500-400)/(2100-1600))*(X464-1600),500)))))))</f>
        <v>32.375</v>
      </c>
      <c r="AK464" s="4" t="n">
        <f aca="false">IF(Y464="","",IF(Y464&lt;=50,(50/50)*Y464,IF(Y464&lt;=100,50+((100-50)/(100-50))*(Y464-50),IF(Y464&lt;=168,100+((200-100)/(168-100))*(Y464-100),IF(Y464&lt;=208,200+((300-200)/(208-168))*(Y464-168),IF(Y464&lt;=748,300+((400-300)/(748-208))*(Y464-208),IF(Y464&lt;=1000,400+((500-400)/(1000-748))*(Y464-748),500)))))))</f>
        <v>42</v>
      </c>
      <c r="AL464" s="4" t="n">
        <f aca="false">ROUND(MAX(AF464,AG464,AH464,AI464,AJ464,AK464),0)</f>
        <v>108</v>
      </c>
      <c r="AM464" s="4" t="str">
        <f aca="false">IF(AL464="","",IF(AL464&lt;=50,"Good",IF(AL464&lt;=100,"Satisfactory",IF(AL464&lt;=200,"Moderate",IF(AL464&lt;=300,"Poor",IF(AL464&lt;=400,"Very Poor","Severe"))))))</f>
        <v>Moderate</v>
      </c>
    </row>
    <row r="465" customFormat="false" ht="15.75" hidden="false" customHeight="false" outlineLevel="0" collapsed="false">
      <c r="A465" s="1" t="s">
        <v>39</v>
      </c>
      <c r="B465" s="1" t="s">
        <v>40</v>
      </c>
      <c r="C465" s="1" t="n">
        <v>28.4595</v>
      </c>
      <c r="D465" s="1" t="n">
        <v>77.0266</v>
      </c>
      <c r="E465" s="5" t="n">
        <v>45920</v>
      </c>
      <c r="F465" s="6" t="s">
        <v>57</v>
      </c>
      <c r="G465" s="1" t="n">
        <v>9</v>
      </c>
      <c r="H465" s="7" t="s">
        <v>86</v>
      </c>
      <c r="I465" s="6" t="s">
        <v>46</v>
      </c>
      <c r="J465" s="7" t="s">
        <v>44</v>
      </c>
      <c r="K465" s="7" t="s">
        <v>56</v>
      </c>
      <c r="L465" s="1" t="n">
        <v>85</v>
      </c>
      <c r="M465" s="1" t="n">
        <v>24.8</v>
      </c>
      <c r="N465" s="1" t="n">
        <v>13.3</v>
      </c>
      <c r="O465" s="1" t="n">
        <v>0</v>
      </c>
      <c r="P465" s="6" t="s">
        <v>43</v>
      </c>
      <c r="Q465" s="6" t="s">
        <v>43</v>
      </c>
      <c r="R465" s="1" t="n">
        <v>1007.1</v>
      </c>
      <c r="S465" s="1" t="n">
        <v>0</v>
      </c>
      <c r="T465" s="1" t="n">
        <v>60.5</v>
      </c>
      <c r="U465" s="1" t="n">
        <v>86.1</v>
      </c>
      <c r="V465" s="1" t="n">
        <v>776</v>
      </c>
      <c r="W465" s="1" t="n">
        <v>36.5</v>
      </c>
      <c r="X465" s="1" t="n">
        <v>24.1</v>
      </c>
      <c r="Y465" s="1" t="n">
        <v>61</v>
      </c>
      <c r="Z465" s="1" t="n">
        <v>66</v>
      </c>
      <c r="AA465" s="1" t="n">
        <v>153</v>
      </c>
      <c r="AB465" s="7" t="s">
        <v>81</v>
      </c>
      <c r="AC465" s="7" t="s">
        <v>88</v>
      </c>
      <c r="AD465" s="6" t="s">
        <v>43</v>
      </c>
      <c r="AE465" s="6" t="s">
        <v>43</v>
      </c>
      <c r="AF465" s="4" t="n">
        <f aca="false">IF(T465="","",IF(T465&lt;=30,(50/30)*T465,IF(T465&lt;=60,50+((100-50)/(60-30))*(T465-30),IF(T465&lt;=90,100+((200-100)/(90-60))*(T465-60),IF(T465&lt;=120,200+((300-200)/(120-90))*(T465-90),IF(T465&lt;=250,300+((400-300)/(250-120))*(T465-120),IF(T465&lt;=380,400+((500-400)/(380-250))*(T465-250),500)))))))</f>
        <v>101.666666666667</v>
      </c>
      <c r="AG465" s="4" t="n">
        <f aca="false">IF(U465="","",IF(U465&lt;=50,(50/50)*U465,IF(U465&lt;=100,50+((100-50)/(100-50))*(U465-50),IF(U465&lt;=250,100+((200-100)/(250-100))*(U465-100),IF(U465&lt;=350,200+((300-200)/(350-250))*(U465-250),IF(U465&lt;=430,300+((400-300)/(430-350))*(U465-350),IF(U465&lt;=600,400+((500-400)/(600-430))*(U465-430),500)))))))</f>
        <v>86.1</v>
      </c>
      <c r="AH465" s="4" t="n">
        <f aca="false">IF(V465="","",IF((V465/1000)&lt;=1,(50/1)*(V465/1000),IF((V465/1000)&lt;=2,50+((100-50)/(2-1))*(V465/1000-1),IF((V465/1000)&lt;=10,100+((200-100)/(10-2))*(V465/1000-2),IF((V465/1000)&lt;=17,200+((300-200)/(17-10))*(V465/1000-10),IF((V465/1000)&lt;=34,300+((400-300)/(34-17))*(V465/1000-17),IF((V465/1000)&lt;=57,400+((500-400)/(57-34))*(V465/1000-34),500)))))))</f>
        <v>38.8</v>
      </c>
      <c r="AI465" s="4" t="n">
        <f aca="false">IF(W465="","",IF(W465&lt;=40,(50/40)*W465,IF(W465&lt;=80,50+((100-50)/(80-40))*(W465-40),IF(W465&lt;=180,100+((200-100)/(180-80))*(W465-80),IF(W465&lt;=280,200+((300-200)/(280-180))*(W465-180),IF(W465&lt;=400,300+((400-300)/(400-280))*(W465-280),IF(W465&lt;=800,400+((500-400)/(800-400))*(W465-400),500)))))))</f>
        <v>45.625</v>
      </c>
      <c r="AJ465" s="4" t="n">
        <f aca="false">IF(X465="","",IF(X465&lt;=40,(50/40)*X465,IF(X465&lt;=80,50+((100-50)/(80-40))*(X465-40),IF(X465&lt;=380,100+((200-100)/(380-80))*(X465-80),IF(X465&lt;=800,200+((300-200)/(800-380))*(X465-380),IF(X465&lt;=1600,300+((400-300)/(1600-800))*(X465-800),IF(X465&lt;=2100,400+((500-400)/(2100-1600))*(X465-1600),500)))))))</f>
        <v>30.125</v>
      </c>
      <c r="AK465" s="4" t="n">
        <f aca="false">IF(Y465="","",IF(Y465&lt;=50,(50/50)*Y465,IF(Y465&lt;=100,50+((100-50)/(100-50))*(Y465-50),IF(Y465&lt;=168,100+((200-100)/(168-100))*(Y465-100),IF(Y465&lt;=208,200+((300-200)/(208-168))*(Y465-168),IF(Y465&lt;=748,300+((400-300)/(748-208))*(Y465-208),IF(Y465&lt;=1000,400+((500-400)/(1000-748))*(Y465-748),500)))))))</f>
        <v>61</v>
      </c>
      <c r="AL465" s="4" t="n">
        <f aca="false">ROUND(MAX(AF465,AG465,AH465,AI465,AJ465,AK465),0)</f>
        <v>102</v>
      </c>
      <c r="AM465" s="4" t="str">
        <f aca="false">IF(AL465="","",IF(AL465&lt;=50,"Good",IF(AL465&lt;=100,"Satisfactory",IF(AL465&lt;=200,"Moderate",IF(AL465&lt;=300,"Poor",IF(AL465&lt;=400,"Very Poor","Severe"))))))</f>
        <v>Moderate</v>
      </c>
    </row>
    <row r="466" customFormat="false" ht="15.75" hidden="false" customHeight="false" outlineLevel="0" collapsed="false">
      <c r="A466" s="1" t="s">
        <v>39</v>
      </c>
      <c r="B466" s="1" t="s">
        <v>40</v>
      </c>
      <c r="C466" s="1" t="n">
        <v>28.4595</v>
      </c>
      <c r="D466" s="1" t="n">
        <v>77.0266</v>
      </c>
      <c r="E466" s="5" t="n">
        <v>45920</v>
      </c>
      <c r="F466" s="6" t="s">
        <v>58</v>
      </c>
      <c r="G466" s="1" t="n">
        <v>9</v>
      </c>
      <c r="H466" s="7" t="s">
        <v>86</v>
      </c>
      <c r="I466" s="6" t="s">
        <v>46</v>
      </c>
      <c r="J466" s="7" t="s">
        <v>44</v>
      </c>
      <c r="K466" s="7" t="s">
        <v>56</v>
      </c>
      <c r="L466" s="1" t="n">
        <v>74</v>
      </c>
      <c r="M466" s="1" t="n">
        <v>24.6</v>
      </c>
      <c r="N466" s="1" t="n">
        <v>15.8</v>
      </c>
      <c r="O466" s="1" t="n">
        <v>0</v>
      </c>
      <c r="P466" s="6" t="s">
        <v>43</v>
      </c>
      <c r="Q466" s="6" t="s">
        <v>43</v>
      </c>
      <c r="R466" s="1" t="n">
        <v>1007.6</v>
      </c>
      <c r="S466" s="1" t="n">
        <v>0</v>
      </c>
      <c r="T466" s="1" t="n">
        <v>48</v>
      </c>
      <c r="U466" s="1" t="n">
        <v>88.5</v>
      </c>
      <c r="V466" s="1" t="n">
        <v>748</v>
      </c>
      <c r="W466" s="1" t="n">
        <v>29.9</v>
      </c>
      <c r="X466" s="1" t="n">
        <v>22.4</v>
      </c>
      <c r="Y466" s="1" t="n">
        <v>83</v>
      </c>
      <c r="Z466" s="1" t="n">
        <v>79</v>
      </c>
      <c r="AA466" s="1" t="n">
        <v>153</v>
      </c>
      <c r="AB466" s="7" t="s">
        <v>81</v>
      </c>
      <c r="AC466" s="7" t="s">
        <v>48</v>
      </c>
      <c r="AD466" s="6" t="s">
        <v>43</v>
      </c>
      <c r="AE466" s="6" t="s">
        <v>43</v>
      </c>
      <c r="AF466" s="4" t="n">
        <f aca="false">IF(T466="","",IF(T466&lt;=30,(50/30)*T466,IF(T466&lt;=60,50+((100-50)/(60-30))*(T466-30),IF(T466&lt;=90,100+((200-100)/(90-60))*(T466-60),IF(T466&lt;=120,200+((300-200)/(120-90))*(T466-90),IF(T466&lt;=250,300+((400-300)/(250-120))*(T466-120),IF(T466&lt;=380,400+((500-400)/(380-250))*(T466-250),500)))))))</f>
        <v>80</v>
      </c>
      <c r="AG466" s="4" t="n">
        <f aca="false">IF(U466="","",IF(U466&lt;=50,(50/50)*U466,IF(U466&lt;=100,50+((100-50)/(100-50))*(U466-50),IF(U466&lt;=250,100+((200-100)/(250-100))*(U466-100),IF(U466&lt;=350,200+((300-200)/(350-250))*(U466-250),IF(U466&lt;=430,300+((400-300)/(430-350))*(U466-350),IF(U466&lt;=600,400+((500-400)/(600-430))*(U466-430),500)))))))</f>
        <v>88.5</v>
      </c>
      <c r="AH466" s="4" t="n">
        <f aca="false">IF(V466="","",IF((V466/1000)&lt;=1,(50/1)*(V466/1000),IF((V466/1000)&lt;=2,50+((100-50)/(2-1))*(V466/1000-1),IF((V466/1000)&lt;=10,100+((200-100)/(10-2))*(V466/1000-2),IF((V466/1000)&lt;=17,200+((300-200)/(17-10))*(V466/1000-10),IF((V466/1000)&lt;=34,300+((400-300)/(34-17))*(V466/1000-17),IF((V466/1000)&lt;=57,400+((500-400)/(57-34))*(V466/1000-34),500)))))))</f>
        <v>37.4</v>
      </c>
      <c r="AI466" s="4" t="n">
        <f aca="false">IF(W466="","",IF(W466&lt;=40,(50/40)*W466,IF(W466&lt;=80,50+((100-50)/(80-40))*(W466-40),IF(W466&lt;=180,100+((200-100)/(180-80))*(W466-80),IF(W466&lt;=280,200+((300-200)/(280-180))*(W466-180),IF(W466&lt;=400,300+((400-300)/(400-280))*(W466-280),IF(W466&lt;=800,400+((500-400)/(800-400))*(W466-400),500)))))))</f>
        <v>37.375</v>
      </c>
      <c r="AJ466" s="4" t="n">
        <f aca="false">IF(X466="","",IF(X466&lt;=40,(50/40)*X466,IF(X466&lt;=80,50+((100-50)/(80-40))*(X466-40),IF(X466&lt;=380,100+((200-100)/(380-80))*(X466-80),IF(X466&lt;=800,200+((300-200)/(800-380))*(X466-380),IF(X466&lt;=1600,300+((400-300)/(1600-800))*(X466-800),IF(X466&lt;=2100,400+((500-400)/(2100-1600))*(X466-1600),500)))))))</f>
        <v>28</v>
      </c>
      <c r="AK466" s="4" t="n">
        <f aca="false">IF(Y466="","",IF(Y466&lt;=50,(50/50)*Y466,IF(Y466&lt;=100,50+((100-50)/(100-50))*(Y466-50),IF(Y466&lt;=168,100+((200-100)/(168-100))*(Y466-100),IF(Y466&lt;=208,200+((300-200)/(208-168))*(Y466-168),IF(Y466&lt;=748,300+((400-300)/(748-208))*(Y466-208),IF(Y466&lt;=1000,400+((500-400)/(1000-748))*(Y466-748),500)))))))</f>
        <v>83</v>
      </c>
      <c r="AL466" s="4" t="n">
        <f aca="false">ROUND(MAX(AF466,AG466,AH466,AI466,AJ466,AK466),0)</f>
        <v>89</v>
      </c>
      <c r="AM466" s="4" t="str">
        <f aca="false">IF(AL466="","",IF(AL466&lt;=50,"Good",IF(AL466&lt;=100,"Satisfactory",IF(AL466&lt;=200,"Moderate",IF(AL466&lt;=300,"Poor",IF(AL466&lt;=400,"Very Poor","Severe"))))))</f>
        <v>Satisfactory</v>
      </c>
    </row>
    <row r="467" customFormat="false" ht="15.75" hidden="false" customHeight="false" outlineLevel="0" collapsed="false">
      <c r="A467" s="1" t="s">
        <v>39</v>
      </c>
      <c r="B467" s="1" t="s">
        <v>40</v>
      </c>
      <c r="C467" s="1" t="n">
        <v>28.4595</v>
      </c>
      <c r="D467" s="1" t="n">
        <v>77.0266</v>
      </c>
      <c r="E467" s="5" t="n">
        <v>45920</v>
      </c>
      <c r="F467" s="6" t="s">
        <v>59</v>
      </c>
      <c r="G467" s="1" t="n">
        <v>9</v>
      </c>
      <c r="H467" s="7" t="s">
        <v>86</v>
      </c>
      <c r="I467" s="6" t="s">
        <v>46</v>
      </c>
      <c r="J467" s="7" t="s">
        <v>44</v>
      </c>
      <c r="K467" s="7" t="s">
        <v>60</v>
      </c>
      <c r="L467" s="1" t="n">
        <v>56</v>
      </c>
      <c r="M467" s="1" t="n">
        <v>22.1</v>
      </c>
      <c r="N467" s="1" t="n">
        <v>25.2</v>
      </c>
      <c r="O467" s="1" t="n">
        <v>0</v>
      </c>
      <c r="P467" s="6" t="s">
        <v>43</v>
      </c>
      <c r="Q467" s="6" t="s">
        <v>43</v>
      </c>
      <c r="R467" s="1" t="n">
        <v>1007.9</v>
      </c>
      <c r="S467" s="1" t="n">
        <v>4</v>
      </c>
      <c r="T467" s="1" t="n">
        <v>38.2</v>
      </c>
      <c r="U467" s="1" t="n">
        <v>78.9</v>
      </c>
      <c r="V467" s="1" t="n">
        <v>596</v>
      </c>
      <c r="W467" s="1" t="n">
        <v>21.7</v>
      </c>
      <c r="X467" s="1" t="n">
        <v>21</v>
      </c>
      <c r="Y467" s="1" t="n">
        <v>109</v>
      </c>
      <c r="Z467" s="1" t="n">
        <v>103</v>
      </c>
      <c r="AA467" s="1" t="n">
        <v>153</v>
      </c>
      <c r="AB467" s="7" t="s">
        <v>81</v>
      </c>
      <c r="AC467" s="7" t="s">
        <v>48</v>
      </c>
      <c r="AD467" s="6" t="s">
        <v>43</v>
      </c>
      <c r="AE467" s="6" t="s">
        <v>43</v>
      </c>
      <c r="AF467" s="4" t="n">
        <f aca="false">IF(T467="","",IF(T467&lt;=30,(50/30)*T467,IF(T467&lt;=60,50+((100-50)/(60-30))*(T467-30),IF(T467&lt;=90,100+((200-100)/(90-60))*(T467-60),IF(T467&lt;=120,200+((300-200)/(120-90))*(T467-90),IF(T467&lt;=250,300+((400-300)/(250-120))*(T467-120),IF(T467&lt;=380,400+((500-400)/(380-250))*(T467-250),500)))))))</f>
        <v>63.6666666666667</v>
      </c>
      <c r="AG467" s="4" t="n">
        <f aca="false">IF(U467="","",IF(U467&lt;=50,(50/50)*U467,IF(U467&lt;=100,50+((100-50)/(100-50))*(U467-50),IF(U467&lt;=250,100+((200-100)/(250-100))*(U467-100),IF(U467&lt;=350,200+((300-200)/(350-250))*(U467-250),IF(U467&lt;=430,300+((400-300)/(430-350))*(U467-350),IF(U467&lt;=600,400+((500-400)/(600-430))*(U467-430),500)))))))</f>
        <v>78.9</v>
      </c>
      <c r="AH467" s="4" t="n">
        <f aca="false">IF(V467="","",IF((V467/1000)&lt;=1,(50/1)*(V467/1000),IF((V467/1000)&lt;=2,50+((100-50)/(2-1))*(V467/1000-1),IF((V467/1000)&lt;=10,100+((200-100)/(10-2))*(V467/1000-2),IF((V467/1000)&lt;=17,200+((300-200)/(17-10))*(V467/1000-10),IF((V467/1000)&lt;=34,300+((400-300)/(34-17))*(V467/1000-17),IF((V467/1000)&lt;=57,400+((500-400)/(57-34))*(V467/1000-34),500)))))))</f>
        <v>29.8</v>
      </c>
      <c r="AI467" s="4" t="n">
        <f aca="false">IF(W467="","",IF(W467&lt;=40,(50/40)*W467,IF(W467&lt;=80,50+((100-50)/(80-40))*(W467-40),IF(W467&lt;=180,100+((200-100)/(180-80))*(W467-80),IF(W467&lt;=280,200+((300-200)/(280-180))*(W467-180),IF(W467&lt;=400,300+((400-300)/(400-280))*(W467-280),IF(W467&lt;=800,400+((500-400)/(800-400))*(W467-400),500)))))))</f>
        <v>27.125</v>
      </c>
      <c r="AJ467" s="4" t="n">
        <f aca="false">IF(X467="","",IF(X467&lt;=40,(50/40)*X467,IF(X467&lt;=80,50+((100-50)/(80-40))*(X467-40),IF(X467&lt;=380,100+((200-100)/(380-80))*(X467-80),IF(X467&lt;=800,200+((300-200)/(800-380))*(X467-380),IF(X467&lt;=1600,300+((400-300)/(1600-800))*(X467-800),IF(X467&lt;=2100,400+((500-400)/(2100-1600))*(X467-1600),500)))))))</f>
        <v>26.25</v>
      </c>
      <c r="AK467" s="4" t="n">
        <f aca="false">IF(Y467="","",IF(Y467&lt;=50,(50/50)*Y467,IF(Y467&lt;=100,50+((100-50)/(100-50))*(Y467-50),IF(Y467&lt;=168,100+((200-100)/(168-100))*(Y467-100),IF(Y467&lt;=208,200+((300-200)/(208-168))*(Y467-168),IF(Y467&lt;=748,300+((400-300)/(748-208))*(Y467-208),IF(Y467&lt;=1000,400+((500-400)/(1000-748))*(Y467-748),500)))))))</f>
        <v>113.235294117647</v>
      </c>
      <c r="AL467" s="4" t="n">
        <f aca="false">ROUND(MAX(AF467,AG467,AH467,AI467,AJ467,AK467),0)</f>
        <v>113</v>
      </c>
      <c r="AM467" s="4" t="str">
        <f aca="false">IF(AL467="","",IF(AL467&lt;=50,"Good",IF(AL467&lt;=100,"Satisfactory",IF(AL467&lt;=200,"Moderate",IF(AL467&lt;=300,"Poor",IF(AL467&lt;=400,"Very Poor","Severe"))))))</f>
        <v>Moderate</v>
      </c>
    </row>
    <row r="468" customFormat="false" ht="15.75" hidden="false" customHeight="false" outlineLevel="0" collapsed="false">
      <c r="A468" s="1" t="s">
        <v>39</v>
      </c>
      <c r="B468" s="1" t="s">
        <v>40</v>
      </c>
      <c r="C468" s="1" t="n">
        <v>28.4595</v>
      </c>
      <c r="D468" s="1" t="n">
        <v>77.0266</v>
      </c>
      <c r="E468" s="5" t="n">
        <v>45920</v>
      </c>
      <c r="F468" s="6" t="s">
        <v>61</v>
      </c>
      <c r="G468" s="1" t="n">
        <v>9</v>
      </c>
      <c r="H468" s="7" t="s">
        <v>86</v>
      </c>
      <c r="I468" s="6" t="s">
        <v>46</v>
      </c>
      <c r="J468" s="7" t="s">
        <v>44</v>
      </c>
      <c r="K468" s="7" t="s">
        <v>60</v>
      </c>
      <c r="L468" s="1" t="n">
        <v>45</v>
      </c>
      <c r="M468" s="1" t="n">
        <v>19.9</v>
      </c>
      <c r="N468" s="1" t="n">
        <v>32</v>
      </c>
      <c r="O468" s="1" t="n">
        <v>0</v>
      </c>
      <c r="P468" s="6" t="s">
        <v>43</v>
      </c>
      <c r="Q468" s="6" t="s">
        <v>43</v>
      </c>
      <c r="R468" s="1" t="n">
        <v>1007.7</v>
      </c>
      <c r="S468" s="1" t="n">
        <v>7</v>
      </c>
      <c r="T468" s="1" t="n">
        <v>33.9</v>
      </c>
      <c r="U468" s="1" t="n">
        <v>96.9</v>
      </c>
      <c r="V468" s="1" t="n">
        <v>386</v>
      </c>
      <c r="W468" s="1" t="n">
        <v>12.6</v>
      </c>
      <c r="X468" s="1" t="n">
        <v>19.7</v>
      </c>
      <c r="Y468" s="1" t="n">
        <v>138</v>
      </c>
      <c r="Z468" s="1" t="n">
        <v>133</v>
      </c>
      <c r="AA468" s="1" t="n">
        <v>152</v>
      </c>
      <c r="AB468" s="7" t="s">
        <v>81</v>
      </c>
      <c r="AC468" s="7" t="s">
        <v>48</v>
      </c>
      <c r="AD468" s="6" t="s">
        <v>43</v>
      </c>
      <c r="AE468" s="6" t="s">
        <v>43</v>
      </c>
      <c r="AF468" s="4" t="n">
        <f aca="false">IF(T468="","",IF(T468&lt;=30,(50/30)*T468,IF(T468&lt;=60,50+((100-50)/(60-30))*(T468-30),IF(T468&lt;=90,100+((200-100)/(90-60))*(T468-60),IF(T468&lt;=120,200+((300-200)/(120-90))*(T468-90),IF(T468&lt;=250,300+((400-300)/(250-120))*(T468-120),IF(T468&lt;=380,400+((500-400)/(380-250))*(T468-250),500)))))))</f>
        <v>56.5</v>
      </c>
      <c r="AG468" s="4" t="n">
        <f aca="false">IF(U468="","",IF(U468&lt;=50,(50/50)*U468,IF(U468&lt;=100,50+((100-50)/(100-50))*(U468-50),IF(U468&lt;=250,100+((200-100)/(250-100))*(U468-100),IF(U468&lt;=350,200+((300-200)/(350-250))*(U468-250),IF(U468&lt;=430,300+((400-300)/(430-350))*(U468-350),IF(U468&lt;=600,400+((500-400)/(600-430))*(U468-430),500)))))))</f>
        <v>96.9</v>
      </c>
      <c r="AH468" s="4" t="n">
        <f aca="false">IF(V468="","",IF((V468/1000)&lt;=1,(50/1)*(V468/1000),IF((V468/1000)&lt;=2,50+((100-50)/(2-1))*(V468/1000-1),IF((V468/1000)&lt;=10,100+((200-100)/(10-2))*(V468/1000-2),IF((V468/1000)&lt;=17,200+((300-200)/(17-10))*(V468/1000-10),IF((V468/1000)&lt;=34,300+((400-300)/(34-17))*(V468/1000-17),IF((V468/1000)&lt;=57,400+((500-400)/(57-34))*(V468/1000-34),500)))))))</f>
        <v>19.3</v>
      </c>
      <c r="AI468" s="4" t="n">
        <f aca="false">IF(W468="","",IF(W468&lt;=40,(50/40)*W468,IF(W468&lt;=80,50+((100-50)/(80-40))*(W468-40),IF(W468&lt;=180,100+((200-100)/(180-80))*(W468-80),IF(W468&lt;=280,200+((300-200)/(280-180))*(W468-180),IF(W468&lt;=400,300+((400-300)/(400-280))*(W468-280),IF(W468&lt;=800,400+((500-400)/(800-400))*(W468-400),500)))))))</f>
        <v>15.75</v>
      </c>
      <c r="AJ468" s="4" t="n">
        <f aca="false">IF(X468="","",IF(X468&lt;=40,(50/40)*X468,IF(X468&lt;=80,50+((100-50)/(80-40))*(X468-40),IF(X468&lt;=380,100+((200-100)/(380-80))*(X468-80),IF(X468&lt;=800,200+((300-200)/(800-380))*(X468-380),IF(X468&lt;=1600,300+((400-300)/(1600-800))*(X468-800),IF(X468&lt;=2100,400+((500-400)/(2100-1600))*(X468-1600),500)))))))</f>
        <v>24.625</v>
      </c>
      <c r="AK468" s="4" t="n">
        <f aca="false">IF(Y468="","",IF(Y468&lt;=50,(50/50)*Y468,IF(Y468&lt;=100,50+((100-50)/(100-50))*(Y468-50),IF(Y468&lt;=168,100+((200-100)/(168-100))*(Y468-100),IF(Y468&lt;=208,200+((300-200)/(208-168))*(Y468-168),IF(Y468&lt;=748,300+((400-300)/(748-208))*(Y468-208),IF(Y468&lt;=1000,400+((500-400)/(1000-748))*(Y468-748),500)))))))</f>
        <v>155.882352941176</v>
      </c>
      <c r="AL468" s="4" t="n">
        <f aca="false">ROUND(MAX(AF468,AG468,AH468,AI468,AJ468,AK468),0)</f>
        <v>156</v>
      </c>
      <c r="AM468" s="4" t="str">
        <f aca="false">IF(AL468="","",IF(AL468&lt;=50,"Good",IF(AL468&lt;=100,"Satisfactory",IF(AL468&lt;=200,"Moderate",IF(AL468&lt;=300,"Poor",IF(AL468&lt;=400,"Very Poor","Severe"))))))</f>
        <v>Moderate</v>
      </c>
    </row>
    <row r="469" customFormat="false" ht="15.75" hidden="false" customHeight="false" outlineLevel="0" collapsed="false">
      <c r="A469" s="1" t="s">
        <v>39</v>
      </c>
      <c r="B469" s="1" t="s">
        <v>40</v>
      </c>
      <c r="C469" s="1" t="n">
        <v>28.4595</v>
      </c>
      <c r="D469" s="1" t="n">
        <v>77.0266</v>
      </c>
      <c r="E469" s="5" t="n">
        <v>45920</v>
      </c>
      <c r="F469" s="6" t="s">
        <v>62</v>
      </c>
      <c r="G469" s="1" t="n">
        <v>9</v>
      </c>
      <c r="H469" s="7" t="s">
        <v>86</v>
      </c>
      <c r="I469" s="6" t="s">
        <v>46</v>
      </c>
      <c r="J469" s="7" t="s">
        <v>44</v>
      </c>
      <c r="K469" s="7" t="s">
        <v>60</v>
      </c>
      <c r="L469" s="1" t="n">
        <v>42</v>
      </c>
      <c r="M469" s="1" t="n">
        <v>19.3</v>
      </c>
      <c r="N469" s="1" t="n">
        <v>36.4</v>
      </c>
      <c r="O469" s="1" t="n">
        <v>0</v>
      </c>
      <c r="P469" s="6" t="s">
        <v>43</v>
      </c>
      <c r="Q469" s="6" t="s">
        <v>43</v>
      </c>
      <c r="R469" s="1" t="n">
        <v>1007.3</v>
      </c>
      <c r="S469" s="1" t="n">
        <v>22</v>
      </c>
      <c r="T469" s="1" t="n">
        <v>34</v>
      </c>
      <c r="U469" s="1" t="n">
        <v>116.9</v>
      </c>
      <c r="V469" s="1" t="n">
        <v>232</v>
      </c>
      <c r="W469" s="1" t="n">
        <v>6</v>
      </c>
      <c r="X469" s="1" t="n">
        <v>18.2</v>
      </c>
      <c r="Y469" s="1" t="n">
        <v>158</v>
      </c>
      <c r="Z469" s="1" t="n">
        <v>162</v>
      </c>
      <c r="AA469" s="1" t="n">
        <v>152</v>
      </c>
      <c r="AB469" s="7" t="s">
        <v>81</v>
      </c>
      <c r="AC469" s="7" t="s">
        <v>48</v>
      </c>
      <c r="AD469" s="6" t="s">
        <v>43</v>
      </c>
      <c r="AE469" s="6" t="s">
        <v>43</v>
      </c>
      <c r="AF469" s="4" t="n">
        <f aca="false">IF(T469="","",IF(T469&lt;=30,(50/30)*T469,IF(T469&lt;=60,50+((100-50)/(60-30))*(T469-30),IF(T469&lt;=90,100+((200-100)/(90-60))*(T469-60),IF(T469&lt;=120,200+((300-200)/(120-90))*(T469-90),IF(T469&lt;=250,300+((400-300)/(250-120))*(T469-120),IF(T469&lt;=380,400+((500-400)/(380-250))*(T469-250),500)))))))</f>
        <v>56.6666666666667</v>
      </c>
      <c r="AG469" s="4" t="n">
        <f aca="false">IF(U469="","",IF(U469&lt;=50,(50/50)*U469,IF(U469&lt;=100,50+((100-50)/(100-50))*(U469-50),IF(U469&lt;=250,100+((200-100)/(250-100))*(U469-100),IF(U469&lt;=350,200+((300-200)/(350-250))*(U469-250),IF(U469&lt;=430,300+((400-300)/(430-350))*(U469-350),IF(U469&lt;=600,400+((500-400)/(600-430))*(U469-430),500)))))))</f>
        <v>111.266666666667</v>
      </c>
      <c r="AH469" s="4" t="n">
        <f aca="false">IF(V469="","",IF((V469/1000)&lt;=1,(50/1)*(V469/1000),IF((V469/1000)&lt;=2,50+((100-50)/(2-1))*(V469/1000-1),IF((V469/1000)&lt;=10,100+((200-100)/(10-2))*(V469/1000-2),IF((V469/1000)&lt;=17,200+((300-200)/(17-10))*(V469/1000-10),IF((V469/1000)&lt;=34,300+((400-300)/(34-17))*(V469/1000-17),IF((V469/1000)&lt;=57,400+((500-400)/(57-34))*(V469/1000-34),500)))))))</f>
        <v>11.6</v>
      </c>
      <c r="AI469" s="4" t="n">
        <f aca="false">IF(W469="","",IF(W469&lt;=40,(50/40)*W469,IF(W469&lt;=80,50+((100-50)/(80-40))*(W469-40),IF(W469&lt;=180,100+((200-100)/(180-80))*(W469-80),IF(W469&lt;=280,200+((300-200)/(280-180))*(W469-180),IF(W469&lt;=400,300+((400-300)/(400-280))*(W469-280),IF(W469&lt;=800,400+((500-400)/(800-400))*(W469-400),500)))))))</f>
        <v>7.5</v>
      </c>
      <c r="AJ469" s="4" t="n">
        <f aca="false">IF(X469="","",IF(X469&lt;=40,(50/40)*X469,IF(X469&lt;=80,50+((100-50)/(80-40))*(X469-40),IF(X469&lt;=380,100+((200-100)/(380-80))*(X469-80),IF(X469&lt;=800,200+((300-200)/(800-380))*(X469-380),IF(X469&lt;=1600,300+((400-300)/(1600-800))*(X469-800),IF(X469&lt;=2100,400+((500-400)/(2100-1600))*(X469-1600),500)))))))</f>
        <v>22.75</v>
      </c>
      <c r="AK469" s="4" t="n">
        <f aca="false">IF(Y469="","",IF(Y469&lt;=50,(50/50)*Y469,IF(Y469&lt;=100,50+((100-50)/(100-50))*(Y469-50),IF(Y469&lt;=168,100+((200-100)/(168-100))*(Y469-100),IF(Y469&lt;=208,200+((300-200)/(208-168))*(Y469-168),IF(Y469&lt;=748,300+((400-300)/(748-208))*(Y469-208),IF(Y469&lt;=1000,400+((500-400)/(1000-748))*(Y469-748),500)))))))</f>
        <v>185.294117647059</v>
      </c>
      <c r="AL469" s="4" t="n">
        <f aca="false">ROUND(MAX(AF469,AG469,AH469,AI469,AJ469,AK469),0)</f>
        <v>185</v>
      </c>
      <c r="AM469" s="4" t="str">
        <f aca="false">IF(AL469="","",IF(AL469&lt;=50,"Good",IF(AL469&lt;=100,"Satisfactory",IF(AL469&lt;=200,"Moderate",IF(AL469&lt;=300,"Poor",IF(AL469&lt;=400,"Very Poor","Severe"))))))</f>
        <v>Moderate</v>
      </c>
    </row>
    <row r="470" customFormat="false" ht="15.75" hidden="false" customHeight="false" outlineLevel="0" collapsed="false">
      <c r="A470" s="1" t="s">
        <v>39</v>
      </c>
      <c r="B470" s="1" t="s">
        <v>40</v>
      </c>
      <c r="C470" s="1" t="n">
        <v>28.4595</v>
      </c>
      <c r="D470" s="1" t="n">
        <v>77.0266</v>
      </c>
      <c r="E470" s="5" t="n">
        <v>45920</v>
      </c>
      <c r="F470" s="6" t="s">
        <v>63</v>
      </c>
      <c r="G470" s="1" t="n">
        <v>9</v>
      </c>
      <c r="H470" s="7" t="s">
        <v>86</v>
      </c>
      <c r="I470" s="6" t="s">
        <v>46</v>
      </c>
      <c r="J470" s="7" t="s">
        <v>44</v>
      </c>
      <c r="K470" s="7" t="s">
        <v>60</v>
      </c>
      <c r="L470" s="1" t="n">
        <v>42</v>
      </c>
      <c r="M470" s="1" t="n">
        <v>19.5</v>
      </c>
      <c r="N470" s="1" t="n">
        <v>36.4</v>
      </c>
      <c r="O470" s="1" t="n">
        <v>0</v>
      </c>
      <c r="P470" s="6" t="s">
        <v>43</v>
      </c>
      <c r="Q470" s="6" t="s">
        <v>43</v>
      </c>
      <c r="R470" s="1" t="n">
        <v>1006.4</v>
      </c>
      <c r="S470" s="1" t="n">
        <v>28</v>
      </c>
      <c r="T470" s="1" t="n">
        <v>34.8</v>
      </c>
      <c r="U470" s="1" t="n">
        <v>133.6</v>
      </c>
      <c r="V470" s="1" t="n">
        <v>188</v>
      </c>
      <c r="W470" s="1" t="n">
        <v>3.4</v>
      </c>
      <c r="X470" s="1" t="n">
        <v>16.3</v>
      </c>
      <c r="Y470" s="1" t="n">
        <v>164</v>
      </c>
      <c r="Z470" s="1" t="n">
        <v>187</v>
      </c>
      <c r="AA470" s="1" t="n">
        <v>152</v>
      </c>
      <c r="AB470" s="7" t="s">
        <v>81</v>
      </c>
      <c r="AC470" s="7" t="s">
        <v>48</v>
      </c>
      <c r="AD470" s="6" t="s">
        <v>43</v>
      </c>
      <c r="AE470" s="6" t="s">
        <v>43</v>
      </c>
      <c r="AF470" s="4" t="n">
        <f aca="false">IF(T470="","",IF(T470&lt;=30,(50/30)*T470,IF(T470&lt;=60,50+((100-50)/(60-30))*(T470-30),IF(T470&lt;=90,100+((200-100)/(90-60))*(T470-60),IF(T470&lt;=120,200+((300-200)/(120-90))*(T470-90),IF(T470&lt;=250,300+((400-300)/(250-120))*(T470-120),IF(T470&lt;=380,400+((500-400)/(380-250))*(T470-250),500)))))))</f>
        <v>58</v>
      </c>
      <c r="AG470" s="4" t="n">
        <f aca="false">IF(U470="","",IF(U470&lt;=50,(50/50)*U470,IF(U470&lt;=100,50+((100-50)/(100-50))*(U470-50),IF(U470&lt;=250,100+((200-100)/(250-100))*(U470-100),IF(U470&lt;=350,200+((300-200)/(350-250))*(U470-250),IF(U470&lt;=430,300+((400-300)/(430-350))*(U470-350),IF(U470&lt;=600,400+((500-400)/(600-430))*(U470-430),500)))))))</f>
        <v>122.4</v>
      </c>
      <c r="AH470" s="4" t="n">
        <f aca="false">IF(V470="","",IF((V470/1000)&lt;=1,(50/1)*(V470/1000),IF((V470/1000)&lt;=2,50+((100-50)/(2-1))*(V470/1000-1),IF((V470/1000)&lt;=10,100+((200-100)/(10-2))*(V470/1000-2),IF((V470/1000)&lt;=17,200+((300-200)/(17-10))*(V470/1000-10),IF((V470/1000)&lt;=34,300+((400-300)/(34-17))*(V470/1000-17),IF((V470/1000)&lt;=57,400+((500-400)/(57-34))*(V470/1000-34),500)))))))</f>
        <v>9.4</v>
      </c>
      <c r="AI470" s="4" t="n">
        <f aca="false">IF(W470="","",IF(W470&lt;=40,(50/40)*W470,IF(W470&lt;=80,50+((100-50)/(80-40))*(W470-40),IF(W470&lt;=180,100+((200-100)/(180-80))*(W470-80),IF(W470&lt;=280,200+((300-200)/(280-180))*(W470-180),IF(W470&lt;=400,300+((400-300)/(400-280))*(W470-280),IF(W470&lt;=800,400+((500-400)/(800-400))*(W470-400),500)))))))</f>
        <v>4.25</v>
      </c>
      <c r="AJ470" s="4" t="n">
        <f aca="false">IF(X470="","",IF(X470&lt;=40,(50/40)*X470,IF(X470&lt;=80,50+((100-50)/(80-40))*(X470-40),IF(X470&lt;=380,100+((200-100)/(380-80))*(X470-80),IF(X470&lt;=800,200+((300-200)/(800-380))*(X470-380),IF(X470&lt;=1600,300+((400-300)/(1600-800))*(X470-800),IF(X470&lt;=2100,400+((500-400)/(2100-1600))*(X470-1600),500)))))))</f>
        <v>20.375</v>
      </c>
      <c r="AK470" s="4" t="n">
        <f aca="false">IF(Y470="","",IF(Y470&lt;=50,(50/50)*Y470,IF(Y470&lt;=100,50+((100-50)/(100-50))*(Y470-50),IF(Y470&lt;=168,100+((200-100)/(168-100))*(Y470-100),IF(Y470&lt;=208,200+((300-200)/(208-168))*(Y470-168),IF(Y470&lt;=748,300+((400-300)/(748-208))*(Y470-208),IF(Y470&lt;=1000,400+((500-400)/(1000-748))*(Y470-748),500)))))))</f>
        <v>194.117647058824</v>
      </c>
      <c r="AL470" s="4" t="n">
        <f aca="false">ROUND(MAX(AF470,AG470,AH470,AI470,AJ470,AK470),0)</f>
        <v>194</v>
      </c>
      <c r="AM470" s="4" t="str">
        <f aca="false">IF(AL470="","",IF(AL470&lt;=50,"Good",IF(AL470&lt;=100,"Satisfactory",IF(AL470&lt;=200,"Moderate",IF(AL470&lt;=300,"Poor",IF(AL470&lt;=400,"Very Poor","Severe"))))))</f>
        <v>Moderate</v>
      </c>
    </row>
    <row r="471" customFormat="false" ht="15.75" hidden="false" customHeight="false" outlineLevel="0" collapsed="false">
      <c r="A471" s="1" t="s">
        <v>39</v>
      </c>
      <c r="B471" s="1" t="s">
        <v>40</v>
      </c>
      <c r="C471" s="1" t="n">
        <v>28.4595</v>
      </c>
      <c r="D471" s="1" t="n">
        <v>77.0266</v>
      </c>
      <c r="E471" s="5" t="n">
        <v>45920</v>
      </c>
      <c r="F471" s="6" t="s">
        <v>64</v>
      </c>
      <c r="G471" s="1" t="n">
        <v>9</v>
      </c>
      <c r="H471" s="7" t="s">
        <v>86</v>
      </c>
      <c r="I471" s="6" t="s">
        <v>46</v>
      </c>
      <c r="J471" s="7" t="s">
        <v>44</v>
      </c>
      <c r="K471" s="7" t="s">
        <v>65</v>
      </c>
      <c r="L471" s="1" t="n">
        <v>41</v>
      </c>
      <c r="M471" s="1" t="n">
        <v>19.4</v>
      </c>
      <c r="N471" s="1" t="n">
        <v>34.2</v>
      </c>
      <c r="O471" s="1" t="n">
        <v>0</v>
      </c>
      <c r="P471" s="6" t="s">
        <v>43</v>
      </c>
      <c r="Q471" s="6" t="s">
        <v>43</v>
      </c>
      <c r="R471" s="1" t="n">
        <v>1005.4</v>
      </c>
      <c r="S471" s="1" t="n">
        <v>27</v>
      </c>
      <c r="T471" s="1" t="n">
        <v>35</v>
      </c>
      <c r="U471" s="1" t="n">
        <v>145.8</v>
      </c>
      <c r="V471" s="1" t="n">
        <v>200</v>
      </c>
      <c r="W471" s="1" t="n">
        <v>3.3</v>
      </c>
      <c r="X471" s="1" t="n">
        <v>14.2</v>
      </c>
      <c r="Y471" s="1" t="n">
        <v>160</v>
      </c>
      <c r="Z471" s="1" t="n">
        <v>209</v>
      </c>
      <c r="AA471" s="1" t="n">
        <v>151</v>
      </c>
      <c r="AB471" s="7" t="s">
        <v>81</v>
      </c>
      <c r="AC471" s="7" t="s">
        <v>48</v>
      </c>
      <c r="AD471" s="6" t="s">
        <v>43</v>
      </c>
      <c r="AE471" s="6" t="s">
        <v>43</v>
      </c>
      <c r="AF471" s="4" t="n">
        <f aca="false">IF(T471="","",IF(T471&lt;=30,(50/30)*T471,IF(T471&lt;=60,50+((100-50)/(60-30))*(T471-30),IF(T471&lt;=90,100+((200-100)/(90-60))*(T471-60),IF(T471&lt;=120,200+((300-200)/(120-90))*(T471-90),IF(T471&lt;=250,300+((400-300)/(250-120))*(T471-120),IF(T471&lt;=380,400+((500-400)/(380-250))*(T471-250),500)))))))</f>
        <v>58.3333333333333</v>
      </c>
      <c r="AG471" s="4" t="n">
        <f aca="false">IF(U471="","",IF(U471&lt;=50,(50/50)*U471,IF(U471&lt;=100,50+((100-50)/(100-50))*(U471-50),IF(U471&lt;=250,100+((200-100)/(250-100))*(U471-100),IF(U471&lt;=350,200+((300-200)/(350-250))*(U471-250),IF(U471&lt;=430,300+((400-300)/(430-350))*(U471-350),IF(U471&lt;=600,400+((500-400)/(600-430))*(U471-430),500)))))))</f>
        <v>130.533333333333</v>
      </c>
      <c r="AH471" s="4" t="n">
        <f aca="false">IF(V471="","",IF((V471/1000)&lt;=1,(50/1)*(V471/1000),IF((V471/1000)&lt;=2,50+((100-50)/(2-1))*(V471/1000-1),IF((V471/1000)&lt;=10,100+((200-100)/(10-2))*(V471/1000-2),IF((V471/1000)&lt;=17,200+((300-200)/(17-10))*(V471/1000-10),IF((V471/1000)&lt;=34,300+((400-300)/(34-17))*(V471/1000-17),IF((V471/1000)&lt;=57,400+((500-400)/(57-34))*(V471/1000-34),500)))))))</f>
        <v>10</v>
      </c>
      <c r="AI471" s="4" t="n">
        <f aca="false">IF(W471="","",IF(W471&lt;=40,(50/40)*W471,IF(W471&lt;=80,50+((100-50)/(80-40))*(W471-40),IF(W471&lt;=180,100+((200-100)/(180-80))*(W471-80),IF(W471&lt;=280,200+((300-200)/(280-180))*(W471-180),IF(W471&lt;=400,300+((400-300)/(400-280))*(W471-280),IF(W471&lt;=800,400+((500-400)/(800-400))*(W471-400),500)))))))</f>
        <v>4.125</v>
      </c>
      <c r="AJ471" s="4" t="n">
        <f aca="false">IF(X471="","",IF(X471&lt;=40,(50/40)*X471,IF(X471&lt;=80,50+((100-50)/(80-40))*(X471-40),IF(X471&lt;=380,100+((200-100)/(380-80))*(X471-80),IF(X471&lt;=800,200+((300-200)/(800-380))*(X471-380),IF(X471&lt;=1600,300+((400-300)/(1600-800))*(X471-800),IF(X471&lt;=2100,400+((500-400)/(2100-1600))*(X471-1600),500)))))))</f>
        <v>17.75</v>
      </c>
      <c r="AK471" s="4" t="n">
        <f aca="false">IF(Y471="","",IF(Y471&lt;=50,(50/50)*Y471,IF(Y471&lt;=100,50+((100-50)/(100-50))*(Y471-50),IF(Y471&lt;=168,100+((200-100)/(168-100))*(Y471-100),IF(Y471&lt;=208,200+((300-200)/(208-168))*(Y471-168),IF(Y471&lt;=748,300+((400-300)/(748-208))*(Y471-208),IF(Y471&lt;=1000,400+((500-400)/(1000-748))*(Y471-748),500)))))))</f>
        <v>188.235294117647</v>
      </c>
      <c r="AL471" s="4" t="n">
        <f aca="false">ROUND(MAX(AF471,AG471,AH471,AI471,AJ471,AK471),0)</f>
        <v>188</v>
      </c>
      <c r="AM471" s="4" t="str">
        <f aca="false">IF(AL471="","",IF(AL471&lt;=50,"Good",IF(AL471&lt;=100,"Satisfactory",IF(AL471&lt;=200,"Moderate",IF(AL471&lt;=300,"Poor",IF(AL471&lt;=400,"Very Poor","Severe"))))))</f>
        <v>Moderate</v>
      </c>
    </row>
    <row r="472" customFormat="false" ht="15.75" hidden="false" customHeight="false" outlineLevel="0" collapsed="false">
      <c r="A472" s="1" t="s">
        <v>39</v>
      </c>
      <c r="B472" s="1" t="s">
        <v>40</v>
      </c>
      <c r="C472" s="1" t="n">
        <v>28.4595</v>
      </c>
      <c r="D472" s="1" t="n">
        <v>77.0266</v>
      </c>
      <c r="E472" s="5" t="n">
        <v>45920</v>
      </c>
      <c r="F472" s="6" t="s">
        <v>66</v>
      </c>
      <c r="G472" s="1" t="n">
        <v>9</v>
      </c>
      <c r="H472" s="7" t="s">
        <v>86</v>
      </c>
      <c r="I472" s="6" t="s">
        <v>46</v>
      </c>
      <c r="J472" s="7" t="s">
        <v>44</v>
      </c>
      <c r="K472" s="7" t="s">
        <v>65</v>
      </c>
      <c r="L472" s="1" t="n">
        <v>40</v>
      </c>
      <c r="M472" s="1" t="n">
        <v>19.2</v>
      </c>
      <c r="N472" s="1" t="n">
        <v>34.2</v>
      </c>
      <c r="O472" s="1" t="n">
        <v>0</v>
      </c>
      <c r="P472" s="6" t="s">
        <v>43</v>
      </c>
      <c r="Q472" s="6" t="s">
        <v>43</v>
      </c>
      <c r="R472" s="1" t="n">
        <v>1004.2</v>
      </c>
      <c r="S472" s="1" t="n">
        <v>15</v>
      </c>
      <c r="T472" s="1" t="n">
        <v>34</v>
      </c>
      <c r="U472" s="1" t="n">
        <v>149</v>
      </c>
      <c r="V472" s="1" t="n">
        <v>224</v>
      </c>
      <c r="W472" s="1" t="n">
        <v>4.7</v>
      </c>
      <c r="X472" s="1" t="n">
        <v>12.7</v>
      </c>
      <c r="Y472" s="1" t="n">
        <v>153</v>
      </c>
      <c r="Z472" s="1" t="n">
        <v>226</v>
      </c>
      <c r="AA472" s="1" t="n">
        <v>151</v>
      </c>
      <c r="AB472" s="7" t="s">
        <v>81</v>
      </c>
      <c r="AC472" s="7" t="s">
        <v>48</v>
      </c>
      <c r="AD472" s="6" t="s">
        <v>43</v>
      </c>
      <c r="AE472" s="6" t="s">
        <v>43</v>
      </c>
      <c r="AF472" s="4" t="n">
        <f aca="false">IF(T472="","",IF(T472&lt;=30,(50/30)*T472,IF(T472&lt;=60,50+((100-50)/(60-30))*(T472-30),IF(T472&lt;=90,100+((200-100)/(90-60))*(T472-60),IF(T472&lt;=120,200+((300-200)/(120-90))*(T472-90),IF(T472&lt;=250,300+((400-300)/(250-120))*(T472-120),IF(T472&lt;=380,400+((500-400)/(380-250))*(T472-250),500)))))))</f>
        <v>56.6666666666667</v>
      </c>
      <c r="AG472" s="4" t="n">
        <f aca="false">IF(U472="","",IF(U472&lt;=50,(50/50)*U472,IF(U472&lt;=100,50+((100-50)/(100-50))*(U472-50),IF(U472&lt;=250,100+((200-100)/(250-100))*(U472-100),IF(U472&lt;=350,200+((300-200)/(350-250))*(U472-250),IF(U472&lt;=430,300+((400-300)/(430-350))*(U472-350),IF(U472&lt;=600,400+((500-400)/(600-430))*(U472-430),500)))))))</f>
        <v>132.666666666667</v>
      </c>
      <c r="AH472" s="4" t="n">
        <f aca="false">IF(V472="","",IF((V472/1000)&lt;=1,(50/1)*(V472/1000),IF((V472/1000)&lt;=2,50+((100-50)/(2-1))*(V472/1000-1),IF((V472/1000)&lt;=10,100+((200-100)/(10-2))*(V472/1000-2),IF((V472/1000)&lt;=17,200+((300-200)/(17-10))*(V472/1000-10),IF((V472/1000)&lt;=34,300+((400-300)/(34-17))*(V472/1000-17),IF((V472/1000)&lt;=57,400+((500-400)/(57-34))*(V472/1000-34),500)))))))</f>
        <v>11.2</v>
      </c>
      <c r="AI472" s="4" t="n">
        <f aca="false">IF(W472="","",IF(W472&lt;=40,(50/40)*W472,IF(W472&lt;=80,50+((100-50)/(80-40))*(W472-40),IF(W472&lt;=180,100+((200-100)/(180-80))*(W472-80),IF(W472&lt;=280,200+((300-200)/(280-180))*(W472-180),IF(W472&lt;=400,300+((400-300)/(400-280))*(W472-280),IF(W472&lt;=800,400+((500-400)/(800-400))*(W472-400),500)))))))</f>
        <v>5.875</v>
      </c>
      <c r="AJ472" s="4" t="n">
        <f aca="false">IF(X472="","",IF(X472&lt;=40,(50/40)*X472,IF(X472&lt;=80,50+((100-50)/(80-40))*(X472-40),IF(X472&lt;=380,100+((200-100)/(380-80))*(X472-80),IF(X472&lt;=800,200+((300-200)/(800-380))*(X472-380),IF(X472&lt;=1600,300+((400-300)/(1600-800))*(X472-800),IF(X472&lt;=2100,400+((500-400)/(2100-1600))*(X472-1600),500)))))))</f>
        <v>15.875</v>
      </c>
      <c r="AK472" s="4" t="n">
        <f aca="false">IF(Y472="","",IF(Y472&lt;=50,(50/50)*Y472,IF(Y472&lt;=100,50+((100-50)/(100-50))*(Y472-50),IF(Y472&lt;=168,100+((200-100)/(168-100))*(Y472-100),IF(Y472&lt;=208,200+((300-200)/(208-168))*(Y472-168),IF(Y472&lt;=748,300+((400-300)/(748-208))*(Y472-208),IF(Y472&lt;=1000,400+((500-400)/(1000-748))*(Y472-748),500)))))))</f>
        <v>177.941176470588</v>
      </c>
      <c r="AL472" s="4" t="n">
        <f aca="false">ROUND(MAX(AF472,AG472,AH472,AI472,AJ472,AK472),0)</f>
        <v>178</v>
      </c>
      <c r="AM472" s="4" t="str">
        <f aca="false">IF(AL472="","",IF(AL472&lt;=50,"Good",IF(AL472&lt;=100,"Satisfactory",IF(AL472&lt;=200,"Moderate",IF(AL472&lt;=300,"Poor",IF(AL472&lt;=400,"Very Poor","Severe"))))))</f>
        <v>Moderate</v>
      </c>
    </row>
    <row r="473" customFormat="false" ht="15.75" hidden="false" customHeight="false" outlineLevel="0" collapsed="false">
      <c r="A473" s="1" t="s">
        <v>39</v>
      </c>
      <c r="B473" s="1" t="s">
        <v>40</v>
      </c>
      <c r="C473" s="1" t="n">
        <v>28.4595</v>
      </c>
      <c r="D473" s="1" t="n">
        <v>77.0266</v>
      </c>
      <c r="E473" s="5" t="n">
        <v>45920</v>
      </c>
      <c r="F473" s="6" t="s">
        <v>67</v>
      </c>
      <c r="G473" s="1" t="n">
        <v>9</v>
      </c>
      <c r="H473" s="7" t="s">
        <v>86</v>
      </c>
      <c r="I473" s="6" t="s">
        <v>46</v>
      </c>
      <c r="J473" s="7" t="s">
        <v>44</v>
      </c>
      <c r="K473" s="7" t="s">
        <v>65</v>
      </c>
      <c r="L473" s="1" t="n">
        <v>41</v>
      </c>
      <c r="M473" s="1" t="n">
        <v>19.3</v>
      </c>
      <c r="N473" s="1" t="n">
        <v>33.8</v>
      </c>
      <c r="O473" s="1" t="n">
        <v>0</v>
      </c>
      <c r="P473" s="6" t="s">
        <v>43</v>
      </c>
      <c r="Q473" s="6" t="s">
        <v>43</v>
      </c>
      <c r="R473" s="1" t="n">
        <v>1003.2</v>
      </c>
      <c r="S473" s="1" t="n">
        <v>5</v>
      </c>
      <c r="T473" s="1" t="n">
        <v>32.8</v>
      </c>
      <c r="U473" s="1" t="n">
        <v>149.9</v>
      </c>
      <c r="V473" s="1" t="n">
        <v>235</v>
      </c>
      <c r="W473" s="1" t="n">
        <v>7.4</v>
      </c>
      <c r="X473" s="1" t="n">
        <v>11.9</v>
      </c>
      <c r="Y473" s="1" t="n">
        <v>143</v>
      </c>
      <c r="Z473" s="1" t="n">
        <v>237</v>
      </c>
      <c r="AA473" s="1" t="n">
        <v>151</v>
      </c>
      <c r="AB473" s="7" t="s">
        <v>81</v>
      </c>
      <c r="AC473" s="7" t="s">
        <v>48</v>
      </c>
      <c r="AD473" s="6" t="s">
        <v>43</v>
      </c>
      <c r="AE473" s="6" t="s">
        <v>43</v>
      </c>
      <c r="AF473" s="4" t="n">
        <f aca="false">IF(T473="","",IF(T473&lt;=30,(50/30)*T473,IF(T473&lt;=60,50+((100-50)/(60-30))*(T473-30),IF(T473&lt;=90,100+((200-100)/(90-60))*(T473-60),IF(T473&lt;=120,200+((300-200)/(120-90))*(T473-90),IF(T473&lt;=250,300+((400-300)/(250-120))*(T473-120),IF(T473&lt;=380,400+((500-400)/(380-250))*(T473-250),500)))))))</f>
        <v>54.6666666666667</v>
      </c>
      <c r="AG473" s="4" t="n">
        <f aca="false">IF(U473="","",IF(U473&lt;=50,(50/50)*U473,IF(U473&lt;=100,50+((100-50)/(100-50))*(U473-50),IF(U473&lt;=250,100+((200-100)/(250-100))*(U473-100),IF(U473&lt;=350,200+((300-200)/(350-250))*(U473-250),IF(U473&lt;=430,300+((400-300)/(430-350))*(U473-350),IF(U473&lt;=600,400+((500-400)/(600-430))*(U473-430),500)))))))</f>
        <v>133.266666666667</v>
      </c>
      <c r="AH473" s="4" t="n">
        <f aca="false">IF(V473="","",IF((V473/1000)&lt;=1,(50/1)*(V473/1000),IF((V473/1000)&lt;=2,50+((100-50)/(2-1))*(V473/1000-1),IF((V473/1000)&lt;=10,100+((200-100)/(10-2))*(V473/1000-2),IF((V473/1000)&lt;=17,200+((300-200)/(17-10))*(V473/1000-10),IF((V473/1000)&lt;=34,300+((400-300)/(34-17))*(V473/1000-17),IF((V473/1000)&lt;=57,400+((500-400)/(57-34))*(V473/1000-34),500)))))))</f>
        <v>11.75</v>
      </c>
      <c r="AI473" s="4" t="n">
        <f aca="false">IF(W473="","",IF(W473&lt;=40,(50/40)*W473,IF(W473&lt;=80,50+((100-50)/(80-40))*(W473-40),IF(W473&lt;=180,100+((200-100)/(180-80))*(W473-80),IF(W473&lt;=280,200+((300-200)/(280-180))*(W473-180),IF(W473&lt;=400,300+((400-300)/(400-280))*(W473-280),IF(W473&lt;=800,400+((500-400)/(800-400))*(W473-400),500)))))))</f>
        <v>9.25</v>
      </c>
      <c r="AJ473" s="4" t="n">
        <f aca="false">IF(X473="","",IF(X473&lt;=40,(50/40)*X473,IF(X473&lt;=80,50+((100-50)/(80-40))*(X473-40),IF(X473&lt;=380,100+((200-100)/(380-80))*(X473-80),IF(X473&lt;=800,200+((300-200)/(800-380))*(X473-380),IF(X473&lt;=1600,300+((400-300)/(1600-800))*(X473-800),IF(X473&lt;=2100,400+((500-400)/(2100-1600))*(X473-1600),500)))))))</f>
        <v>14.875</v>
      </c>
      <c r="AK473" s="4" t="n">
        <f aca="false">IF(Y473="","",IF(Y473&lt;=50,(50/50)*Y473,IF(Y473&lt;=100,50+((100-50)/(100-50))*(Y473-50),IF(Y473&lt;=168,100+((200-100)/(168-100))*(Y473-100),IF(Y473&lt;=208,200+((300-200)/(208-168))*(Y473-168),IF(Y473&lt;=748,300+((400-300)/(748-208))*(Y473-208),IF(Y473&lt;=1000,400+((500-400)/(1000-748))*(Y473-748),500)))))))</f>
        <v>163.235294117647</v>
      </c>
      <c r="AL473" s="4" t="n">
        <f aca="false">ROUND(MAX(AF473,AG473,AH473,AI473,AJ473,AK473),0)</f>
        <v>163</v>
      </c>
      <c r="AM473" s="4" t="str">
        <f aca="false">IF(AL473="","",IF(AL473&lt;=50,"Good",IF(AL473&lt;=100,"Satisfactory",IF(AL473&lt;=200,"Moderate",IF(AL473&lt;=300,"Poor",IF(AL473&lt;=400,"Very Poor","Severe"))))))</f>
        <v>Moderate</v>
      </c>
    </row>
    <row r="474" customFormat="false" ht="15.75" hidden="false" customHeight="false" outlineLevel="0" collapsed="false">
      <c r="A474" s="1" t="s">
        <v>39</v>
      </c>
      <c r="B474" s="1" t="s">
        <v>40</v>
      </c>
      <c r="C474" s="1" t="n">
        <v>28.4595</v>
      </c>
      <c r="D474" s="1" t="n">
        <v>77.0266</v>
      </c>
      <c r="E474" s="5" t="n">
        <v>45920</v>
      </c>
      <c r="F474" s="6" t="s">
        <v>68</v>
      </c>
      <c r="G474" s="1" t="n">
        <v>9</v>
      </c>
      <c r="H474" s="7" t="s">
        <v>86</v>
      </c>
      <c r="I474" s="6" t="s">
        <v>46</v>
      </c>
      <c r="J474" s="7" t="s">
        <v>44</v>
      </c>
      <c r="K474" s="7" t="s">
        <v>65</v>
      </c>
      <c r="L474" s="1" t="n">
        <v>41</v>
      </c>
      <c r="M474" s="1" t="n">
        <v>19.1</v>
      </c>
      <c r="N474" s="1" t="n">
        <v>34.9</v>
      </c>
      <c r="O474" s="1" t="n">
        <v>0</v>
      </c>
      <c r="P474" s="6" t="s">
        <v>43</v>
      </c>
      <c r="Q474" s="6" t="s">
        <v>43</v>
      </c>
      <c r="R474" s="1" t="n">
        <v>1003</v>
      </c>
      <c r="S474" s="1" t="n">
        <v>1</v>
      </c>
      <c r="T474" s="1" t="n">
        <v>32.6</v>
      </c>
      <c r="U474" s="1" t="n">
        <v>150.4</v>
      </c>
      <c r="V474" s="1" t="n">
        <v>256</v>
      </c>
      <c r="W474" s="1" t="n">
        <v>11.6</v>
      </c>
      <c r="X474" s="1" t="n">
        <v>11.6</v>
      </c>
      <c r="Y474" s="1" t="n">
        <v>130</v>
      </c>
      <c r="Z474" s="1" t="n">
        <v>243</v>
      </c>
      <c r="AA474" s="1" t="n">
        <v>150</v>
      </c>
      <c r="AB474" s="7" t="s">
        <v>81</v>
      </c>
      <c r="AC474" s="7" t="s">
        <v>82</v>
      </c>
      <c r="AD474" s="7" t="s">
        <v>83</v>
      </c>
      <c r="AE474" s="7" t="s">
        <v>84</v>
      </c>
      <c r="AF474" s="4" t="n">
        <f aca="false">IF(T474="","",IF(T474&lt;=30,(50/30)*T474,IF(T474&lt;=60,50+((100-50)/(60-30))*(T474-30),IF(T474&lt;=90,100+((200-100)/(90-60))*(T474-60),IF(T474&lt;=120,200+((300-200)/(120-90))*(T474-90),IF(T474&lt;=250,300+((400-300)/(250-120))*(T474-120),IF(T474&lt;=380,400+((500-400)/(380-250))*(T474-250),500)))))))</f>
        <v>54.3333333333333</v>
      </c>
      <c r="AG474" s="4" t="n">
        <f aca="false">IF(U474="","",IF(U474&lt;=50,(50/50)*U474,IF(U474&lt;=100,50+((100-50)/(100-50))*(U474-50),IF(U474&lt;=250,100+((200-100)/(250-100))*(U474-100),IF(U474&lt;=350,200+((300-200)/(350-250))*(U474-250),IF(U474&lt;=430,300+((400-300)/(430-350))*(U474-350),IF(U474&lt;=600,400+((500-400)/(600-430))*(U474-430),500)))))))</f>
        <v>133.6</v>
      </c>
      <c r="AH474" s="4" t="n">
        <f aca="false">IF(V474="","",IF((V474/1000)&lt;=1,(50/1)*(V474/1000),IF((V474/1000)&lt;=2,50+((100-50)/(2-1))*(V474/1000-1),IF((V474/1000)&lt;=10,100+((200-100)/(10-2))*(V474/1000-2),IF((V474/1000)&lt;=17,200+((300-200)/(17-10))*(V474/1000-10),IF((V474/1000)&lt;=34,300+((400-300)/(34-17))*(V474/1000-17),IF((V474/1000)&lt;=57,400+((500-400)/(57-34))*(V474/1000-34),500)))))))</f>
        <v>12.8</v>
      </c>
      <c r="AI474" s="4" t="n">
        <f aca="false">IF(W474="","",IF(W474&lt;=40,(50/40)*W474,IF(W474&lt;=80,50+((100-50)/(80-40))*(W474-40),IF(W474&lt;=180,100+((200-100)/(180-80))*(W474-80),IF(W474&lt;=280,200+((300-200)/(280-180))*(W474-180),IF(W474&lt;=400,300+((400-300)/(400-280))*(W474-280),IF(W474&lt;=800,400+((500-400)/(800-400))*(W474-400),500)))))))</f>
        <v>14.5</v>
      </c>
      <c r="AJ474" s="4" t="n">
        <f aca="false">IF(X474="","",IF(X474&lt;=40,(50/40)*X474,IF(X474&lt;=80,50+((100-50)/(80-40))*(X474-40),IF(X474&lt;=380,100+((200-100)/(380-80))*(X474-80),IF(X474&lt;=800,200+((300-200)/(800-380))*(X474-380),IF(X474&lt;=1600,300+((400-300)/(1600-800))*(X474-800),IF(X474&lt;=2100,400+((500-400)/(2100-1600))*(X474-1600),500)))))))</f>
        <v>14.5</v>
      </c>
      <c r="AK474" s="4" t="n">
        <f aca="false">IF(Y474="","",IF(Y474&lt;=50,(50/50)*Y474,IF(Y474&lt;=100,50+((100-50)/(100-50))*(Y474-50),IF(Y474&lt;=168,100+((200-100)/(168-100))*(Y474-100),IF(Y474&lt;=208,200+((300-200)/(208-168))*(Y474-168),IF(Y474&lt;=748,300+((400-300)/(748-208))*(Y474-208),IF(Y474&lt;=1000,400+((500-400)/(1000-748))*(Y474-748),500)))))))</f>
        <v>144.117647058824</v>
      </c>
      <c r="AL474" s="4" t="n">
        <f aca="false">ROUND(MAX(AF474,AG474,AH474,AI474,AJ474,AK474),0)</f>
        <v>144</v>
      </c>
      <c r="AM474" s="4" t="str">
        <f aca="false">IF(AL474="","",IF(AL474&lt;=50,"Good",IF(AL474&lt;=100,"Satisfactory",IF(AL474&lt;=200,"Moderate",IF(AL474&lt;=300,"Poor",IF(AL474&lt;=400,"Very Poor","Severe"))))))</f>
        <v>Moderate</v>
      </c>
    </row>
    <row r="475" customFormat="false" ht="15.75" hidden="false" customHeight="false" outlineLevel="0" collapsed="false">
      <c r="A475" s="1" t="s">
        <v>39</v>
      </c>
      <c r="B475" s="1" t="s">
        <v>40</v>
      </c>
      <c r="C475" s="1" t="n">
        <v>28.4595</v>
      </c>
      <c r="D475" s="1" t="n">
        <v>77.0266</v>
      </c>
      <c r="E475" s="5" t="n">
        <v>45920</v>
      </c>
      <c r="F475" s="6" t="s">
        <v>69</v>
      </c>
      <c r="G475" s="1" t="n">
        <v>9</v>
      </c>
      <c r="H475" s="7" t="s">
        <v>86</v>
      </c>
      <c r="I475" s="6" t="s">
        <v>46</v>
      </c>
      <c r="J475" s="7" t="s">
        <v>44</v>
      </c>
      <c r="K475" s="7" t="s">
        <v>65</v>
      </c>
      <c r="L475" s="1" t="n">
        <v>45</v>
      </c>
      <c r="M475" s="1" t="n">
        <v>19.5</v>
      </c>
      <c r="N475" s="1" t="n">
        <v>34.6</v>
      </c>
      <c r="O475" s="1" t="n">
        <v>0</v>
      </c>
      <c r="P475" s="6" t="s">
        <v>43</v>
      </c>
      <c r="Q475" s="6" t="s">
        <v>43</v>
      </c>
      <c r="R475" s="1" t="n">
        <v>1002.5</v>
      </c>
      <c r="S475" s="1" t="n">
        <v>4</v>
      </c>
      <c r="T475" s="1" t="n">
        <v>41.2</v>
      </c>
      <c r="U475" s="1" t="n">
        <v>212.8</v>
      </c>
      <c r="V475" s="1" t="n">
        <v>316</v>
      </c>
      <c r="W475" s="1" t="n">
        <v>17.2</v>
      </c>
      <c r="X475" s="1" t="n">
        <v>13.8</v>
      </c>
      <c r="Y475" s="1" t="n">
        <v>112</v>
      </c>
      <c r="Z475" s="1" t="n">
        <v>336</v>
      </c>
      <c r="AA475" s="1" t="n">
        <v>150</v>
      </c>
      <c r="AB475" s="7" t="s">
        <v>81</v>
      </c>
      <c r="AC475" s="7" t="s">
        <v>82</v>
      </c>
      <c r="AD475" s="7" t="s">
        <v>83</v>
      </c>
      <c r="AE475" s="7" t="s">
        <v>84</v>
      </c>
      <c r="AF475" s="4" t="n">
        <f aca="false">IF(T475="","",IF(T475&lt;=30,(50/30)*T475,IF(T475&lt;=60,50+((100-50)/(60-30))*(T475-30),IF(T475&lt;=90,100+((200-100)/(90-60))*(T475-60),IF(T475&lt;=120,200+((300-200)/(120-90))*(T475-90),IF(T475&lt;=250,300+((400-300)/(250-120))*(T475-120),IF(T475&lt;=380,400+((500-400)/(380-250))*(T475-250),500)))))))</f>
        <v>68.6666666666667</v>
      </c>
      <c r="AG475" s="4" t="n">
        <f aca="false">IF(U475="","",IF(U475&lt;=50,(50/50)*U475,IF(U475&lt;=100,50+((100-50)/(100-50))*(U475-50),IF(U475&lt;=250,100+((200-100)/(250-100))*(U475-100),IF(U475&lt;=350,200+((300-200)/(350-250))*(U475-250),IF(U475&lt;=430,300+((400-300)/(430-350))*(U475-350),IF(U475&lt;=600,400+((500-400)/(600-430))*(U475-430),500)))))))</f>
        <v>175.2</v>
      </c>
      <c r="AH475" s="4" t="n">
        <f aca="false">IF(V475="","",IF((V475/1000)&lt;=1,(50/1)*(V475/1000),IF((V475/1000)&lt;=2,50+((100-50)/(2-1))*(V475/1000-1),IF((V475/1000)&lt;=10,100+((200-100)/(10-2))*(V475/1000-2),IF((V475/1000)&lt;=17,200+((300-200)/(17-10))*(V475/1000-10),IF((V475/1000)&lt;=34,300+((400-300)/(34-17))*(V475/1000-17),IF((V475/1000)&lt;=57,400+((500-400)/(57-34))*(V475/1000-34),500)))))))</f>
        <v>15.8</v>
      </c>
      <c r="AI475" s="4" t="n">
        <f aca="false">IF(W475="","",IF(W475&lt;=40,(50/40)*W475,IF(W475&lt;=80,50+((100-50)/(80-40))*(W475-40),IF(W475&lt;=180,100+((200-100)/(180-80))*(W475-80),IF(W475&lt;=280,200+((300-200)/(280-180))*(W475-180),IF(W475&lt;=400,300+((400-300)/(400-280))*(W475-280),IF(W475&lt;=800,400+((500-400)/(800-400))*(W475-400),500)))))))</f>
        <v>21.5</v>
      </c>
      <c r="AJ475" s="4" t="n">
        <f aca="false">IF(X475="","",IF(X475&lt;=40,(50/40)*X475,IF(X475&lt;=80,50+((100-50)/(80-40))*(X475-40),IF(X475&lt;=380,100+((200-100)/(380-80))*(X475-80),IF(X475&lt;=800,200+((300-200)/(800-380))*(X475-380),IF(X475&lt;=1600,300+((400-300)/(1600-800))*(X475-800),IF(X475&lt;=2100,400+((500-400)/(2100-1600))*(X475-1600),500)))))))</f>
        <v>17.25</v>
      </c>
      <c r="AK475" s="4" t="n">
        <f aca="false">IF(Y475="","",IF(Y475&lt;=50,(50/50)*Y475,IF(Y475&lt;=100,50+((100-50)/(100-50))*(Y475-50),IF(Y475&lt;=168,100+((200-100)/(168-100))*(Y475-100),IF(Y475&lt;=208,200+((300-200)/(208-168))*(Y475-168),IF(Y475&lt;=748,300+((400-300)/(748-208))*(Y475-208),IF(Y475&lt;=1000,400+((500-400)/(1000-748))*(Y475-748),500)))))))</f>
        <v>117.647058823529</v>
      </c>
      <c r="AL475" s="4" t="n">
        <f aca="false">ROUND(MAX(AF475,AG475,AH475,AI475,AJ475,AK475),0)</f>
        <v>175</v>
      </c>
      <c r="AM475" s="4" t="str">
        <f aca="false">IF(AL475="","",IF(AL475&lt;=50,"Good",IF(AL475&lt;=100,"Satisfactory",IF(AL475&lt;=200,"Moderate",IF(AL475&lt;=300,"Poor",IF(AL475&lt;=400,"Very Poor","Severe"))))))</f>
        <v>Moderate</v>
      </c>
    </row>
    <row r="476" customFormat="false" ht="15.75" hidden="false" customHeight="false" outlineLevel="0" collapsed="false">
      <c r="A476" s="1" t="s">
        <v>39</v>
      </c>
      <c r="B476" s="1" t="s">
        <v>40</v>
      </c>
      <c r="C476" s="1" t="n">
        <v>28.4595</v>
      </c>
      <c r="D476" s="1" t="n">
        <v>77.0266</v>
      </c>
      <c r="E476" s="5" t="n">
        <v>45920</v>
      </c>
      <c r="F476" s="6" t="s">
        <v>70</v>
      </c>
      <c r="G476" s="1" t="n">
        <v>9</v>
      </c>
      <c r="H476" s="7" t="s">
        <v>86</v>
      </c>
      <c r="I476" s="6" t="s">
        <v>46</v>
      </c>
      <c r="J476" s="7" t="s">
        <v>44</v>
      </c>
      <c r="K476" s="7" t="s">
        <v>71</v>
      </c>
      <c r="L476" s="1" t="n">
        <v>55</v>
      </c>
      <c r="M476" s="1" t="n">
        <v>20.9</v>
      </c>
      <c r="N476" s="1" t="n">
        <v>24.8</v>
      </c>
      <c r="O476" s="1" t="n">
        <v>0</v>
      </c>
      <c r="P476" s="6" t="s">
        <v>43</v>
      </c>
      <c r="Q476" s="6" t="s">
        <v>43</v>
      </c>
      <c r="R476" s="1" t="n">
        <v>1003.5</v>
      </c>
      <c r="S476" s="1" t="n">
        <v>0</v>
      </c>
      <c r="T476" s="1" t="n">
        <v>44.2</v>
      </c>
      <c r="U476" s="1" t="n">
        <v>202.1</v>
      </c>
      <c r="V476" s="1" t="n">
        <v>453</v>
      </c>
      <c r="W476" s="1" t="n">
        <v>23.3</v>
      </c>
      <c r="X476" s="1" t="n">
        <v>16.2</v>
      </c>
      <c r="Y476" s="1" t="n">
        <v>97</v>
      </c>
      <c r="Z476" s="1" t="n">
        <v>316</v>
      </c>
      <c r="AA476" s="1" t="n">
        <v>148</v>
      </c>
      <c r="AB476" s="7" t="s">
        <v>81</v>
      </c>
      <c r="AC476" s="7" t="s">
        <v>82</v>
      </c>
      <c r="AD476" s="7" t="s">
        <v>83</v>
      </c>
      <c r="AE476" s="7" t="s">
        <v>84</v>
      </c>
      <c r="AF476" s="4" t="n">
        <f aca="false">IF(T476="","",IF(T476&lt;=30,(50/30)*T476,IF(T476&lt;=60,50+((100-50)/(60-30))*(T476-30),IF(T476&lt;=90,100+((200-100)/(90-60))*(T476-60),IF(T476&lt;=120,200+((300-200)/(120-90))*(T476-90),IF(T476&lt;=250,300+((400-300)/(250-120))*(T476-120),IF(T476&lt;=380,400+((500-400)/(380-250))*(T476-250),500)))))))</f>
        <v>73.6666666666667</v>
      </c>
      <c r="AG476" s="4" t="n">
        <f aca="false">IF(U476="","",IF(U476&lt;=50,(50/50)*U476,IF(U476&lt;=100,50+((100-50)/(100-50))*(U476-50),IF(U476&lt;=250,100+((200-100)/(250-100))*(U476-100),IF(U476&lt;=350,200+((300-200)/(350-250))*(U476-250),IF(U476&lt;=430,300+((400-300)/(430-350))*(U476-350),IF(U476&lt;=600,400+((500-400)/(600-430))*(U476-430),500)))))))</f>
        <v>168.066666666667</v>
      </c>
      <c r="AH476" s="4" t="n">
        <f aca="false">IF(V476="","",IF((V476/1000)&lt;=1,(50/1)*(V476/1000),IF((V476/1000)&lt;=2,50+((100-50)/(2-1))*(V476/1000-1),IF((V476/1000)&lt;=10,100+((200-100)/(10-2))*(V476/1000-2),IF((V476/1000)&lt;=17,200+((300-200)/(17-10))*(V476/1000-10),IF((V476/1000)&lt;=34,300+((400-300)/(34-17))*(V476/1000-17),IF((V476/1000)&lt;=57,400+((500-400)/(57-34))*(V476/1000-34),500)))))))</f>
        <v>22.65</v>
      </c>
      <c r="AI476" s="4" t="n">
        <f aca="false">IF(W476="","",IF(W476&lt;=40,(50/40)*W476,IF(W476&lt;=80,50+((100-50)/(80-40))*(W476-40),IF(W476&lt;=180,100+((200-100)/(180-80))*(W476-80),IF(W476&lt;=280,200+((300-200)/(280-180))*(W476-180),IF(W476&lt;=400,300+((400-300)/(400-280))*(W476-280),IF(W476&lt;=800,400+((500-400)/(800-400))*(W476-400),500)))))))</f>
        <v>29.125</v>
      </c>
      <c r="AJ476" s="4" t="n">
        <f aca="false">IF(X476="","",IF(X476&lt;=40,(50/40)*X476,IF(X476&lt;=80,50+((100-50)/(80-40))*(X476-40),IF(X476&lt;=380,100+((200-100)/(380-80))*(X476-80),IF(X476&lt;=800,200+((300-200)/(800-380))*(X476-380),IF(X476&lt;=1600,300+((400-300)/(1600-800))*(X476-800),IF(X476&lt;=2100,400+((500-400)/(2100-1600))*(X476-1600),500)))))))</f>
        <v>20.25</v>
      </c>
      <c r="AK476" s="4" t="n">
        <f aca="false">IF(Y476="","",IF(Y476&lt;=50,(50/50)*Y476,IF(Y476&lt;=100,50+((100-50)/(100-50))*(Y476-50),IF(Y476&lt;=168,100+((200-100)/(168-100))*(Y476-100),IF(Y476&lt;=208,200+((300-200)/(208-168))*(Y476-168),IF(Y476&lt;=748,300+((400-300)/(748-208))*(Y476-208),IF(Y476&lt;=1000,400+((500-400)/(1000-748))*(Y476-748),500)))))))</f>
        <v>97</v>
      </c>
      <c r="AL476" s="4" t="n">
        <f aca="false">ROUND(MAX(AF476,AG476,AH476,AI476,AJ476,AK476),0)</f>
        <v>168</v>
      </c>
      <c r="AM476" s="4" t="str">
        <f aca="false">IF(AL476="","",IF(AL476&lt;=50,"Good",IF(AL476&lt;=100,"Satisfactory",IF(AL476&lt;=200,"Moderate",IF(AL476&lt;=300,"Poor",IF(AL476&lt;=400,"Very Poor","Severe"))))))</f>
        <v>Moderate</v>
      </c>
    </row>
    <row r="477" customFormat="false" ht="15.75" hidden="false" customHeight="false" outlineLevel="0" collapsed="false">
      <c r="A477" s="1" t="s">
        <v>39</v>
      </c>
      <c r="B477" s="1" t="s">
        <v>40</v>
      </c>
      <c r="C477" s="1" t="n">
        <v>28.4595</v>
      </c>
      <c r="D477" s="1" t="n">
        <v>77.0266</v>
      </c>
      <c r="E477" s="5" t="n">
        <v>45920</v>
      </c>
      <c r="F477" s="6" t="s">
        <v>72</v>
      </c>
      <c r="G477" s="1" t="n">
        <v>9</v>
      </c>
      <c r="H477" s="7" t="s">
        <v>86</v>
      </c>
      <c r="I477" s="6" t="s">
        <v>46</v>
      </c>
      <c r="J477" s="7" t="s">
        <v>44</v>
      </c>
      <c r="K477" s="7" t="s">
        <v>71</v>
      </c>
      <c r="L477" s="1" t="n">
        <v>59</v>
      </c>
      <c r="M477" s="1" t="n">
        <v>21</v>
      </c>
      <c r="N477" s="1" t="n">
        <v>17.3</v>
      </c>
      <c r="O477" s="1" t="n">
        <v>0</v>
      </c>
      <c r="P477" s="6" t="s">
        <v>43</v>
      </c>
      <c r="Q477" s="6" t="s">
        <v>43</v>
      </c>
      <c r="R477" s="1" t="n">
        <v>1003.9</v>
      </c>
      <c r="S477" s="1" t="n">
        <v>0</v>
      </c>
      <c r="T477" s="1" t="n">
        <v>47.5</v>
      </c>
      <c r="U477" s="1" t="n">
        <v>191.9</v>
      </c>
      <c r="V477" s="1" t="n">
        <v>627</v>
      </c>
      <c r="W477" s="1" t="n">
        <v>32</v>
      </c>
      <c r="X477" s="1" t="n">
        <v>19.5</v>
      </c>
      <c r="Y477" s="1" t="n">
        <v>76</v>
      </c>
      <c r="Z477" s="1" t="n">
        <v>287</v>
      </c>
      <c r="AA477" s="1" t="n">
        <v>148</v>
      </c>
      <c r="AB477" s="7" t="s">
        <v>81</v>
      </c>
      <c r="AC477" s="7" t="s">
        <v>82</v>
      </c>
      <c r="AD477" s="7" t="s">
        <v>83</v>
      </c>
      <c r="AE477" s="7" t="s">
        <v>84</v>
      </c>
      <c r="AF477" s="4" t="n">
        <f aca="false">IF(T477="","",IF(T477&lt;=30,(50/30)*T477,IF(T477&lt;=60,50+((100-50)/(60-30))*(T477-30),IF(T477&lt;=90,100+((200-100)/(90-60))*(T477-60),IF(T477&lt;=120,200+((300-200)/(120-90))*(T477-90),IF(T477&lt;=250,300+((400-300)/(250-120))*(T477-120),IF(T477&lt;=380,400+((500-400)/(380-250))*(T477-250),500)))))))</f>
        <v>79.1666666666667</v>
      </c>
      <c r="AG477" s="4" t="n">
        <f aca="false">IF(U477="","",IF(U477&lt;=50,(50/50)*U477,IF(U477&lt;=100,50+((100-50)/(100-50))*(U477-50),IF(U477&lt;=250,100+((200-100)/(250-100))*(U477-100),IF(U477&lt;=350,200+((300-200)/(350-250))*(U477-250),IF(U477&lt;=430,300+((400-300)/(430-350))*(U477-350),IF(U477&lt;=600,400+((500-400)/(600-430))*(U477-430),500)))))))</f>
        <v>161.266666666667</v>
      </c>
      <c r="AH477" s="4" t="n">
        <f aca="false">IF(V477="","",IF((V477/1000)&lt;=1,(50/1)*(V477/1000),IF((V477/1000)&lt;=2,50+((100-50)/(2-1))*(V477/1000-1),IF((V477/1000)&lt;=10,100+((200-100)/(10-2))*(V477/1000-2),IF((V477/1000)&lt;=17,200+((300-200)/(17-10))*(V477/1000-10),IF((V477/1000)&lt;=34,300+((400-300)/(34-17))*(V477/1000-17),IF((V477/1000)&lt;=57,400+((500-400)/(57-34))*(V477/1000-34),500)))))))</f>
        <v>31.35</v>
      </c>
      <c r="AI477" s="4" t="n">
        <f aca="false">IF(W477="","",IF(W477&lt;=40,(50/40)*W477,IF(W477&lt;=80,50+((100-50)/(80-40))*(W477-40),IF(W477&lt;=180,100+((200-100)/(180-80))*(W477-80),IF(W477&lt;=280,200+((300-200)/(280-180))*(W477-180),IF(W477&lt;=400,300+((400-300)/(400-280))*(W477-280),IF(W477&lt;=800,400+((500-400)/(800-400))*(W477-400),500)))))))</f>
        <v>40</v>
      </c>
      <c r="AJ477" s="4" t="n">
        <f aca="false">IF(X477="","",IF(X477&lt;=40,(50/40)*X477,IF(X477&lt;=80,50+((100-50)/(80-40))*(X477-40),IF(X477&lt;=380,100+((200-100)/(380-80))*(X477-80),IF(X477&lt;=800,200+((300-200)/(800-380))*(X477-380),IF(X477&lt;=1600,300+((400-300)/(1600-800))*(X477-800),IF(X477&lt;=2100,400+((500-400)/(2100-1600))*(X477-1600),500)))))))</f>
        <v>24.375</v>
      </c>
      <c r="AK477" s="4" t="n">
        <f aca="false">IF(Y477="","",IF(Y477&lt;=50,(50/50)*Y477,IF(Y477&lt;=100,50+((100-50)/(100-50))*(Y477-50),IF(Y477&lt;=168,100+((200-100)/(168-100))*(Y477-100),IF(Y477&lt;=208,200+((300-200)/(208-168))*(Y477-168),IF(Y477&lt;=748,300+((400-300)/(748-208))*(Y477-208),IF(Y477&lt;=1000,400+((500-400)/(1000-748))*(Y477-748),500)))))))</f>
        <v>76</v>
      </c>
      <c r="AL477" s="4" t="n">
        <f aca="false">ROUND(MAX(AF477,AG477,AH477,AI477,AJ477,AK477),0)</f>
        <v>161</v>
      </c>
      <c r="AM477" s="4" t="str">
        <f aca="false">IF(AL477="","",IF(AL477&lt;=50,"Good",IF(AL477&lt;=100,"Satisfactory",IF(AL477&lt;=200,"Moderate",IF(AL477&lt;=300,"Poor",IF(AL477&lt;=400,"Very Poor","Severe"))))))</f>
        <v>Moderate</v>
      </c>
    </row>
    <row r="478" customFormat="false" ht="15.75" hidden="false" customHeight="false" outlineLevel="0" collapsed="false">
      <c r="A478" s="1" t="s">
        <v>39</v>
      </c>
      <c r="B478" s="1" t="s">
        <v>40</v>
      </c>
      <c r="C478" s="1" t="n">
        <v>28.4595</v>
      </c>
      <c r="D478" s="1" t="n">
        <v>77.0266</v>
      </c>
      <c r="E478" s="5" t="n">
        <v>45920</v>
      </c>
      <c r="F478" s="6" t="s">
        <v>73</v>
      </c>
      <c r="G478" s="1" t="n">
        <v>9</v>
      </c>
      <c r="H478" s="7" t="s">
        <v>86</v>
      </c>
      <c r="I478" s="6" t="s">
        <v>46</v>
      </c>
      <c r="J478" s="7" t="s">
        <v>44</v>
      </c>
      <c r="K478" s="7" t="s">
        <v>71</v>
      </c>
      <c r="L478" s="1" t="n">
        <v>61</v>
      </c>
      <c r="M478" s="1" t="n">
        <v>20.7</v>
      </c>
      <c r="N478" s="1" t="n">
        <v>14.4</v>
      </c>
      <c r="O478" s="1" t="n">
        <v>0</v>
      </c>
      <c r="P478" s="6" t="s">
        <v>43</v>
      </c>
      <c r="Q478" s="6" t="s">
        <v>43</v>
      </c>
      <c r="R478" s="1" t="n">
        <v>1004.4</v>
      </c>
      <c r="S478" s="1" t="n">
        <v>0</v>
      </c>
      <c r="T478" s="1" t="n">
        <v>49.9</v>
      </c>
      <c r="U478" s="1" t="n">
        <v>184.4</v>
      </c>
      <c r="V478" s="1" t="n">
        <v>752</v>
      </c>
      <c r="W478" s="1" t="n">
        <v>39.5</v>
      </c>
      <c r="X478" s="1" t="n">
        <v>22.1</v>
      </c>
      <c r="Y478" s="1" t="n">
        <v>58</v>
      </c>
      <c r="Z478" s="1" t="n">
        <v>260</v>
      </c>
      <c r="AA478" s="1" t="n">
        <v>147</v>
      </c>
      <c r="AB478" s="7" t="s">
        <v>81</v>
      </c>
      <c r="AC478" s="7" t="s">
        <v>82</v>
      </c>
      <c r="AD478" s="7" t="s">
        <v>83</v>
      </c>
      <c r="AE478" s="7" t="s">
        <v>84</v>
      </c>
      <c r="AF478" s="4" t="n">
        <f aca="false">IF(T478="","",IF(T478&lt;=30,(50/30)*T478,IF(T478&lt;=60,50+((100-50)/(60-30))*(T478-30),IF(T478&lt;=90,100+((200-100)/(90-60))*(T478-60),IF(T478&lt;=120,200+((300-200)/(120-90))*(T478-90),IF(T478&lt;=250,300+((400-300)/(250-120))*(T478-120),IF(T478&lt;=380,400+((500-400)/(380-250))*(T478-250),500)))))))</f>
        <v>83.1666666666667</v>
      </c>
      <c r="AG478" s="4" t="n">
        <f aca="false">IF(U478="","",IF(U478&lt;=50,(50/50)*U478,IF(U478&lt;=100,50+((100-50)/(100-50))*(U478-50),IF(U478&lt;=250,100+((200-100)/(250-100))*(U478-100),IF(U478&lt;=350,200+((300-200)/(350-250))*(U478-250),IF(U478&lt;=430,300+((400-300)/(430-350))*(U478-350),IF(U478&lt;=600,400+((500-400)/(600-430))*(U478-430),500)))))))</f>
        <v>156.266666666667</v>
      </c>
      <c r="AH478" s="4" t="n">
        <f aca="false">IF(V478="","",IF((V478/1000)&lt;=1,(50/1)*(V478/1000),IF((V478/1000)&lt;=2,50+((100-50)/(2-1))*(V478/1000-1),IF((V478/1000)&lt;=10,100+((200-100)/(10-2))*(V478/1000-2),IF((V478/1000)&lt;=17,200+((300-200)/(17-10))*(V478/1000-10),IF((V478/1000)&lt;=34,300+((400-300)/(34-17))*(V478/1000-17),IF((V478/1000)&lt;=57,400+((500-400)/(57-34))*(V478/1000-34),500)))))))</f>
        <v>37.6</v>
      </c>
      <c r="AI478" s="4" t="n">
        <f aca="false">IF(W478="","",IF(W478&lt;=40,(50/40)*W478,IF(W478&lt;=80,50+((100-50)/(80-40))*(W478-40),IF(W478&lt;=180,100+((200-100)/(180-80))*(W478-80),IF(W478&lt;=280,200+((300-200)/(280-180))*(W478-180),IF(W478&lt;=400,300+((400-300)/(400-280))*(W478-280),IF(W478&lt;=800,400+((500-400)/(800-400))*(W478-400),500)))))))</f>
        <v>49.375</v>
      </c>
      <c r="AJ478" s="4" t="n">
        <f aca="false">IF(X478="","",IF(X478&lt;=40,(50/40)*X478,IF(X478&lt;=80,50+((100-50)/(80-40))*(X478-40),IF(X478&lt;=380,100+((200-100)/(380-80))*(X478-80),IF(X478&lt;=800,200+((300-200)/(800-380))*(X478-380),IF(X478&lt;=1600,300+((400-300)/(1600-800))*(X478-800),IF(X478&lt;=2100,400+((500-400)/(2100-1600))*(X478-1600),500)))))))</f>
        <v>27.625</v>
      </c>
      <c r="AK478" s="4" t="n">
        <f aca="false">IF(Y478="","",IF(Y478&lt;=50,(50/50)*Y478,IF(Y478&lt;=100,50+((100-50)/(100-50))*(Y478-50),IF(Y478&lt;=168,100+((200-100)/(168-100))*(Y478-100),IF(Y478&lt;=208,200+((300-200)/(208-168))*(Y478-168),IF(Y478&lt;=748,300+((400-300)/(748-208))*(Y478-208),IF(Y478&lt;=1000,400+((500-400)/(1000-748))*(Y478-748),500)))))))</f>
        <v>58</v>
      </c>
      <c r="AL478" s="4" t="n">
        <f aca="false">ROUND(MAX(AF478,AG478,AH478,AI478,AJ478,AK478),0)</f>
        <v>156</v>
      </c>
      <c r="AM478" s="4" t="str">
        <f aca="false">IF(AL478="","",IF(AL478&lt;=50,"Good",IF(AL478&lt;=100,"Satisfactory",IF(AL478&lt;=200,"Moderate",IF(AL478&lt;=300,"Poor",IF(AL478&lt;=400,"Very Poor","Severe"))))))</f>
        <v>Moderate</v>
      </c>
    </row>
    <row r="479" customFormat="false" ht="15.75" hidden="false" customHeight="false" outlineLevel="0" collapsed="false">
      <c r="A479" s="1" t="s">
        <v>39</v>
      </c>
      <c r="B479" s="1" t="s">
        <v>40</v>
      </c>
      <c r="C479" s="1" t="n">
        <v>28.4595</v>
      </c>
      <c r="D479" s="1" t="n">
        <v>77.0266</v>
      </c>
      <c r="E479" s="5" t="n">
        <v>45920</v>
      </c>
      <c r="F479" s="6" t="s">
        <v>74</v>
      </c>
      <c r="G479" s="1" t="n">
        <v>9</v>
      </c>
      <c r="H479" s="7" t="s">
        <v>86</v>
      </c>
      <c r="I479" s="6" t="s">
        <v>46</v>
      </c>
      <c r="J479" s="7" t="s">
        <v>44</v>
      </c>
      <c r="K479" s="7" t="s">
        <v>75</v>
      </c>
      <c r="L479" s="1" t="n">
        <v>65</v>
      </c>
      <c r="M479" s="1" t="n">
        <v>20.8</v>
      </c>
      <c r="N479" s="1" t="n">
        <v>14</v>
      </c>
      <c r="O479" s="1" t="n">
        <v>0</v>
      </c>
      <c r="P479" s="6" t="s">
        <v>43</v>
      </c>
      <c r="Q479" s="6" t="s">
        <v>43</v>
      </c>
      <c r="R479" s="1" t="n">
        <v>1005</v>
      </c>
      <c r="S479" s="1" t="n">
        <v>0</v>
      </c>
      <c r="T479" s="1" t="n">
        <v>51.9</v>
      </c>
      <c r="U479" s="1" t="n">
        <v>173.2</v>
      </c>
      <c r="V479" s="1" t="n">
        <v>792</v>
      </c>
      <c r="W479" s="1" t="n">
        <v>45</v>
      </c>
      <c r="X479" s="1" t="n">
        <v>23.7</v>
      </c>
      <c r="Y479" s="1" t="n">
        <v>47</v>
      </c>
      <c r="Z479" s="1" t="n">
        <v>237</v>
      </c>
      <c r="AA479" s="1" t="n">
        <v>146</v>
      </c>
      <c r="AB479" s="7" t="s">
        <v>81</v>
      </c>
      <c r="AC479" s="7" t="s">
        <v>82</v>
      </c>
      <c r="AD479" s="7" t="s">
        <v>83</v>
      </c>
      <c r="AE479" s="7" t="s">
        <v>84</v>
      </c>
      <c r="AF479" s="4" t="n">
        <f aca="false">IF(T479="","",IF(T479&lt;=30,(50/30)*T479,IF(T479&lt;=60,50+((100-50)/(60-30))*(T479-30),IF(T479&lt;=90,100+((200-100)/(90-60))*(T479-60),IF(T479&lt;=120,200+((300-200)/(120-90))*(T479-90),IF(T479&lt;=250,300+((400-300)/(250-120))*(T479-120),IF(T479&lt;=380,400+((500-400)/(380-250))*(T479-250),500)))))))</f>
        <v>86.5</v>
      </c>
      <c r="AG479" s="4" t="n">
        <f aca="false">IF(U479="","",IF(U479&lt;=50,(50/50)*U479,IF(U479&lt;=100,50+((100-50)/(100-50))*(U479-50),IF(U479&lt;=250,100+((200-100)/(250-100))*(U479-100),IF(U479&lt;=350,200+((300-200)/(350-250))*(U479-250),IF(U479&lt;=430,300+((400-300)/(430-350))*(U479-350),IF(U479&lt;=600,400+((500-400)/(600-430))*(U479-430),500)))))))</f>
        <v>148.8</v>
      </c>
      <c r="AH479" s="4" t="n">
        <f aca="false">IF(V479="","",IF((V479/1000)&lt;=1,(50/1)*(V479/1000),IF((V479/1000)&lt;=2,50+((100-50)/(2-1))*(V479/1000-1),IF((V479/1000)&lt;=10,100+((200-100)/(10-2))*(V479/1000-2),IF((V479/1000)&lt;=17,200+((300-200)/(17-10))*(V479/1000-10),IF((V479/1000)&lt;=34,300+((400-300)/(34-17))*(V479/1000-17),IF((V479/1000)&lt;=57,400+((500-400)/(57-34))*(V479/1000-34),500)))))))</f>
        <v>39.6</v>
      </c>
      <c r="AI479" s="4" t="n">
        <f aca="false">IF(W479="","",IF(W479&lt;=40,(50/40)*W479,IF(W479&lt;=80,50+((100-50)/(80-40))*(W479-40),IF(W479&lt;=180,100+((200-100)/(180-80))*(W479-80),IF(W479&lt;=280,200+((300-200)/(280-180))*(W479-180),IF(W479&lt;=400,300+((400-300)/(400-280))*(W479-280),IF(W479&lt;=800,400+((500-400)/(800-400))*(W479-400),500)))))))</f>
        <v>56.25</v>
      </c>
      <c r="AJ479" s="4" t="n">
        <f aca="false">IF(X479="","",IF(X479&lt;=40,(50/40)*X479,IF(X479&lt;=80,50+((100-50)/(80-40))*(X479-40),IF(X479&lt;=380,100+((200-100)/(380-80))*(X479-80),IF(X479&lt;=800,200+((300-200)/(800-380))*(X479-380),IF(X479&lt;=1600,300+((400-300)/(1600-800))*(X479-800),IF(X479&lt;=2100,400+((500-400)/(2100-1600))*(X479-1600),500)))))))</f>
        <v>29.625</v>
      </c>
      <c r="AK479" s="4" t="n">
        <f aca="false">IF(Y479="","",IF(Y479&lt;=50,(50/50)*Y479,IF(Y479&lt;=100,50+((100-50)/(100-50))*(Y479-50),IF(Y479&lt;=168,100+((200-100)/(168-100))*(Y479-100),IF(Y479&lt;=208,200+((300-200)/(208-168))*(Y479-168),IF(Y479&lt;=748,300+((400-300)/(748-208))*(Y479-208),IF(Y479&lt;=1000,400+((500-400)/(1000-748))*(Y479-748),500)))))))</f>
        <v>47</v>
      </c>
      <c r="AL479" s="4" t="n">
        <f aca="false">ROUND(MAX(AF479,AG479,AH479,AI479,AJ479,AK479),0)</f>
        <v>149</v>
      </c>
      <c r="AM479" s="4" t="str">
        <f aca="false">IF(AL479="","",IF(AL479&lt;=50,"Good",IF(AL479&lt;=100,"Satisfactory",IF(AL479&lt;=200,"Moderate",IF(AL479&lt;=300,"Poor",IF(AL479&lt;=400,"Very Poor","Severe"))))))</f>
        <v>Moderate</v>
      </c>
    </row>
    <row r="480" customFormat="false" ht="15.75" hidden="false" customHeight="false" outlineLevel="0" collapsed="false">
      <c r="A480" s="1" t="s">
        <v>39</v>
      </c>
      <c r="B480" s="1" t="s">
        <v>40</v>
      </c>
      <c r="C480" s="1" t="n">
        <v>28.4595</v>
      </c>
      <c r="D480" s="1" t="n">
        <v>77.0266</v>
      </c>
      <c r="E480" s="5" t="n">
        <v>45920</v>
      </c>
      <c r="F480" s="6" t="s">
        <v>76</v>
      </c>
      <c r="G480" s="1" t="n">
        <v>9</v>
      </c>
      <c r="H480" s="7" t="s">
        <v>86</v>
      </c>
      <c r="I480" s="6" t="s">
        <v>46</v>
      </c>
      <c r="J480" s="7" t="s">
        <v>44</v>
      </c>
      <c r="K480" s="7" t="s">
        <v>75</v>
      </c>
      <c r="L480" s="1" t="n">
        <v>69</v>
      </c>
      <c r="M480" s="1" t="n">
        <v>21</v>
      </c>
      <c r="N480" s="1" t="n">
        <v>11.2</v>
      </c>
      <c r="O480" s="1" t="n">
        <v>0</v>
      </c>
      <c r="P480" s="6" t="s">
        <v>43</v>
      </c>
      <c r="Q480" s="6" t="s">
        <v>43</v>
      </c>
      <c r="R480" s="1" t="n">
        <v>1005.2</v>
      </c>
      <c r="S480" s="1" t="n">
        <v>0</v>
      </c>
      <c r="T480" s="1" t="n">
        <v>54.8</v>
      </c>
      <c r="U480" s="1" t="n">
        <v>165.8</v>
      </c>
      <c r="V480" s="1" t="n">
        <v>781</v>
      </c>
      <c r="W480" s="1" t="n">
        <v>49.4</v>
      </c>
      <c r="X480" s="1" t="n">
        <v>24.7</v>
      </c>
      <c r="Y480" s="1" t="n">
        <v>39</v>
      </c>
      <c r="Z480" s="1" t="n">
        <v>216</v>
      </c>
      <c r="AA480" s="1" t="n">
        <v>145</v>
      </c>
      <c r="AB480" s="7" t="s">
        <v>81</v>
      </c>
      <c r="AC480" s="7" t="s">
        <v>82</v>
      </c>
      <c r="AD480" s="7" t="s">
        <v>83</v>
      </c>
      <c r="AE480" s="7" t="s">
        <v>84</v>
      </c>
      <c r="AF480" s="4" t="n">
        <f aca="false">IF(T480="","",IF(T480&lt;=30,(50/30)*T480,IF(T480&lt;=60,50+((100-50)/(60-30))*(T480-30),IF(T480&lt;=90,100+((200-100)/(90-60))*(T480-60),IF(T480&lt;=120,200+((300-200)/(120-90))*(T480-90),IF(T480&lt;=250,300+((400-300)/(250-120))*(T480-120),IF(T480&lt;=380,400+((500-400)/(380-250))*(T480-250),500)))))))</f>
        <v>91.3333333333333</v>
      </c>
      <c r="AG480" s="4" t="n">
        <f aca="false">IF(U480="","",IF(U480&lt;=50,(50/50)*U480,IF(U480&lt;=100,50+((100-50)/(100-50))*(U480-50),IF(U480&lt;=250,100+((200-100)/(250-100))*(U480-100),IF(U480&lt;=350,200+((300-200)/(350-250))*(U480-250),IF(U480&lt;=430,300+((400-300)/(430-350))*(U480-350),IF(U480&lt;=600,400+((500-400)/(600-430))*(U480-430),500)))))))</f>
        <v>143.866666666667</v>
      </c>
      <c r="AH480" s="4" t="n">
        <f aca="false">IF(V480="","",IF((V480/1000)&lt;=1,(50/1)*(V480/1000),IF((V480/1000)&lt;=2,50+((100-50)/(2-1))*(V480/1000-1),IF((V480/1000)&lt;=10,100+((200-100)/(10-2))*(V480/1000-2),IF((V480/1000)&lt;=17,200+((300-200)/(17-10))*(V480/1000-10),IF((V480/1000)&lt;=34,300+((400-300)/(34-17))*(V480/1000-17),IF((V480/1000)&lt;=57,400+((500-400)/(57-34))*(V480/1000-34),500)))))))</f>
        <v>39.05</v>
      </c>
      <c r="AI480" s="4" t="n">
        <f aca="false">IF(W480="","",IF(W480&lt;=40,(50/40)*W480,IF(W480&lt;=80,50+((100-50)/(80-40))*(W480-40),IF(W480&lt;=180,100+((200-100)/(180-80))*(W480-80),IF(W480&lt;=280,200+((300-200)/(280-180))*(W480-180),IF(W480&lt;=400,300+((400-300)/(400-280))*(W480-280),IF(W480&lt;=800,400+((500-400)/(800-400))*(W480-400),500)))))))</f>
        <v>61.75</v>
      </c>
      <c r="AJ480" s="4" t="n">
        <f aca="false">IF(X480="","",IF(X480&lt;=40,(50/40)*X480,IF(X480&lt;=80,50+((100-50)/(80-40))*(X480-40),IF(X480&lt;=380,100+((200-100)/(380-80))*(X480-80),IF(X480&lt;=800,200+((300-200)/(800-380))*(X480-380),IF(X480&lt;=1600,300+((400-300)/(1600-800))*(X480-800),IF(X480&lt;=2100,400+((500-400)/(2100-1600))*(X480-1600),500)))))))</f>
        <v>30.875</v>
      </c>
      <c r="AK480" s="4" t="n">
        <f aca="false">IF(Y480="","",IF(Y480&lt;=50,(50/50)*Y480,IF(Y480&lt;=100,50+((100-50)/(100-50))*(Y480-50),IF(Y480&lt;=168,100+((200-100)/(168-100))*(Y480-100),IF(Y480&lt;=208,200+((300-200)/(208-168))*(Y480-168),IF(Y480&lt;=748,300+((400-300)/(748-208))*(Y480-208),IF(Y480&lt;=1000,400+((500-400)/(1000-748))*(Y480-748),500)))))))</f>
        <v>39</v>
      </c>
      <c r="AL480" s="4" t="n">
        <f aca="false">ROUND(MAX(AF480,AG480,AH480,AI480,AJ480,AK480),0)</f>
        <v>144</v>
      </c>
      <c r="AM480" s="4" t="str">
        <f aca="false">IF(AL480="","",IF(AL480&lt;=50,"Good",IF(AL480&lt;=100,"Satisfactory",IF(AL480&lt;=200,"Moderate",IF(AL480&lt;=300,"Poor",IF(AL480&lt;=400,"Very Poor","Severe"))))))</f>
        <v>Moderate</v>
      </c>
    </row>
    <row r="481" customFormat="false" ht="15.75" hidden="false" customHeight="false" outlineLevel="0" collapsed="false">
      <c r="A481" s="1" t="s">
        <v>39</v>
      </c>
      <c r="B481" s="1" t="s">
        <v>40</v>
      </c>
      <c r="C481" s="1" t="n">
        <v>28.4595</v>
      </c>
      <c r="D481" s="1" t="n">
        <v>77.0266</v>
      </c>
      <c r="E481" s="5" t="n">
        <v>45920</v>
      </c>
      <c r="F481" s="6" t="s">
        <v>77</v>
      </c>
      <c r="G481" s="1" t="n">
        <v>9</v>
      </c>
      <c r="H481" s="7" t="s">
        <v>86</v>
      </c>
      <c r="I481" s="6" t="s">
        <v>46</v>
      </c>
      <c r="J481" s="7" t="s">
        <v>44</v>
      </c>
      <c r="K481" s="7" t="s">
        <v>75</v>
      </c>
      <c r="L481" s="1" t="n">
        <v>72</v>
      </c>
      <c r="M481" s="1" t="n">
        <v>20.8</v>
      </c>
      <c r="N481" s="1" t="n">
        <v>11.5</v>
      </c>
      <c r="O481" s="1" t="n">
        <v>0</v>
      </c>
      <c r="P481" s="6" t="s">
        <v>43</v>
      </c>
      <c r="Q481" s="6" t="s">
        <v>43</v>
      </c>
      <c r="R481" s="1" t="n">
        <v>1005.5</v>
      </c>
      <c r="S481" s="1" t="n">
        <v>0</v>
      </c>
      <c r="T481" s="1" t="n">
        <v>56.9</v>
      </c>
      <c r="U481" s="1" t="n">
        <v>159.7</v>
      </c>
      <c r="V481" s="1" t="n">
        <v>735</v>
      </c>
      <c r="W481" s="1" t="n">
        <v>52.1</v>
      </c>
      <c r="X481" s="1" t="n">
        <v>24.6</v>
      </c>
      <c r="Y481" s="1" t="n">
        <v>33</v>
      </c>
      <c r="Z481" s="1" t="n">
        <v>196</v>
      </c>
      <c r="AA481" s="1" t="n">
        <v>143</v>
      </c>
      <c r="AB481" s="7" t="s">
        <v>81</v>
      </c>
      <c r="AC481" s="7" t="s">
        <v>82</v>
      </c>
      <c r="AD481" s="7" t="s">
        <v>83</v>
      </c>
      <c r="AE481" s="7" t="s">
        <v>84</v>
      </c>
      <c r="AF481" s="4" t="n">
        <f aca="false">IF(T481="","",IF(T481&lt;=30,(50/30)*T481,IF(T481&lt;=60,50+((100-50)/(60-30))*(T481-30),IF(T481&lt;=90,100+((200-100)/(90-60))*(T481-60),IF(T481&lt;=120,200+((300-200)/(120-90))*(T481-90),IF(T481&lt;=250,300+((400-300)/(250-120))*(T481-120),IF(T481&lt;=380,400+((500-400)/(380-250))*(T481-250),500)))))))</f>
        <v>94.8333333333333</v>
      </c>
      <c r="AG481" s="4" t="n">
        <f aca="false">IF(U481="","",IF(U481&lt;=50,(50/50)*U481,IF(U481&lt;=100,50+((100-50)/(100-50))*(U481-50),IF(U481&lt;=250,100+((200-100)/(250-100))*(U481-100),IF(U481&lt;=350,200+((300-200)/(350-250))*(U481-250),IF(U481&lt;=430,300+((400-300)/(430-350))*(U481-350),IF(U481&lt;=600,400+((500-400)/(600-430))*(U481-430),500)))))))</f>
        <v>139.8</v>
      </c>
      <c r="AH481" s="4" t="n">
        <f aca="false">IF(V481="","",IF((V481/1000)&lt;=1,(50/1)*(V481/1000),IF((V481/1000)&lt;=2,50+((100-50)/(2-1))*(V481/1000-1),IF((V481/1000)&lt;=10,100+((200-100)/(10-2))*(V481/1000-2),IF((V481/1000)&lt;=17,200+((300-200)/(17-10))*(V481/1000-10),IF((V481/1000)&lt;=34,300+((400-300)/(34-17))*(V481/1000-17),IF((V481/1000)&lt;=57,400+((500-400)/(57-34))*(V481/1000-34),500)))))))</f>
        <v>36.75</v>
      </c>
      <c r="AI481" s="4" t="n">
        <f aca="false">IF(W481="","",IF(W481&lt;=40,(50/40)*W481,IF(W481&lt;=80,50+((100-50)/(80-40))*(W481-40),IF(W481&lt;=180,100+((200-100)/(180-80))*(W481-80),IF(W481&lt;=280,200+((300-200)/(280-180))*(W481-180),IF(W481&lt;=400,300+((400-300)/(400-280))*(W481-280),IF(W481&lt;=800,400+((500-400)/(800-400))*(W481-400),500)))))))</f>
        <v>65.125</v>
      </c>
      <c r="AJ481" s="4" t="n">
        <f aca="false">IF(X481="","",IF(X481&lt;=40,(50/40)*X481,IF(X481&lt;=80,50+((100-50)/(80-40))*(X481-40),IF(X481&lt;=380,100+((200-100)/(380-80))*(X481-80),IF(X481&lt;=800,200+((300-200)/(800-380))*(X481-380),IF(X481&lt;=1600,300+((400-300)/(1600-800))*(X481-800),IF(X481&lt;=2100,400+((500-400)/(2100-1600))*(X481-1600),500)))))))</f>
        <v>30.75</v>
      </c>
      <c r="AK481" s="4" t="n">
        <f aca="false">IF(Y481="","",IF(Y481&lt;=50,(50/50)*Y481,IF(Y481&lt;=100,50+((100-50)/(100-50))*(Y481-50),IF(Y481&lt;=168,100+((200-100)/(168-100))*(Y481-100),IF(Y481&lt;=208,200+((300-200)/(208-168))*(Y481-168),IF(Y481&lt;=748,300+((400-300)/(748-208))*(Y481-208),IF(Y481&lt;=1000,400+((500-400)/(1000-748))*(Y481-748),500)))))))</f>
        <v>33</v>
      </c>
      <c r="AL481" s="4" t="n">
        <f aca="false">ROUND(MAX(AF481,AG481,AH481,AI481,AJ481,AK481),0)</f>
        <v>140</v>
      </c>
      <c r="AM481" s="4" t="str">
        <f aca="false">IF(AL481="","",IF(AL481&lt;=50,"Good",IF(AL481&lt;=100,"Satisfactory",IF(AL481&lt;=200,"Moderate",IF(AL481&lt;=300,"Poor",IF(AL481&lt;=400,"Very Poor","Severe"))))))</f>
        <v>Moderate</v>
      </c>
    </row>
    <row r="482" customFormat="false" ht="15.75" hidden="false" customHeight="false" outlineLevel="0" collapsed="false">
      <c r="A482" s="1" t="s">
        <v>39</v>
      </c>
      <c r="B482" s="1" t="s">
        <v>40</v>
      </c>
      <c r="C482" s="1" t="n">
        <v>28.4595</v>
      </c>
      <c r="D482" s="1" t="n">
        <v>77.0266</v>
      </c>
      <c r="E482" s="5" t="n">
        <v>45921</v>
      </c>
      <c r="F482" s="6" t="s">
        <v>41</v>
      </c>
      <c r="G482" s="1" t="n">
        <v>9</v>
      </c>
      <c r="H482" s="7" t="s">
        <v>87</v>
      </c>
      <c r="I482" s="6" t="s">
        <v>46</v>
      </c>
      <c r="J482" s="7" t="s">
        <v>44</v>
      </c>
      <c r="K482" s="7" t="s">
        <v>45</v>
      </c>
      <c r="L482" s="1" t="n">
        <v>75</v>
      </c>
      <c r="M482" s="1" t="n">
        <v>20.8</v>
      </c>
      <c r="N482" s="1" t="n">
        <v>14</v>
      </c>
      <c r="O482" s="1" t="n">
        <v>0</v>
      </c>
      <c r="P482" s="6" t="s">
        <v>43</v>
      </c>
      <c r="Q482" s="6" t="s">
        <v>43</v>
      </c>
      <c r="R482" s="1" t="n">
        <v>1005.4</v>
      </c>
      <c r="S482" s="1" t="n">
        <v>0</v>
      </c>
      <c r="T482" s="1" t="n">
        <v>56.9</v>
      </c>
      <c r="U482" s="1" t="n">
        <v>151.8</v>
      </c>
      <c r="V482" s="1" t="n">
        <v>632</v>
      </c>
      <c r="W482" s="1" t="n">
        <v>52.5</v>
      </c>
      <c r="X482" s="1" t="n">
        <v>23</v>
      </c>
      <c r="Y482" s="1" t="n">
        <v>28</v>
      </c>
      <c r="Z482" s="1" t="n">
        <v>178</v>
      </c>
      <c r="AA482" s="1" t="n">
        <v>140</v>
      </c>
      <c r="AB482" s="7" t="s">
        <v>81</v>
      </c>
      <c r="AC482" s="7" t="s">
        <v>82</v>
      </c>
      <c r="AD482" s="7" t="s">
        <v>83</v>
      </c>
      <c r="AE482" s="7" t="s">
        <v>84</v>
      </c>
      <c r="AF482" s="4" t="n">
        <f aca="false">IF(T482="","",IF(T482&lt;=30,(50/30)*T482,IF(T482&lt;=60,50+((100-50)/(60-30))*(T482-30),IF(T482&lt;=90,100+((200-100)/(90-60))*(T482-60),IF(T482&lt;=120,200+((300-200)/(120-90))*(T482-90),IF(T482&lt;=250,300+((400-300)/(250-120))*(T482-120),IF(T482&lt;=380,400+((500-400)/(380-250))*(T482-250),500)))))))</f>
        <v>94.8333333333333</v>
      </c>
      <c r="AG482" s="4" t="n">
        <f aca="false">IF(U482="","",IF(U482&lt;=50,(50/50)*U482,IF(U482&lt;=100,50+((100-50)/(100-50))*(U482-50),IF(U482&lt;=250,100+((200-100)/(250-100))*(U482-100),IF(U482&lt;=350,200+((300-200)/(350-250))*(U482-250),IF(U482&lt;=430,300+((400-300)/(430-350))*(U482-350),IF(U482&lt;=600,400+((500-400)/(600-430))*(U482-430),500)))))))</f>
        <v>134.533333333333</v>
      </c>
      <c r="AH482" s="4" t="n">
        <f aca="false">IF(V482="","",IF((V482/1000)&lt;=1,(50/1)*(V482/1000),IF((V482/1000)&lt;=2,50+((100-50)/(2-1))*(V482/1000-1),IF((V482/1000)&lt;=10,100+((200-100)/(10-2))*(V482/1000-2),IF((V482/1000)&lt;=17,200+((300-200)/(17-10))*(V482/1000-10),IF((V482/1000)&lt;=34,300+((400-300)/(34-17))*(V482/1000-17),IF((V482/1000)&lt;=57,400+((500-400)/(57-34))*(V482/1000-34),500)))))))</f>
        <v>31.6</v>
      </c>
      <c r="AI482" s="4" t="n">
        <f aca="false">IF(W482="","",IF(W482&lt;=40,(50/40)*W482,IF(W482&lt;=80,50+((100-50)/(80-40))*(W482-40),IF(W482&lt;=180,100+((200-100)/(180-80))*(W482-80),IF(W482&lt;=280,200+((300-200)/(280-180))*(W482-180),IF(W482&lt;=400,300+((400-300)/(400-280))*(W482-280),IF(W482&lt;=800,400+((500-400)/(800-400))*(W482-400),500)))))))</f>
        <v>65.625</v>
      </c>
      <c r="AJ482" s="4" t="n">
        <f aca="false">IF(X482="","",IF(X482&lt;=40,(50/40)*X482,IF(X482&lt;=80,50+((100-50)/(80-40))*(X482-40),IF(X482&lt;=380,100+((200-100)/(380-80))*(X482-80),IF(X482&lt;=800,200+((300-200)/(800-380))*(X482-380),IF(X482&lt;=1600,300+((400-300)/(1600-800))*(X482-800),IF(X482&lt;=2100,400+((500-400)/(2100-1600))*(X482-1600),500)))))))</f>
        <v>28.75</v>
      </c>
      <c r="AK482" s="4" t="n">
        <f aca="false">IF(Y482="","",IF(Y482&lt;=50,(50/50)*Y482,IF(Y482&lt;=100,50+((100-50)/(100-50))*(Y482-50),IF(Y482&lt;=168,100+((200-100)/(168-100))*(Y482-100),IF(Y482&lt;=208,200+((300-200)/(208-168))*(Y482-168),IF(Y482&lt;=748,300+((400-300)/(748-208))*(Y482-208),IF(Y482&lt;=1000,400+((500-400)/(1000-748))*(Y482-748),500)))))))</f>
        <v>28</v>
      </c>
      <c r="AL482" s="4" t="n">
        <f aca="false">ROUND(MAX(AF482,AG482,AH482,AI482,AJ482,AK482),0)</f>
        <v>135</v>
      </c>
      <c r="AM482" s="4" t="str">
        <f aca="false">IF(AL482="","",IF(AL482&lt;=50,"Good",IF(AL482&lt;=100,"Satisfactory",IF(AL482&lt;=200,"Moderate",IF(AL482&lt;=300,"Poor",IF(AL482&lt;=400,"Very Poor","Severe"))))))</f>
        <v>Moderate</v>
      </c>
    </row>
    <row r="483" customFormat="false" ht="15.75" hidden="false" customHeight="false" outlineLevel="0" collapsed="false">
      <c r="A483" s="1" t="s">
        <v>39</v>
      </c>
      <c r="B483" s="1" t="s">
        <v>40</v>
      </c>
      <c r="C483" s="1" t="n">
        <v>28.4595</v>
      </c>
      <c r="D483" s="1" t="n">
        <v>77.0266</v>
      </c>
      <c r="E483" s="5" t="n">
        <v>45921</v>
      </c>
      <c r="F483" s="6" t="s">
        <v>49</v>
      </c>
      <c r="G483" s="1" t="n">
        <v>9</v>
      </c>
      <c r="H483" s="7" t="s">
        <v>87</v>
      </c>
      <c r="I483" s="6" t="s">
        <v>46</v>
      </c>
      <c r="J483" s="7" t="s">
        <v>44</v>
      </c>
      <c r="K483" s="7" t="s">
        <v>45</v>
      </c>
      <c r="L483" s="1" t="n">
        <v>77</v>
      </c>
      <c r="M483" s="1" t="n">
        <v>20.9</v>
      </c>
      <c r="N483" s="1" t="n">
        <v>13.3</v>
      </c>
      <c r="O483" s="1" t="n">
        <v>0</v>
      </c>
      <c r="P483" s="6" t="s">
        <v>43</v>
      </c>
      <c r="Q483" s="6" t="s">
        <v>43</v>
      </c>
      <c r="R483" s="1" t="n">
        <v>1005.1</v>
      </c>
      <c r="S483" s="1" t="n">
        <v>0</v>
      </c>
      <c r="T483" s="1" t="n">
        <v>56.2</v>
      </c>
      <c r="U483" s="1" t="n">
        <v>143.9</v>
      </c>
      <c r="V483" s="1" t="n">
        <v>494</v>
      </c>
      <c r="W483" s="1" t="n">
        <v>51.1</v>
      </c>
      <c r="X483" s="1" t="n">
        <v>20.4</v>
      </c>
      <c r="Y483" s="1" t="n">
        <v>24</v>
      </c>
      <c r="Z483" s="1" t="n">
        <v>161</v>
      </c>
      <c r="AA483" s="1" t="n">
        <v>137</v>
      </c>
      <c r="AB483" s="7" t="s">
        <v>81</v>
      </c>
      <c r="AC483" s="7" t="s">
        <v>82</v>
      </c>
      <c r="AD483" s="7" t="s">
        <v>83</v>
      </c>
      <c r="AE483" s="7" t="s">
        <v>84</v>
      </c>
      <c r="AF483" s="4" t="n">
        <f aca="false">IF(T483="","",IF(T483&lt;=30,(50/30)*T483,IF(T483&lt;=60,50+((100-50)/(60-30))*(T483-30),IF(T483&lt;=90,100+((200-100)/(90-60))*(T483-60),IF(T483&lt;=120,200+((300-200)/(120-90))*(T483-90),IF(T483&lt;=250,300+((400-300)/(250-120))*(T483-120),IF(T483&lt;=380,400+((500-400)/(380-250))*(T483-250),500)))))))</f>
        <v>93.6666666666667</v>
      </c>
      <c r="AG483" s="4" t="n">
        <f aca="false">IF(U483="","",IF(U483&lt;=50,(50/50)*U483,IF(U483&lt;=100,50+((100-50)/(100-50))*(U483-50),IF(U483&lt;=250,100+((200-100)/(250-100))*(U483-100),IF(U483&lt;=350,200+((300-200)/(350-250))*(U483-250),IF(U483&lt;=430,300+((400-300)/(430-350))*(U483-350),IF(U483&lt;=600,400+((500-400)/(600-430))*(U483-430),500)))))))</f>
        <v>129.266666666667</v>
      </c>
      <c r="AH483" s="4" t="n">
        <f aca="false">IF(V483="","",IF((V483/1000)&lt;=1,(50/1)*(V483/1000),IF((V483/1000)&lt;=2,50+((100-50)/(2-1))*(V483/1000-1),IF((V483/1000)&lt;=10,100+((200-100)/(10-2))*(V483/1000-2),IF((V483/1000)&lt;=17,200+((300-200)/(17-10))*(V483/1000-10),IF((V483/1000)&lt;=34,300+((400-300)/(34-17))*(V483/1000-17),IF((V483/1000)&lt;=57,400+((500-400)/(57-34))*(V483/1000-34),500)))))))</f>
        <v>24.7</v>
      </c>
      <c r="AI483" s="4" t="n">
        <f aca="false">IF(W483="","",IF(W483&lt;=40,(50/40)*W483,IF(W483&lt;=80,50+((100-50)/(80-40))*(W483-40),IF(W483&lt;=180,100+((200-100)/(180-80))*(W483-80),IF(W483&lt;=280,200+((300-200)/(280-180))*(W483-180),IF(W483&lt;=400,300+((400-300)/(400-280))*(W483-280),IF(W483&lt;=800,400+((500-400)/(800-400))*(W483-400),500)))))))</f>
        <v>63.875</v>
      </c>
      <c r="AJ483" s="4" t="n">
        <f aca="false">IF(X483="","",IF(X483&lt;=40,(50/40)*X483,IF(X483&lt;=80,50+((100-50)/(80-40))*(X483-40),IF(X483&lt;=380,100+((200-100)/(380-80))*(X483-80),IF(X483&lt;=800,200+((300-200)/(800-380))*(X483-380),IF(X483&lt;=1600,300+((400-300)/(1600-800))*(X483-800),IF(X483&lt;=2100,400+((500-400)/(2100-1600))*(X483-1600),500)))))))</f>
        <v>25.5</v>
      </c>
      <c r="AK483" s="4" t="n">
        <f aca="false">IF(Y483="","",IF(Y483&lt;=50,(50/50)*Y483,IF(Y483&lt;=100,50+((100-50)/(100-50))*(Y483-50),IF(Y483&lt;=168,100+((200-100)/(168-100))*(Y483-100),IF(Y483&lt;=208,200+((300-200)/(208-168))*(Y483-168),IF(Y483&lt;=748,300+((400-300)/(748-208))*(Y483-208),IF(Y483&lt;=1000,400+((500-400)/(1000-748))*(Y483-748),500)))))))</f>
        <v>24</v>
      </c>
      <c r="AL483" s="4" t="n">
        <f aca="false">ROUND(MAX(AF483,AG483,AH483,AI483,AJ483,AK483),0)</f>
        <v>129</v>
      </c>
      <c r="AM483" s="4" t="str">
        <f aca="false">IF(AL483="","",IF(AL483&lt;=50,"Good",IF(AL483&lt;=100,"Satisfactory",IF(AL483&lt;=200,"Moderate",IF(AL483&lt;=300,"Poor",IF(AL483&lt;=400,"Very Poor","Severe"))))))</f>
        <v>Moderate</v>
      </c>
    </row>
    <row r="484" customFormat="false" ht="15.75" hidden="false" customHeight="false" outlineLevel="0" collapsed="false">
      <c r="A484" s="1" t="s">
        <v>39</v>
      </c>
      <c r="B484" s="1" t="s">
        <v>40</v>
      </c>
      <c r="C484" s="1" t="n">
        <v>28.4595</v>
      </c>
      <c r="D484" s="1" t="n">
        <v>77.0266</v>
      </c>
      <c r="E484" s="5" t="n">
        <v>45921</v>
      </c>
      <c r="F484" s="6" t="s">
        <v>51</v>
      </c>
      <c r="G484" s="1" t="n">
        <v>9</v>
      </c>
      <c r="H484" s="7" t="s">
        <v>87</v>
      </c>
      <c r="I484" s="6" t="s">
        <v>46</v>
      </c>
      <c r="J484" s="7" t="s">
        <v>44</v>
      </c>
      <c r="K484" s="7" t="s">
        <v>45</v>
      </c>
      <c r="L484" s="1" t="n">
        <v>78</v>
      </c>
      <c r="M484" s="1" t="n">
        <v>20.8</v>
      </c>
      <c r="N484" s="1" t="n">
        <v>13</v>
      </c>
      <c r="O484" s="1" t="n">
        <v>0</v>
      </c>
      <c r="P484" s="6" t="s">
        <v>43</v>
      </c>
      <c r="Q484" s="6" t="s">
        <v>43</v>
      </c>
      <c r="R484" s="1" t="n">
        <v>1004.9</v>
      </c>
      <c r="S484" s="1" t="n">
        <v>0</v>
      </c>
      <c r="T484" s="1" t="n">
        <v>53.2</v>
      </c>
      <c r="U484" s="1" t="n">
        <v>132.2</v>
      </c>
      <c r="V484" s="1" t="n">
        <v>396</v>
      </c>
      <c r="W484" s="1" t="n">
        <v>48.9</v>
      </c>
      <c r="X484" s="1" t="n">
        <v>18</v>
      </c>
      <c r="Y484" s="1" t="n">
        <v>22</v>
      </c>
      <c r="Z484" s="1" t="n">
        <v>148</v>
      </c>
      <c r="AA484" s="1" t="n">
        <v>134</v>
      </c>
      <c r="AB484" s="7" t="s">
        <v>81</v>
      </c>
      <c r="AC484" s="7" t="s">
        <v>82</v>
      </c>
      <c r="AD484" s="7" t="s">
        <v>83</v>
      </c>
      <c r="AE484" s="7" t="s">
        <v>84</v>
      </c>
      <c r="AF484" s="4" t="n">
        <f aca="false">IF(T484="","",IF(T484&lt;=30,(50/30)*T484,IF(T484&lt;=60,50+((100-50)/(60-30))*(T484-30),IF(T484&lt;=90,100+((200-100)/(90-60))*(T484-60),IF(T484&lt;=120,200+((300-200)/(120-90))*(T484-90),IF(T484&lt;=250,300+((400-300)/(250-120))*(T484-120),IF(T484&lt;=380,400+((500-400)/(380-250))*(T484-250),500)))))))</f>
        <v>88.6666666666667</v>
      </c>
      <c r="AG484" s="4" t="n">
        <f aca="false">IF(U484="","",IF(U484&lt;=50,(50/50)*U484,IF(U484&lt;=100,50+((100-50)/(100-50))*(U484-50),IF(U484&lt;=250,100+((200-100)/(250-100))*(U484-100),IF(U484&lt;=350,200+((300-200)/(350-250))*(U484-250),IF(U484&lt;=430,300+((400-300)/(430-350))*(U484-350),IF(U484&lt;=600,400+((500-400)/(600-430))*(U484-430),500)))))))</f>
        <v>121.466666666667</v>
      </c>
      <c r="AH484" s="4" t="n">
        <f aca="false">IF(V484="","",IF((V484/1000)&lt;=1,(50/1)*(V484/1000),IF((V484/1000)&lt;=2,50+((100-50)/(2-1))*(V484/1000-1),IF((V484/1000)&lt;=10,100+((200-100)/(10-2))*(V484/1000-2),IF((V484/1000)&lt;=17,200+((300-200)/(17-10))*(V484/1000-10),IF((V484/1000)&lt;=34,300+((400-300)/(34-17))*(V484/1000-17),IF((V484/1000)&lt;=57,400+((500-400)/(57-34))*(V484/1000-34),500)))))))</f>
        <v>19.8</v>
      </c>
      <c r="AI484" s="4" t="n">
        <f aca="false">IF(W484="","",IF(W484&lt;=40,(50/40)*W484,IF(W484&lt;=80,50+((100-50)/(80-40))*(W484-40),IF(W484&lt;=180,100+((200-100)/(180-80))*(W484-80),IF(W484&lt;=280,200+((300-200)/(280-180))*(W484-180),IF(W484&lt;=400,300+((400-300)/(400-280))*(W484-280),IF(W484&lt;=800,400+((500-400)/(800-400))*(W484-400),500)))))))</f>
        <v>61.125</v>
      </c>
      <c r="AJ484" s="4" t="n">
        <f aca="false">IF(X484="","",IF(X484&lt;=40,(50/40)*X484,IF(X484&lt;=80,50+((100-50)/(80-40))*(X484-40),IF(X484&lt;=380,100+((200-100)/(380-80))*(X484-80),IF(X484&lt;=800,200+((300-200)/(800-380))*(X484-380),IF(X484&lt;=1600,300+((400-300)/(1600-800))*(X484-800),IF(X484&lt;=2100,400+((500-400)/(2100-1600))*(X484-1600),500)))))))</f>
        <v>22.5</v>
      </c>
      <c r="AK484" s="4" t="n">
        <f aca="false">IF(Y484="","",IF(Y484&lt;=50,(50/50)*Y484,IF(Y484&lt;=100,50+((100-50)/(100-50))*(Y484-50),IF(Y484&lt;=168,100+((200-100)/(168-100))*(Y484-100),IF(Y484&lt;=208,200+((300-200)/(208-168))*(Y484-168),IF(Y484&lt;=748,300+((400-300)/(748-208))*(Y484-208),IF(Y484&lt;=1000,400+((500-400)/(1000-748))*(Y484-748),500)))))))</f>
        <v>22</v>
      </c>
      <c r="AL484" s="4" t="n">
        <f aca="false">ROUND(MAX(AF484,AG484,AH484,AI484,AJ484,AK484),0)</f>
        <v>121</v>
      </c>
      <c r="AM484" s="4" t="str">
        <f aca="false">IF(AL484="","",IF(AL484&lt;=50,"Good",IF(AL484&lt;=100,"Satisfactory",IF(AL484&lt;=200,"Moderate",IF(AL484&lt;=300,"Poor",IF(AL484&lt;=400,"Very Poor","Severe"))))))</f>
        <v>Moderate</v>
      </c>
    </row>
    <row r="485" customFormat="false" ht="15.75" hidden="false" customHeight="false" outlineLevel="0" collapsed="false">
      <c r="A485" s="1" t="s">
        <v>39</v>
      </c>
      <c r="B485" s="1" t="s">
        <v>40</v>
      </c>
      <c r="C485" s="1" t="n">
        <v>28.4595</v>
      </c>
      <c r="D485" s="1" t="n">
        <v>77.0266</v>
      </c>
      <c r="E485" s="5" t="n">
        <v>45921</v>
      </c>
      <c r="F485" s="6" t="s">
        <v>52</v>
      </c>
      <c r="G485" s="1" t="n">
        <v>9</v>
      </c>
      <c r="H485" s="7" t="s">
        <v>87</v>
      </c>
      <c r="I485" s="6" t="s">
        <v>46</v>
      </c>
      <c r="J485" s="7" t="s">
        <v>44</v>
      </c>
      <c r="K485" s="7" t="s">
        <v>45</v>
      </c>
      <c r="L485" s="1" t="n">
        <v>77</v>
      </c>
      <c r="M485" s="1" t="n">
        <v>20.2</v>
      </c>
      <c r="N485" s="1" t="n">
        <v>13.3</v>
      </c>
      <c r="O485" s="1" t="n">
        <v>0</v>
      </c>
      <c r="P485" s="6" t="s">
        <v>43</v>
      </c>
      <c r="Q485" s="6" t="s">
        <v>43</v>
      </c>
      <c r="R485" s="1" t="n">
        <v>1004.7</v>
      </c>
      <c r="S485" s="1" t="n">
        <v>0</v>
      </c>
      <c r="T485" s="1" t="n">
        <v>49.6</v>
      </c>
      <c r="U485" s="1" t="n">
        <v>124.8</v>
      </c>
      <c r="V485" s="1" t="n">
        <v>371</v>
      </c>
      <c r="W485" s="1" t="n">
        <v>45.6</v>
      </c>
      <c r="X485" s="1" t="n">
        <v>16</v>
      </c>
      <c r="Y485" s="1" t="n">
        <v>21</v>
      </c>
      <c r="Z485" s="1" t="n">
        <v>138</v>
      </c>
      <c r="AA485" s="1" t="n">
        <v>131</v>
      </c>
      <c r="AB485" s="7" t="s">
        <v>81</v>
      </c>
      <c r="AC485" s="7" t="s">
        <v>82</v>
      </c>
      <c r="AD485" s="7" t="s">
        <v>83</v>
      </c>
      <c r="AE485" s="7" t="s">
        <v>84</v>
      </c>
      <c r="AF485" s="4" t="n">
        <f aca="false">IF(T485="","",IF(T485&lt;=30,(50/30)*T485,IF(T485&lt;=60,50+((100-50)/(60-30))*(T485-30),IF(T485&lt;=90,100+((200-100)/(90-60))*(T485-60),IF(T485&lt;=120,200+((300-200)/(120-90))*(T485-90),IF(T485&lt;=250,300+((400-300)/(250-120))*(T485-120),IF(T485&lt;=380,400+((500-400)/(380-250))*(T485-250),500)))))))</f>
        <v>82.6666666666667</v>
      </c>
      <c r="AG485" s="4" t="n">
        <f aca="false">IF(U485="","",IF(U485&lt;=50,(50/50)*U485,IF(U485&lt;=100,50+((100-50)/(100-50))*(U485-50),IF(U485&lt;=250,100+((200-100)/(250-100))*(U485-100),IF(U485&lt;=350,200+((300-200)/(350-250))*(U485-250),IF(U485&lt;=430,300+((400-300)/(430-350))*(U485-350),IF(U485&lt;=600,400+((500-400)/(600-430))*(U485-430),500)))))))</f>
        <v>116.533333333333</v>
      </c>
      <c r="AH485" s="4" t="n">
        <f aca="false">IF(V485="","",IF((V485/1000)&lt;=1,(50/1)*(V485/1000),IF((V485/1000)&lt;=2,50+((100-50)/(2-1))*(V485/1000-1),IF((V485/1000)&lt;=10,100+((200-100)/(10-2))*(V485/1000-2),IF((V485/1000)&lt;=17,200+((300-200)/(17-10))*(V485/1000-10),IF((V485/1000)&lt;=34,300+((400-300)/(34-17))*(V485/1000-17),IF((V485/1000)&lt;=57,400+((500-400)/(57-34))*(V485/1000-34),500)))))))</f>
        <v>18.55</v>
      </c>
      <c r="AI485" s="4" t="n">
        <f aca="false">IF(W485="","",IF(W485&lt;=40,(50/40)*W485,IF(W485&lt;=80,50+((100-50)/(80-40))*(W485-40),IF(W485&lt;=180,100+((200-100)/(180-80))*(W485-80),IF(W485&lt;=280,200+((300-200)/(280-180))*(W485-180),IF(W485&lt;=400,300+((400-300)/(400-280))*(W485-280),IF(W485&lt;=800,400+((500-400)/(800-400))*(W485-400),500)))))))</f>
        <v>57</v>
      </c>
      <c r="AJ485" s="4" t="n">
        <f aca="false">IF(X485="","",IF(X485&lt;=40,(50/40)*X485,IF(X485&lt;=80,50+((100-50)/(80-40))*(X485-40),IF(X485&lt;=380,100+((200-100)/(380-80))*(X485-80),IF(X485&lt;=800,200+((300-200)/(800-380))*(X485-380),IF(X485&lt;=1600,300+((400-300)/(1600-800))*(X485-800),IF(X485&lt;=2100,400+((500-400)/(2100-1600))*(X485-1600),500)))))))</f>
        <v>20</v>
      </c>
      <c r="AK485" s="4" t="n">
        <f aca="false">IF(Y485="","",IF(Y485&lt;=50,(50/50)*Y485,IF(Y485&lt;=100,50+((100-50)/(100-50))*(Y485-50),IF(Y485&lt;=168,100+((200-100)/(168-100))*(Y485-100),IF(Y485&lt;=208,200+((300-200)/(208-168))*(Y485-168),IF(Y485&lt;=748,300+((400-300)/(748-208))*(Y485-208),IF(Y485&lt;=1000,400+((500-400)/(1000-748))*(Y485-748),500)))))))</f>
        <v>21</v>
      </c>
      <c r="AL485" s="4" t="n">
        <f aca="false">ROUND(MAX(AF485,AG485,AH485,AI485,AJ485,AK485),0)</f>
        <v>117</v>
      </c>
      <c r="AM485" s="4" t="str">
        <f aca="false">IF(AL485="","",IF(AL485&lt;=50,"Good",IF(AL485&lt;=100,"Satisfactory",IF(AL485&lt;=200,"Moderate",IF(AL485&lt;=300,"Poor",IF(AL485&lt;=400,"Very Poor","Severe"))))))</f>
        <v>Moderate</v>
      </c>
    </row>
    <row r="486" customFormat="false" ht="15.75" hidden="false" customHeight="false" outlineLevel="0" collapsed="false">
      <c r="A486" s="1" t="s">
        <v>39</v>
      </c>
      <c r="B486" s="1" t="s">
        <v>40</v>
      </c>
      <c r="C486" s="1" t="n">
        <v>28.4595</v>
      </c>
      <c r="D486" s="1" t="n">
        <v>77.0266</v>
      </c>
      <c r="E486" s="5" t="n">
        <v>45921</v>
      </c>
      <c r="F486" s="6" t="s">
        <v>53</v>
      </c>
      <c r="G486" s="1" t="n">
        <v>9</v>
      </c>
      <c r="H486" s="7" t="s">
        <v>87</v>
      </c>
      <c r="I486" s="6" t="s">
        <v>46</v>
      </c>
      <c r="J486" s="7" t="s">
        <v>44</v>
      </c>
      <c r="K486" s="7" t="s">
        <v>45</v>
      </c>
      <c r="L486" s="1" t="n">
        <v>76</v>
      </c>
      <c r="M486" s="1" t="n">
        <v>19.4</v>
      </c>
      <c r="N486" s="1" t="n">
        <v>13</v>
      </c>
      <c r="O486" s="1" t="n">
        <v>0</v>
      </c>
      <c r="P486" s="6" t="s">
        <v>43</v>
      </c>
      <c r="Q486" s="6" t="s">
        <v>43</v>
      </c>
      <c r="R486" s="1" t="n">
        <v>1005.1</v>
      </c>
      <c r="S486" s="1" t="n">
        <v>0</v>
      </c>
      <c r="T486" s="1" t="n">
        <v>46.1</v>
      </c>
      <c r="U486" s="1" t="n">
        <v>118</v>
      </c>
      <c r="V486" s="1" t="n">
        <v>385</v>
      </c>
      <c r="W486" s="1" t="n">
        <v>41.4</v>
      </c>
      <c r="X486" s="1" t="n">
        <v>14.2</v>
      </c>
      <c r="Y486" s="1" t="n">
        <v>21</v>
      </c>
      <c r="Z486" s="1" t="n">
        <v>130</v>
      </c>
      <c r="AA486" s="1" t="n">
        <v>129</v>
      </c>
      <c r="AB486" s="7" t="s">
        <v>81</v>
      </c>
      <c r="AC486" s="7" t="s">
        <v>82</v>
      </c>
      <c r="AD486" s="7" t="s">
        <v>83</v>
      </c>
      <c r="AE486" s="7" t="s">
        <v>84</v>
      </c>
      <c r="AF486" s="4" t="n">
        <f aca="false">IF(T486="","",IF(T486&lt;=30,(50/30)*T486,IF(T486&lt;=60,50+((100-50)/(60-30))*(T486-30),IF(T486&lt;=90,100+((200-100)/(90-60))*(T486-60),IF(T486&lt;=120,200+((300-200)/(120-90))*(T486-90),IF(T486&lt;=250,300+((400-300)/(250-120))*(T486-120),IF(T486&lt;=380,400+((500-400)/(380-250))*(T486-250),500)))))))</f>
        <v>76.8333333333333</v>
      </c>
      <c r="AG486" s="4" t="n">
        <f aca="false">IF(U486="","",IF(U486&lt;=50,(50/50)*U486,IF(U486&lt;=100,50+((100-50)/(100-50))*(U486-50),IF(U486&lt;=250,100+((200-100)/(250-100))*(U486-100),IF(U486&lt;=350,200+((300-200)/(350-250))*(U486-250),IF(U486&lt;=430,300+((400-300)/(430-350))*(U486-350),IF(U486&lt;=600,400+((500-400)/(600-430))*(U486-430),500)))))))</f>
        <v>112</v>
      </c>
      <c r="AH486" s="4" t="n">
        <f aca="false">IF(V486="","",IF((V486/1000)&lt;=1,(50/1)*(V486/1000),IF((V486/1000)&lt;=2,50+((100-50)/(2-1))*(V486/1000-1),IF((V486/1000)&lt;=10,100+((200-100)/(10-2))*(V486/1000-2),IF((V486/1000)&lt;=17,200+((300-200)/(17-10))*(V486/1000-10),IF((V486/1000)&lt;=34,300+((400-300)/(34-17))*(V486/1000-17),IF((V486/1000)&lt;=57,400+((500-400)/(57-34))*(V486/1000-34),500)))))))</f>
        <v>19.25</v>
      </c>
      <c r="AI486" s="4" t="n">
        <f aca="false">IF(W486="","",IF(W486&lt;=40,(50/40)*W486,IF(W486&lt;=80,50+((100-50)/(80-40))*(W486-40),IF(W486&lt;=180,100+((200-100)/(180-80))*(W486-80),IF(W486&lt;=280,200+((300-200)/(280-180))*(W486-180),IF(W486&lt;=400,300+((400-300)/(400-280))*(W486-280),IF(W486&lt;=800,400+((500-400)/(800-400))*(W486-400),500)))))))</f>
        <v>51.75</v>
      </c>
      <c r="AJ486" s="4" t="n">
        <f aca="false">IF(X486="","",IF(X486&lt;=40,(50/40)*X486,IF(X486&lt;=80,50+((100-50)/(80-40))*(X486-40),IF(X486&lt;=380,100+((200-100)/(380-80))*(X486-80),IF(X486&lt;=800,200+((300-200)/(800-380))*(X486-380),IF(X486&lt;=1600,300+((400-300)/(1600-800))*(X486-800),IF(X486&lt;=2100,400+((500-400)/(2100-1600))*(X486-1600),500)))))))</f>
        <v>17.75</v>
      </c>
      <c r="AK486" s="4" t="n">
        <f aca="false">IF(Y486="","",IF(Y486&lt;=50,(50/50)*Y486,IF(Y486&lt;=100,50+((100-50)/(100-50))*(Y486-50),IF(Y486&lt;=168,100+((200-100)/(168-100))*(Y486-100),IF(Y486&lt;=208,200+((300-200)/(208-168))*(Y486-168),IF(Y486&lt;=748,300+((400-300)/(748-208))*(Y486-208),IF(Y486&lt;=1000,400+((500-400)/(1000-748))*(Y486-748),500)))))))</f>
        <v>21</v>
      </c>
      <c r="AL486" s="4" t="n">
        <f aca="false">ROUND(MAX(AF486,AG486,AH486,AI486,AJ486,AK486),0)</f>
        <v>112</v>
      </c>
      <c r="AM486" s="4" t="str">
        <f aca="false">IF(AL486="","",IF(AL486&lt;=50,"Good",IF(AL486&lt;=100,"Satisfactory",IF(AL486&lt;=200,"Moderate",IF(AL486&lt;=300,"Poor",IF(AL486&lt;=400,"Very Poor","Severe"))))))</f>
        <v>Moderate</v>
      </c>
    </row>
    <row r="487" customFormat="false" ht="15.75" hidden="false" customHeight="false" outlineLevel="0" collapsed="false">
      <c r="A487" s="1" t="s">
        <v>39</v>
      </c>
      <c r="B487" s="1" t="s">
        <v>40</v>
      </c>
      <c r="C487" s="1" t="n">
        <v>28.4595</v>
      </c>
      <c r="D487" s="1" t="n">
        <v>77.0266</v>
      </c>
      <c r="E487" s="5" t="n">
        <v>45921</v>
      </c>
      <c r="F487" s="6" t="s">
        <v>54</v>
      </c>
      <c r="G487" s="1" t="n">
        <v>9</v>
      </c>
      <c r="H487" s="7" t="s">
        <v>87</v>
      </c>
      <c r="I487" s="6" t="s">
        <v>46</v>
      </c>
      <c r="J487" s="7" t="s">
        <v>44</v>
      </c>
      <c r="K487" s="7" t="s">
        <v>45</v>
      </c>
      <c r="L487" s="1" t="n">
        <v>74</v>
      </c>
      <c r="M487" s="1" t="n">
        <v>18.7</v>
      </c>
      <c r="N487" s="1" t="n">
        <v>13.3</v>
      </c>
      <c r="O487" s="1" t="n">
        <v>0</v>
      </c>
      <c r="P487" s="6" t="s">
        <v>43</v>
      </c>
      <c r="Q487" s="6" t="s">
        <v>43</v>
      </c>
      <c r="R487" s="1" t="n">
        <v>1005.8</v>
      </c>
      <c r="S487" s="1" t="n">
        <v>0</v>
      </c>
      <c r="T487" s="1" t="n">
        <v>36.1</v>
      </c>
      <c r="U487" s="1" t="n">
        <v>80.1</v>
      </c>
      <c r="V487" s="1" t="n">
        <v>418</v>
      </c>
      <c r="W487" s="1" t="n">
        <v>29.3</v>
      </c>
      <c r="X487" s="1" t="n">
        <v>15.5</v>
      </c>
      <c r="Y487" s="1" t="n">
        <v>41</v>
      </c>
      <c r="Z487" s="1" t="n">
        <v>85</v>
      </c>
      <c r="AA487" s="1" t="n">
        <v>128</v>
      </c>
      <c r="AB487" s="7" t="s">
        <v>81</v>
      </c>
      <c r="AC487" s="7" t="s">
        <v>82</v>
      </c>
      <c r="AD487" s="7" t="s">
        <v>83</v>
      </c>
      <c r="AE487" s="7" t="s">
        <v>84</v>
      </c>
      <c r="AF487" s="4" t="n">
        <f aca="false">IF(T487="","",IF(T487&lt;=30,(50/30)*T487,IF(T487&lt;=60,50+((100-50)/(60-30))*(T487-30),IF(T487&lt;=90,100+((200-100)/(90-60))*(T487-60),IF(T487&lt;=120,200+((300-200)/(120-90))*(T487-90),IF(T487&lt;=250,300+((400-300)/(250-120))*(T487-120),IF(T487&lt;=380,400+((500-400)/(380-250))*(T487-250),500)))))))</f>
        <v>60.1666666666667</v>
      </c>
      <c r="AG487" s="4" t="n">
        <f aca="false">IF(U487="","",IF(U487&lt;=50,(50/50)*U487,IF(U487&lt;=100,50+((100-50)/(100-50))*(U487-50),IF(U487&lt;=250,100+((200-100)/(250-100))*(U487-100),IF(U487&lt;=350,200+((300-200)/(350-250))*(U487-250),IF(U487&lt;=430,300+((400-300)/(430-350))*(U487-350),IF(U487&lt;=600,400+((500-400)/(600-430))*(U487-430),500)))))))</f>
        <v>80.1</v>
      </c>
      <c r="AH487" s="4" t="n">
        <f aca="false">IF(V487="","",IF((V487/1000)&lt;=1,(50/1)*(V487/1000),IF((V487/1000)&lt;=2,50+((100-50)/(2-1))*(V487/1000-1),IF((V487/1000)&lt;=10,100+((200-100)/(10-2))*(V487/1000-2),IF((V487/1000)&lt;=17,200+((300-200)/(17-10))*(V487/1000-10),IF((V487/1000)&lt;=34,300+((400-300)/(34-17))*(V487/1000-17),IF((V487/1000)&lt;=57,400+((500-400)/(57-34))*(V487/1000-34),500)))))))</f>
        <v>20.9</v>
      </c>
      <c r="AI487" s="4" t="n">
        <f aca="false">IF(W487="","",IF(W487&lt;=40,(50/40)*W487,IF(W487&lt;=80,50+((100-50)/(80-40))*(W487-40),IF(W487&lt;=180,100+((200-100)/(180-80))*(W487-80),IF(W487&lt;=280,200+((300-200)/(280-180))*(W487-180),IF(W487&lt;=400,300+((400-300)/(400-280))*(W487-280),IF(W487&lt;=800,400+((500-400)/(800-400))*(W487-400),500)))))))</f>
        <v>36.625</v>
      </c>
      <c r="AJ487" s="4" t="n">
        <f aca="false">IF(X487="","",IF(X487&lt;=40,(50/40)*X487,IF(X487&lt;=80,50+((100-50)/(80-40))*(X487-40),IF(X487&lt;=380,100+((200-100)/(380-80))*(X487-80),IF(X487&lt;=800,200+((300-200)/(800-380))*(X487-380),IF(X487&lt;=1600,300+((400-300)/(1600-800))*(X487-800),IF(X487&lt;=2100,400+((500-400)/(2100-1600))*(X487-1600),500)))))))</f>
        <v>19.375</v>
      </c>
      <c r="AK487" s="4" t="n">
        <f aca="false">IF(Y487="","",IF(Y487&lt;=50,(50/50)*Y487,IF(Y487&lt;=100,50+((100-50)/(100-50))*(Y487-50),IF(Y487&lt;=168,100+((200-100)/(168-100))*(Y487-100),IF(Y487&lt;=208,200+((300-200)/(208-168))*(Y487-168),IF(Y487&lt;=748,300+((400-300)/(748-208))*(Y487-208),IF(Y487&lt;=1000,400+((500-400)/(1000-748))*(Y487-748),500)))))))</f>
        <v>41</v>
      </c>
      <c r="AL487" s="4" t="n">
        <f aca="false">ROUND(MAX(AF487,AG487,AH487,AI487,AJ487,AK487),0)</f>
        <v>80</v>
      </c>
      <c r="AM487" s="4" t="str">
        <f aca="false">IF(AL487="","",IF(AL487&lt;=50,"Good",IF(AL487&lt;=100,"Satisfactory",IF(AL487&lt;=200,"Moderate",IF(AL487&lt;=300,"Poor",IF(AL487&lt;=400,"Very Poor","Severe"))))))</f>
        <v>Satisfactory</v>
      </c>
    </row>
    <row r="488" customFormat="false" ht="15.75" hidden="false" customHeight="false" outlineLevel="0" collapsed="false">
      <c r="A488" s="1" t="s">
        <v>39</v>
      </c>
      <c r="B488" s="1" t="s">
        <v>40</v>
      </c>
      <c r="C488" s="1" t="n">
        <v>28.4595</v>
      </c>
      <c r="D488" s="1" t="n">
        <v>77.0266</v>
      </c>
      <c r="E488" s="5" t="n">
        <v>45921</v>
      </c>
      <c r="F488" s="6" t="s">
        <v>55</v>
      </c>
      <c r="G488" s="1" t="n">
        <v>9</v>
      </c>
      <c r="H488" s="7" t="s">
        <v>87</v>
      </c>
      <c r="I488" s="6" t="s">
        <v>46</v>
      </c>
      <c r="J488" s="7" t="s">
        <v>44</v>
      </c>
      <c r="K488" s="7" t="s">
        <v>56</v>
      </c>
      <c r="L488" s="1" t="n">
        <v>80</v>
      </c>
      <c r="M488" s="1" t="n">
        <v>21.3</v>
      </c>
      <c r="N488" s="1" t="n">
        <v>12.2</v>
      </c>
      <c r="O488" s="1" t="n">
        <v>0</v>
      </c>
      <c r="P488" s="6" t="s">
        <v>43</v>
      </c>
      <c r="Q488" s="6" t="s">
        <v>43</v>
      </c>
      <c r="R488" s="1" t="n">
        <v>1006.2</v>
      </c>
      <c r="S488" s="1" t="n">
        <v>0</v>
      </c>
      <c r="T488" s="1" t="n">
        <v>39.2</v>
      </c>
      <c r="U488" s="1" t="n">
        <v>81.5</v>
      </c>
      <c r="V488" s="1" t="n">
        <v>489</v>
      </c>
      <c r="W488" s="1" t="n">
        <v>30.4</v>
      </c>
      <c r="X488" s="1" t="n">
        <v>16</v>
      </c>
      <c r="Y488" s="1" t="n">
        <v>45</v>
      </c>
      <c r="Z488" s="1" t="n">
        <v>99</v>
      </c>
      <c r="AA488" s="1" t="n">
        <v>125</v>
      </c>
      <c r="AB488" s="7" t="s">
        <v>81</v>
      </c>
      <c r="AC488" s="7" t="s">
        <v>82</v>
      </c>
      <c r="AD488" s="7" t="s">
        <v>83</v>
      </c>
      <c r="AE488" s="7" t="s">
        <v>84</v>
      </c>
      <c r="AF488" s="4" t="n">
        <f aca="false">IF(T488="","",IF(T488&lt;=30,(50/30)*T488,IF(T488&lt;=60,50+((100-50)/(60-30))*(T488-30),IF(T488&lt;=90,100+((200-100)/(90-60))*(T488-60),IF(T488&lt;=120,200+((300-200)/(120-90))*(T488-90),IF(T488&lt;=250,300+((400-300)/(250-120))*(T488-120),IF(T488&lt;=380,400+((500-400)/(380-250))*(T488-250),500)))))))</f>
        <v>65.3333333333333</v>
      </c>
      <c r="AG488" s="4" t="n">
        <f aca="false">IF(U488="","",IF(U488&lt;=50,(50/50)*U488,IF(U488&lt;=100,50+((100-50)/(100-50))*(U488-50),IF(U488&lt;=250,100+((200-100)/(250-100))*(U488-100),IF(U488&lt;=350,200+((300-200)/(350-250))*(U488-250),IF(U488&lt;=430,300+((400-300)/(430-350))*(U488-350),IF(U488&lt;=600,400+((500-400)/(600-430))*(U488-430),500)))))))</f>
        <v>81.5</v>
      </c>
      <c r="AH488" s="4" t="n">
        <f aca="false">IF(V488="","",IF((V488/1000)&lt;=1,(50/1)*(V488/1000),IF((V488/1000)&lt;=2,50+((100-50)/(2-1))*(V488/1000-1),IF((V488/1000)&lt;=10,100+((200-100)/(10-2))*(V488/1000-2),IF((V488/1000)&lt;=17,200+((300-200)/(17-10))*(V488/1000-10),IF((V488/1000)&lt;=34,300+((400-300)/(34-17))*(V488/1000-17),IF((V488/1000)&lt;=57,400+((500-400)/(57-34))*(V488/1000-34),500)))))))</f>
        <v>24.45</v>
      </c>
      <c r="AI488" s="4" t="n">
        <f aca="false">IF(W488="","",IF(W488&lt;=40,(50/40)*W488,IF(W488&lt;=80,50+((100-50)/(80-40))*(W488-40),IF(W488&lt;=180,100+((200-100)/(180-80))*(W488-80),IF(W488&lt;=280,200+((300-200)/(280-180))*(W488-180),IF(W488&lt;=400,300+((400-300)/(400-280))*(W488-280),IF(W488&lt;=800,400+((500-400)/(800-400))*(W488-400),500)))))))</f>
        <v>38</v>
      </c>
      <c r="AJ488" s="4" t="n">
        <f aca="false">IF(X488="","",IF(X488&lt;=40,(50/40)*X488,IF(X488&lt;=80,50+((100-50)/(80-40))*(X488-40),IF(X488&lt;=380,100+((200-100)/(380-80))*(X488-80),IF(X488&lt;=800,200+((300-200)/(800-380))*(X488-380),IF(X488&lt;=1600,300+((400-300)/(1600-800))*(X488-800),IF(X488&lt;=2100,400+((500-400)/(2100-1600))*(X488-1600),500)))))))</f>
        <v>20</v>
      </c>
      <c r="AK488" s="4" t="n">
        <f aca="false">IF(Y488="","",IF(Y488&lt;=50,(50/50)*Y488,IF(Y488&lt;=100,50+((100-50)/(100-50))*(Y488-50),IF(Y488&lt;=168,100+((200-100)/(168-100))*(Y488-100),IF(Y488&lt;=208,200+((300-200)/(208-168))*(Y488-168),IF(Y488&lt;=748,300+((400-300)/(748-208))*(Y488-208),IF(Y488&lt;=1000,400+((500-400)/(1000-748))*(Y488-748),500)))))))</f>
        <v>45</v>
      </c>
      <c r="AL488" s="4" t="n">
        <f aca="false">ROUND(MAX(AF488,AG488,AH488,AI488,AJ488,AK488),0)</f>
        <v>82</v>
      </c>
      <c r="AM488" s="4" t="str">
        <f aca="false">IF(AL488="","",IF(AL488&lt;=50,"Good",IF(AL488&lt;=100,"Satisfactory",IF(AL488&lt;=200,"Moderate",IF(AL488&lt;=300,"Poor",IF(AL488&lt;=400,"Very Poor","Severe"))))))</f>
        <v>Satisfactory</v>
      </c>
    </row>
    <row r="489" customFormat="false" ht="15.75" hidden="false" customHeight="false" outlineLevel="0" collapsed="false">
      <c r="A489" s="1" t="s">
        <v>39</v>
      </c>
      <c r="B489" s="1" t="s">
        <v>40</v>
      </c>
      <c r="C489" s="1" t="n">
        <v>28.4595</v>
      </c>
      <c r="D489" s="1" t="n">
        <v>77.0266</v>
      </c>
      <c r="E489" s="5" t="n">
        <v>45921</v>
      </c>
      <c r="F489" s="6" t="s">
        <v>57</v>
      </c>
      <c r="G489" s="1" t="n">
        <v>9</v>
      </c>
      <c r="H489" s="7" t="s">
        <v>87</v>
      </c>
      <c r="I489" s="6" t="s">
        <v>46</v>
      </c>
      <c r="J489" s="7" t="s">
        <v>44</v>
      </c>
      <c r="K489" s="7" t="s">
        <v>56</v>
      </c>
      <c r="L489" s="1" t="n">
        <v>77</v>
      </c>
      <c r="M489" s="1" t="n">
        <v>21.8</v>
      </c>
      <c r="N489" s="1" t="n">
        <v>13</v>
      </c>
      <c r="O489" s="1" t="n">
        <v>0</v>
      </c>
      <c r="P489" s="6" t="s">
        <v>43</v>
      </c>
      <c r="Q489" s="6" t="s">
        <v>43</v>
      </c>
      <c r="R489" s="1" t="n">
        <v>1006.5</v>
      </c>
      <c r="S489" s="1" t="n">
        <v>0</v>
      </c>
      <c r="T489" s="1" t="n">
        <v>45.4</v>
      </c>
      <c r="U489" s="1" t="n">
        <v>102.4</v>
      </c>
      <c r="V489" s="1" t="n">
        <v>578</v>
      </c>
      <c r="W489" s="1" t="n">
        <v>31.7</v>
      </c>
      <c r="X489" s="1" t="n">
        <v>16.8</v>
      </c>
      <c r="Y489" s="1" t="n">
        <v>53</v>
      </c>
      <c r="Z489" s="1" t="n">
        <v>118</v>
      </c>
      <c r="AA489" s="1" t="n">
        <v>122</v>
      </c>
      <c r="AB489" s="7" t="s">
        <v>81</v>
      </c>
      <c r="AC489" s="7" t="s">
        <v>82</v>
      </c>
      <c r="AD489" s="7" t="s">
        <v>83</v>
      </c>
      <c r="AE489" s="7" t="s">
        <v>84</v>
      </c>
      <c r="AF489" s="4" t="n">
        <f aca="false">IF(T489="","",IF(T489&lt;=30,(50/30)*T489,IF(T489&lt;=60,50+((100-50)/(60-30))*(T489-30),IF(T489&lt;=90,100+((200-100)/(90-60))*(T489-60),IF(T489&lt;=120,200+((300-200)/(120-90))*(T489-90),IF(T489&lt;=250,300+((400-300)/(250-120))*(T489-120),IF(T489&lt;=380,400+((500-400)/(380-250))*(T489-250),500)))))))</f>
        <v>75.6666666666667</v>
      </c>
      <c r="AG489" s="4" t="n">
        <f aca="false">IF(U489="","",IF(U489&lt;=50,(50/50)*U489,IF(U489&lt;=100,50+((100-50)/(100-50))*(U489-50),IF(U489&lt;=250,100+((200-100)/(250-100))*(U489-100),IF(U489&lt;=350,200+((300-200)/(350-250))*(U489-250),IF(U489&lt;=430,300+((400-300)/(430-350))*(U489-350),IF(U489&lt;=600,400+((500-400)/(600-430))*(U489-430),500)))))))</f>
        <v>101.6</v>
      </c>
      <c r="AH489" s="4" t="n">
        <f aca="false">IF(V489="","",IF((V489/1000)&lt;=1,(50/1)*(V489/1000),IF((V489/1000)&lt;=2,50+((100-50)/(2-1))*(V489/1000-1),IF((V489/1000)&lt;=10,100+((200-100)/(10-2))*(V489/1000-2),IF((V489/1000)&lt;=17,200+((300-200)/(17-10))*(V489/1000-10),IF((V489/1000)&lt;=34,300+((400-300)/(34-17))*(V489/1000-17),IF((V489/1000)&lt;=57,400+((500-400)/(57-34))*(V489/1000-34),500)))))))</f>
        <v>28.9</v>
      </c>
      <c r="AI489" s="4" t="n">
        <f aca="false">IF(W489="","",IF(W489&lt;=40,(50/40)*W489,IF(W489&lt;=80,50+((100-50)/(80-40))*(W489-40),IF(W489&lt;=180,100+((200-100)/(180-80))*(W489-80),IF(W489&lt;=280,200+((300-200)/(280-180))*(W489-180),IF(W489&lt;=400,300+((400-300)/(400-280))*(W489-280),IF(W489&lt;=800,400+((500-400)/(800-400))*(W489-400),500)))))))</f>
        <v>39.625</v>
      </c>
      <c r="AJ489" s="4" t="n">
        <f aca="false">IF(X489="","",IF(X489&lt;=40,(50/40)*X489,IF(X489&lt;=80,50+((100-50)/(80-40))*(X489-40),IF(X489&lt;=380,100+((200-100)/(380-80))*(X489-80),IF(X489&lt;=800,200+((300-200)/(800-380))*(X489-380),IF(X489&lt;=1600,300+((400-300)/(1600-800))*(X489-800),IF(X489&lt;=2100,400+((500-400)/(2100-1600))*(X489-1600),500)))))))</f>
        <v>21</v>
      </c>
      <c r="AK489" s="4" t="n">
        <f aca="false">IF(Y489="","",IF(Y489&lt;=50,(50/50)*Y489,IF(Y489&lt;=100,50+((100-50)/(100-50))*(Y489-50),IF(Y489&lt;=168,100+((200-100)/(168-100))*(Y489-100),IF(Y489&lt;=208,200+((300-200)/(208-168))*(Y489-168),IF(Y489&lt;=748,300+((400-300)/(748-208))*(Y489-208),IF(Y489&lt;=1000,400+((500-400)/(1000-748))*(Y489-748),500)))))))</f>
        <v>53</v>
      </c>
      <c r="AL489" s="4" t="n">
        <f aca="false">ROUND(MAX(AF489,AG489,AH489,AI489,AJ489,AK489),0)</f>
        <v>102</v>
      </c>
      <c r="AM489" s="4" t="str">
        <f aca="false">IF(AL489="","",IF(AL489&lt;=50,"Good",IF(AL489&lt;=100,"Satisfactory",IF(AL489&lt;=200,"Moderate",IF(AL489&lt;=300,"Poor",IF(AL489&lt;=400,"Very Poor","Severe"))))))</f>
        <v>Moderate</v>
      </c>
    </row>
    <row r="490" customFormat="false" ht="15.75" hidden="false" customHeight="false" outlineLevel="0" collapsed="false">
      <c r="A490" s="1" t="s">
        <v>39</v>
      </c>
      <c r="B490" s="1" t="s">
        <v>40</v>
      </c>
      <c r="C490" s="1" t="n">
        <v>28.4595</v>
      </c>
      <c r="D490" s="1" t="n">
        <v>77.0266</v>
      </c>
      <c r="E490" s="5" t="n">
        <v>45921</v>
      </c>
      <c r="F490" s="6" t="s">
        <v>58</v>
      </c>
      <c r="G490" s="1" t="n">
        <v>9</v>
      </c>
      <c r="H490" s="7" t="s">
        <v>87</v>
      </c>
      <c r="I490" s="6" t="s">
        <v>46</v>
      </c>
      <c r="J490" s="7" t="s">
        <v>44</v>
      </c>
      <c r="K490" s="7" t="s">
        <v>56</v>
      </c>
      <c r="L490" s="1" t="n">
        <v>69</v>
      </c>
      <c r="M490" s="1" t="n">
        <v>22.1</v>
      </c>
      <c r="N490" s="1" t="n">
        <v>15.8</v>
      </c>
      <c r="O490" s="1" t="n">
        <v>0</v>
      </c>
      <c r="P490" s="6" t="s">
        <v>43</v>
      </c>
      <c r="Q490" s="6" t="s">
        <v>43</v>
      </c>
      <c r="R490" s="1" t="n">
        <v>1007.1</v>
      </c>
      <c r="S490" s="1" t="n">
        <v>0</v>
      </c>
      <c r="T490" s="1" t="n">
        <v>45.3</v>
      </c>
      <c r="U490" s="1" t="n">
        <v>118</v>
      </c>
      <c r="V490" s="1" t="n">
        <v>604</v>
      </c>
      <c r="W490" s="1" t="n">
        <v>30.2</v>
      </c>
      <c r="X490" s="1" t="n">
        <v>17.5</v>
      </c>
      <c r="Y490" s="1" t="n">
        <v>68</v>
      </c>
      <c r="Z490" s="1" t="n">
        <v>139</v>
      </c>
      <c r="AA490" s="1" t="n">
        <v>121</v>
      </c>
      <c r="AB490" s="7" t="s">
        <v>81</v>
      </c>
      <c r="AC490" s="7" t="s">
        <v>82</v>
      </c>
      <c r="AD490" s="7" t="s">
        <v>83</v>
      </c>
      <c r="AE490" s="7" t="s">
        <v>84</v>
      </c>
      <c r="AF490" s="4" t="n">
        <f aca="false">IF(T490="","",IF(T490&lt;=30,(50/30)*T490,IF(T490&lt;=60,50+((100-50)/(60-30))*(T490-30),IF(T490&lt;=90,100+((200-100)/(90-60))*(T490-60),IF(T490&lt;=120,200+((300-200)/(120-90))*(T490-90),IF(T490&lt;=250,300+((400-300)/(250-120))*(T490-120),IF(T490&lt;=380,400+((500-400)/(380-250))*(T490-250),500)))))))</f>
        <v>75.5</v>
      </c>
      <c r="AG490" s="4" t="n">
        <f aca="false">IF(U490="","",IF(U490&lt;=50,(50/50)*U490,IF(U490&lt;=100,50+((100-50)/(100-50))*(U490-50),IF(U490&lt;=250,100+((200-100)/(250-100))*(U490-100),IF(U490&lt;=350,200+((300-200)/(350-250))*(U490-250),IF(U490&lt;=430,300+((400-300)/(430-350))*(U490-350),IF(U490&lt;=600,400+((500-400)/(600-430))*(U490-430),500)))))))</f>
        <v>112</v>
      </c>
      <c r="AH490" s="4" t="n">
        <f aca="false">IF(V490="","",IF((V490/1000)&lt;=1,(50/1)*(V490/1000),IF((V490/1000)&lt;=2,50+((100-50)/(2-1))*(V490/1000-1),IF((V490/1000)&lt;=10,100+((200-100)/(10-2))*(V490/1000-2),IF((V490/1000)&lt;=17,200+((300-200)/(17-10))*(V490/1000-10),IF((V490/1000)&lt;=34,300+((400-300)/(34-17))*(V490/1000-17),IF((V490/1000)&lt;=57,400+((500-400)/(57-34))*(V490/1000-34),500)))))))</f>
        <v>30.2</v>
      </c>
      <c r="AI490" s="4" t="n">
        <f aca="false">IF(W490="","",IF(W490&lt;=40,(50/40)*W490,IF(W490&lt;=80,50+((100-50)/(80-40))*(W490-40),IF(W490&lt;=180,100+((200-100)/(180-80))*(W490-80),IF(W490&lt;=280,200+((300-200)/(280-180))*(W490-180),IF(W490&lt;=400,300+((400-300)/(400-280))*(W490-280),IF(W490&lt;=800,400+((500-400)/(800-400))*(W490-400),500)))))))</f>
        <v>37.75</v>
      </c>
      <c r="AJ490" s="4" t="n">
        <f aca="false">IF(X490="","",IF(X490&lt;=40,(50/40)*X490,IF(X490&lt;=80,50+((100-50)/(80-40))*(X490-40),IF(X490&lt;=380,100+((200-100)/(380-80))*(X490-80),IF(X490&lt;=800,200+((300-200)/(800-380))*(X490-380),IF(X490&lt;=1600,300+((400-300)/(1600-800))*(X490-800),IF(X490&lt;=2100,400+((500-400)/(2100-1600))*(X490-1600),500)))))))</f>
        <v>21.875</v>
      </c>
      <c r="AK490" s="4" t="n">
        <f aca="false">IF(Y490="","",IF(Y490&lt;=50,(50/50)*Y490,IF(Y490&lt;=100,50+((100-50)/(100-50))*(Y490-50),IF(Y490&lt;=168,100+((200-100)/(168-100))*(Y490-100),IF(Y490&lt;=208,200+((300-200)/(208-168))*(Y490-168),IF(Y490&lt;=748,300+((400-300)/(748-208))*(Y490-208),IF(Y490&lt;=1000,400+((500-400)/(1000-748))*(Y490-748),500)))))))</f>
        <v>68</v>
      </c>
      <c r="AL490" s="4" t="n">
        <f aca="false">ROUND(MAX(AF490,AG490,AH490,AI490,AJ490,AK490),0)</f>
        <v>112</v>
      </c>
      <c r="AM490" s="4" t="str">
        <f aca="false">IF(AL490="","",IF(AL490&lt;=50,"Good",IF(AL490&lt;=100,"Satisfactory",IF(AL490&lt;=200,"Moderate",IF(AL490&lt;=300,"Poor",IF(AL490&lt;=400,"Very Poor","Severe"))))))</f>
        <v>Moderate</v>
      </c>
    </row>
    <row r="491" customFormat="false" ht="15.75" hidden="false" customHeight="false" outlineLevel="0" collapsed="false">
      <c r="A491" s="1" t="s">
        <v>39</v>
      </c>
      <c r="B491" s="1" t="s">
        <v>40</v>
      </c>
      <c r="C491" s="1" t="n">
        <v>28.4595</v>
      </c>
      <c r="D491" s="1" t="n">
        <v>77.0266</v>
      </c>
      <c r="E491" s="5" t="n">
        <v>45921</v>
      </c>
      <c r="F491" s="6" t="s">
        <v>59</v>
      </c>
      <c r="G491" s="1" t="n">
        <v>9</v>
      </c>
      <c r="H491" s="7" t="s">
        <v>87</v>
      </c>
      <c r="I491" s="6" t="s">
        <v>46</v>
      </c>
      <c r="J491" s="7" t="s">
        <v>44</v>
      </c>
      <c r="K491" s="7" t="s">
        <v>60</v>
      </c>
      <c r="L491" s="1" t="n">
        <v>61</v>
      </c>
      <c r="M491" s="1" t="n">
        <v>22.2</v>
      </c>
      <c r="N491" s="1" t="n">
        <v>22.3</v>
      </c>
      <c r="O491" s="1" t="n">
        <v>0</v>
      </c>
      <c r="P491" s="6" t="s">
        <v>43</v>
      </c>
      <c r="Q491" s="6" t="s">
        <v>43</v>
      </c>
      <c r="R491" s="1" t="n">
        <v>1007.1</v>
      </c>
      <c r="S491" s="1" t="n">
        <v>0</v>
      </c>
      <c r="T491" s="1" t="n">
        <v>42.6</v>
      </c>
      <c r="U491" s="1" t="n">
        <v>129.5</v>
      </c>
      <c r="V491" s="1" t="n">
        <v>504</v>
      </c>
      <c r="W491" s="1" t="n">
        <v>23.5</v>
      </c>
      <c r="X491" s="1" t="n">
        <v>18.3</v>
      </c>
      <c r="Y491" s="1" t="n">
        <v>100</v>
      </c>
      <c r="Z491" s="1" t="n">
        <v>160</v>
      </c>
      <c r="AA491" s="1" t="n">
        <v>121</v>
      </c>
      <c r="AB491" s="7" t="s">
        <v>81</v>
      </c>
      <c r="AC491" s="7" t="s">
        <v>82</v>
      </c>
      <c r="AD491" s="7" t="s">
        <v>83</v>
      </c>
      <c r="AE491" s="7" t="s">
        <v>84</v>
      </c>
      <c r="AF491" s="4" t="n">
        <f aca="false">IF(T491="","",IF(T491&lt;=30,(50/30)*T491,IF(T491&lt;=60,50+((100-50)/(60-30))*(T491-30),IF(T491&lt;=90,100+((200-100)/(90-60))*(T491-60),IF(T491&lt;=120,200+((300-200)/(120-90))*(T491-90),IF(T491&lt;=250,300+((400-300)/(250-120))*(T491-120),IF(T491&lt;=380,400+((500-400)/(380-250))*(T491-250),500)))))))</f>
        <v>71</v>
      </c>
      <c r="AG491" s="4" t="n">
        <f aca="false">IF(U491="","",IF(U491&lt;=50,(50/50)*U491,IF(U491&lt;=100,50+((100-50)/(100-50))*(U491-50),IF(U491&lt;=250,100+((200-100)/(250-100))*(U491-100),IF(U491&lt;=350,200+((300-200)/(350-250))*(U491-250),IF(U491&lt;=430,300+((400-300)/(430-350))*(U491-350),IF(U491&lt;=600,400+((500-400)/(600-430))*(U491-430),500)))))))</f>
        <v>119.666666666667</v>
      </c>
      <c r="AH491" s="4" t="n">
        <f aca="false">IF(V491="","",IF((V491/1000)&lt;=1,(50/1)*(V491/1000),IF((V491/1000)&lt;=2,50+((100-50)/(2-1))*(V491/1000-1),IF((V491/1000)&lt;=10,100+((200-100)/(10-2))*(V491/1000-2),IF((V491/1000)&lt;=17,200+((300-200)/(17-10))*(V491/1000-10),IF((V491/1000)&lt;=34,300+((400-300)/(34-17))*(V491/1000-17),IF((V491/1000)&lt;=57,400+((500-400)/(57-34))*(V491/1000-34),500)))))))</f>
        <v>25.2</v>
      </c>
      <c r="AI491" s="4" t="n">
        <f aca="false">IF(W491="","",IF(W491&lt;=40,(50/40)*W491,IF(W491&lt;=80,50+((100-50)/(80-40))*(W491-40),IF(W491&lt;=180,100+((200-100)/(180-80))*(W491-80),IF(W491&lt;=280,200+((300-200)/(280-180))*(W491-180),IF(W491&lt;=400,300+((400-300)/(400-280))*(W491-280),IF(W491&lt;=800,400+((500-400)/(800-400))*(W491-400),500)))))))</f>
        <v>29.375</v>
      </c>
      <c r="AJ491" s="4" t="n">
        <f aca="false">IF(X491="","",IF(X491&lt;=40,(50/40)*X491,IF(X491&lt;=80,50+((100-50)/(80-40))*(X491-40),IF(X491&lt;=380,100+((200-100)/(380-80))*(X491-80),IF(X491&lt;=800,200+((300-200)/(800-380))*(X491-380),IF(X491&lt;=1600,300+((400-300)/(1600-800))*(X491-800),IF(X491&lt;=2100,400+((500-400)/(2100-1600))*(X491-1600),500)))))))</f>
        <v>22.875</v>
      </c>
      <c r="AK491" s="4" t="n">
        <f aca="false">IF(Y491="","",IF(Y491&lt;=50,(50/50)*Y491,IF(Y491&lt;=100,50+((100-50)/(100-50))*(Y491-50),IF(Y491&lt;=168,100+((200-100)/(168-100))*(Y491-100),IF(Y491&lt;=208,200+((300-200)/(208-168))*(Y491-168),IF(Y491&lt;=748,300+((400-300)/(748-208))*(Y491-208),IF(Y491&lt;=1000,400+((500-400)/(1000-748))*(Y491-748),500)))))))</f>
        <v>100</v>
      </c>
      <c r="AL491" s="4" t="n">
        <f aca="false">ROUND(MAX(AF491,AG491,AH491,AI491,AJ491,AK491),0)</f>
        <v>120</v>
      </c>
      <c r="AM491" s="4" t="str">
        <f aca="false">IF(AL491="","",IF(AL491&lt;=50,"Good",IF(AL491&lt;=100,"Satisfactory",IF(AL491&lt;=200,"Moderate",IF(AL491&lt;=300,"Poor",IF(AL491&lt;=400,"Very Poor","Severe"))))))</f>
        <v>Moderate</v>
      </c>
    </row>
    <row r="492" customFormat="false" ht="15.75" hidden="false" customHeight="false" outlineLevel="0" collapsed="false">
      <c r="A492" s="1" t="s">
        <v>39</v>
      </c>
      <c r="B492" s="1" t="s">
        <v>40</v>
      </c>
      <c r="C492" s="1" t="n">
        <v>28.4595</v>
      </c>
      <c r="D492" s="1" t="n">
        <v>77.0266</v>
      </c>
      <c r="E492" s="5" t="n">
        <v>45921</v>
      </c>
      <c r="F492" s="6" t="s">
        <v>61</v>
      </c>
      <c r="G492" s="1" t="n">
        <v>9</v>
      </c>
      <c r="H492" s="7" t="s">
        <v>87</v>
      </c>
      <c r="I492" s="6" t="s">
        <v>46</v>
      </c>
      <c r="J492" s="7" t="s">
        <v>44</v>
      </c>
      <c r="K492" s="7" t="s">
        <v>60</v>
      </c>
      <c r="L492" s="1" t="n">
        <v>53</v>
      </c>
      <c r="M492" s="1" t="n">
        <v>21.8</v>
      </c>
      <c r="N492" s="1" t="n">
        <v>27.7</v>
      </c>
      <c r="O492" s="1" t="n">
        <v>0</v>
      </c>
      <c r="P492" s="6" t="s">
        <v>43</v>
      </c>
      <c r="Q492" s="6" t="s">
        <v>43</v>
      </c>
      <c r="R492" s="1" t="n">
        <v>1006.7</v>
      </c>
      <c r="S492" s="1" t="n">
        <v>7</v>
      </c>
      <c r="T492" s="1" t="n">
        <v>39.5</v>
      </c>
      <c r="U492" s="1" t="n">
        <v>135.5</v>
      </c>
      <c r="V492" s="1" t="n">
        <v>341</v>
      </c>
      <c r="W492" s="1" t="n">
        <v>14.1</v>
      </c>
      <c r="X492" s="1" t="n">
        <v>19</v>
      </c>
      <c r="Y492" s="1" t="n">
        <v>140</v>
      </c>
      <c r="Z492" s="1" t="n">
        <v>182</v>
      </c>
      <c r="AA492" s="1" t="n">
        <v>121</v>
      </c>
      <c r="AB492" s="7" t="s">
        <v>81</v>
      </c>
      <c r="AC492" s="7" t="s">
        <v>82</v>
      </c>
      <c r="AD492" s="7" t="s">
        <v>83</v>
      </c>
      <c r="AE492" s="7" t="s">
        <v>84</v>
      </c>
      <c r="AF492" s="4" t="n">
        <f aca="false">IF(T492="","",IF(T492&lt;=30,(50/30)*T492,IF(T492&lt;=60,50+((100-50)/(60-30))*(T492-30),IF(T492&lt;=90,100+((200-100)/(90-60))*(T492-60),IF(T492&lt;=120,200+((300-200)/(120-90))*(T492-90),IF(T492&lt;=250,300+((400-300)/(250-120))*(T492-120),IF(T492&lt;=380,400+((500-400)/(380-250))*(T492-250),500)))))))</f>
        <v>65.8333333333333</v>
      </c>
      <c r="AG492" s="4" t="n">
        <f aca="false">IF(U492="","",IF(U492&lt;=50,(50/50)*U492,IF(U492&lt;=100,50+((100-50)/(100-50))*(U492-50),IF(U492&lt;=250,100+((200-100)/(250-100))*(U492-100),IF(U492&lt;=350,200+((300-200)/(350-250))*(U492-250),IF(U492&lt;=430,300+((400-300)/(430-350))*(U492-350),IF(U492&lt;=600,400+((500-400)/(600-430))*(U492-430),500)))))))</f>
        <v>123.666666666667</v>
      </c>
      <c r="AH492" s="4" t="n">
        <f aca="false">IF(V492="","",IF((V492/1000)&lt;=1,(50/1)*(V492/1000),IF((V492/1000)&lt;=2,50+((100-50)/(2-1))*(V492/1000-1),IF((V492/1000)&lt;=10,100+((200-100)/(10-2))*(V492/1000-2),IF((V492/1000)&lt;=17,200+((300-200)/(17-10))*(V492/1000-10),IF((V492/1000)&lt;=34,300+((400-300)/(34-17))*(V492/1000-17),IF((V492/1000)&lt;=57,400+((500-400)/(57-34))*(V492/1000-34),500)))))))</f>
        <v>17.05</v>
      </c>
      <c r="AI492" s="4" t="n">
        <f aca="false">IF(W492="","",IF(W492&lt;=40,(50/40)*W492,IF(W492&lt;=80,50+((100-50)/(80-40))*(W492-40),IF(W492&lt;=180,100+((200-100)/(180-80))*(W492-80),IF(W492&lt;=280,200+((300-200)/(280-180))*(W492-180),IF(W492&lt;=400,300+((400-300)/(400-280))*(W492-280),IF(W492&lt;=800,400+((500-400)/(800-400))*(W492-400),500)))))))</f>
        <v>17.625</v>
      </c>
      <c r="AJ492" s="4" t="n">
        <f aca="false">IF(X492="","",IF(X492&lt;=40,(50/40)*X492,IF(X492&lt;=80,50+((100-50)/(80-40))*(X492-40),IF(X492&lt;=380,100+((200-100)/(380-80))*(X492-80),IF(X492&lt;=800,200+((300-200)/(800-380))*(X492-380),IF(X492&lt;=1600,300+((400-300)/(1600-800))*(X492-800),IF(X492&lt;=2100,400+((500-400)/(2100-1600))*(X492-1600),500)))))))</f>
        <v>23.75</v>
      </c>
      <c r="AK492" s="4" t="n">
        <f aca="false">IF(Y492="","",IF(Y492&lt;=50,(50/50)*Y492,IF(Y492&lt;=100,50+((100-50)/(100-50))*(Y492-50),IF(Y492&lt;=168,100+((200-100)/(168-100))*(Y492-100),IF(Y492&lt;=208,200+((300-200)/(208-168))*(Y492-168),IF(Y492&lt;=748,300+((400-300)/(748-208))*(Y492-208),IF(Y492&lt;=1000,400+((500-400)/(1000-748))*(Y492-748),500)))))))</f>
        <v>158.823529411765</v>
      </c>
      <c r="AL492" s="4" t="n">
        <f aca="false">ROUND(MAX(AF492,AG492,AH492,AI492,AJ492,AK492),0)</f>
        <v>159</v>
      </c>
      <c r="AM492" s="4" t="str">
        <f aca="false">IF(AL492="","",IF(AL492&lt;=50,"Good",IF(AL492&lt;=100,"Satisfactory",IF(AL492&lt;=200,"Moderate",IF(AL492&lt;=300,"Poor",IF(AL492&lt;=400,"Very Poor","Severe"))))))</f>
        <v>Moderate</v>
      </c>
    </row>
    <row r="493" customFormat="false" ht="15.75" hidden="false" customHeight="false" outlineLevel="0" collapsed="false">
      <c r="A493" s="1" t="s">
        <v>39</v>
      </c>
      <c r="B493" s="1" t="s">
        <v>40</v>
      </c>
      <c r="C493" s="1" t="n">
        <v>28.4595</v>
      </c>
      <c r="D493" s="1" t="n">
        <v>77.0266</v>
      </c>
      <c r="E493" s="5" t="n">
        <v>45921</v>
      </c>
      <c r="F493" s="6" t="s">
        <v>62</v>
      </c>
      <c r="G493" s="1" t="n">
        <v>9</v>
      </c>
      <c r="H493" s="7" t="s">
        <v>87</v>
      </c>
      <c r="I493" s="6" t="s">
        <v>46</v>
      </c>
      <c r="J493" s="7" t="s">
        <v>44</v>
      </c>
      <c r="K493" s="7" t="s">
        <v>60</v>
      </c>
      <c r="L493" s="1" t="n">
        <v>43</v>
      </c>
      <c r="M493" s="1" t="n">
        <v>19.7</v>
      </c>
      <c r="N493" s="1" t="n">
        <v>34.9</v>
      </c>
      <c r="O493" s="1" t="n">
        <v>0</v>
      </c>
      <c r="P493" s="6" t="s">
        <v>43</v>
      </c>
      <c r="Q493" s="6" t="s">
        <v>43</v>
      </c>
      <c r="R493" s="1" t="n">
        <v>1005.8</v>
      </c>
      <c r="S493" s="1" t="n">
        <v>7</v>
      </c>
      <c r="T493" s="1" t="n">
        <v>37.1</v>
      </c>
      <c r="U493" s="1" t="n">
        <v>142.5</v>
      </c>
      <c r="V493" s="1" t="n">
        <v>219</v>
      </c>
      <c r="W493" s="1" t="n">
        <v>7</v>
      </c>
      <c r="X493" s="1" t="n">
        <v>18.8</v>
      </c>
      <c r="Y493" s="1" t="n">
        <v>168</v>
      </c>
      <c r="Z493" s="1" t="n">
        <v>204</v>
      </c>
      <c r="AA493" s="1" t="n">
        <v>122</v>
      </c>
      <c r="AB493" s="7" t="s">
        <v>81</v>
      </c>
      <c r="AC493" s="7" t="s">
        <v>82</v>
      </c>
      <c r="AD493" s="7" t="s">
        <v>83</v>
      </c>
      <c r="AE493" s="7" t="s">
        <v>84</v>
      </c>
      <c r="AF493" s="4" t="n">
        <f aca="false">IF(T493="","",IF(T493&lt;=30,(50/30)*T493,IF(T493&lt;=60,50+((100-50)/(60-30))*(T493-30),IF(T493&lt;=90,100+((200-100)/(90-60))*(T493-60),IF(T493&lt;=120,200+((300-200)/(120-90))*(T493-90),IF(T493&lt;=250,300+((400-300)/(250-120))*(T493-120),IF(T493&lt;=380,400+((500-400)/(380-250))*(T493-250),500)))))))</f>
        <v>61.8333333333333</v>
      </c>
      <c r="AG493" s="4" t="n">
        <f aca="false">IF(U493="","",IF(U493&lt;=50,(50/50)*U493,IF(U493&lt;=100,50+((100-50)/(100-50))*(U493-50),IF(U493&lt;=250,100+((200-100)/(250-100))*(U493-100),IF(U493&lt;=350,200+((300-200)/(350-250))*(U493-250),IF(U493&lt;=430,300+((400-300)/(430-350))*(U493-350),IF(U493&lt;=600,400+((500-400)/(600-430))*(U493-430),500)))))))</f>
        <v>128.333333333333</v>
      </c>
      <c r="AH493" s="4" t="n">
        <f aca="false">IF(V493="","",IF((V493/1000)&lt;=1,(50/1)*(V493/1000),IF((V493/1000)&lt;=2,50+((100-50)/(2-1))*(V493/1000-1),IF((V493/1000)&lt;=10,100+((200-100)/(10-2))*(V493/1000-2),IF((V493/1000)&lt;=17,200+((300-200)/(17-10))*(V493/1000-10),IF((V493/1000)&lt;=34,300+((400-300)/(34-17))*(V493/1000-17),IF((V493/1000)&lt;=57,400+((500-400)/(57-34))*(V493/1000-34),500)))))))</f>
        <v>10.95</v>
      </c>
      <c r="AI493" s="4" t="n">
        <f aca="false">IF(W493="","",IF(W493&lt;=40,(50/40)*W493,IF(W493&lt;=80,50+((100-50)/(80-40))*(W493-40),IF(W493&lt;=180,100+((200-100)/(180-80))*(W493-80),IF(W493&lt;=280,200+((300-200)/(280-180))*(W493-180),IF(W493&lt;=400,300+((400-300)/(400-280))*(W493-280),IF(W493&lt;=800,400+((500-400)/(800-400))*(W493-400),500)))))))</f>
        <v>8.75</v>
      </c>
      <c r="AJ493" s="4" t="n">
        <f aca="false">IF(X493="","",IF(X493&lt;=40,(50/40)*X493,IF(X493&lt;=80,50+((100-50)/(80-40))*(X493-40),IF(X493&lt;=380,100+((200-100)/(380-80))*(X493-80),IF(X493&lt;=800,200+((300-200)/(800-380))*(X493-380),IF(X493&lt;=1600,300+((400-300)/(1600-800))*(X493-800),IF(X493&lt;=2100,400+((500-400)/(2100-1600))*(X493-1600),500)))))))</f>
        <v>23.5</v>
      </c>
      <c r="AK493" s="4" t="n">
        <f aca="false">IF(Y493="","",IF(Y493&lt;=50,(50/50)*Y493,IF(Y493&lt;=100,50+((100-50)/(100-50))*(Y493-50),IF(Y493&lt;=168,100+((200-100)/(168-100))*(Y493-100),IF(Y493&lt;=208,200+((300-200)/(208-168))*(Y493-168),IF(Y493&lt;=748,300+((400-300)/(748-208))*(Y493-208),IF(Y493&lt;=1000,400+((500-400)/(1000-748))*(Y493-748),500)))))))</f>
        <v>200</v>
      </c>
      <c r="AL493" s="4" t="n">
        <f aca="false">ROUND(MAX(AF493,AG493,AH493,AI493,AJ493,AK493),0)</f>
        <v>200</v>
      </c>
      <c r="AM493" s="4" t="str">
        <f aca="false">IF(AL493="","",IF(AL493&lt;=50,"Good",IF(AL493&lt;=100,"Satisfactory",IF(AL493&lt;=200,"Moderate",IF(AL493&lt;=300,"Poor",IF(AL493&lt;=400,"Very Poor","Severe"))))))</f>
        <v>Moderate</v>
      </c>
    </row>
    <row r="494" customFormat="false" ht="15.75" hidden="false" customHeight="false" outlineLevel="0" collapsed="false">
      <c r="A494" s="1" t="s">
        <v>39</v>
      </c>
      <c r="B494" s="1" t="s">
        <v>40</v>
      </c>
      <c r="C494" s="1" t="n">
        <v>28.4595</v>
      </c>
      <c r="D494" s="1" t="n">
        <v>77.0266</v>
      </c>
      <c r="E494" s="5" t="n">
        <v>45921</v>
      </c>
      <c r="F494" s="6" t="s">
        <v>63</v>
      </c>
      <c r="G494" s="1" t="n">
        <v>9</v>
      </c>
      <c r="H494" s="7" t="s">
        <v>87</v>
      </c>
      <c r="I494" s="6" t="s">
        <v>46</v>
      </c>
      <c r="J494" s="7" t="s">
        <v>44</v>
      </c>
      <c r="K494" s="7" t="s">
        <v>60</v>
      </c>
      <c r="L494" s="1" t="n">
        <v>40</v>
      </c>
      <c r="M494" s="1" t="n">
        <v>19.3</v>
      </c>
      <c r="N494" s="1" t="n">
        <v>36.4</v>
      </c>
      <c r="O494" s="1" t="n">
        <v>0</v>
      </c>
      <c r="P494" s="6" t="s">
        <v>43</v>
      </c>
      <c r="Q494" s="6" t="s">
        <v>43</v>
      </c>
      <c r="R494" s="1" t="n">
        <v>1004.9</v>
      </c>
      <c r="S494" s="1" t="n">
        <v>11</v>
      </c>
      <c r="T494" s="1" t="n">
        <v>35.6</v>
      </c>
      <c r="U494" s="1" t="n">
        <v>152.7</v>
      </c>
      <c r="V494" s="1" t="n">
        <v>182</v>
      </c>
      <c r="W494" s="1" t="n">
        <v>4</v>
      </c>
      <c r="X494" s="1" t="n">
        <v>16.7</v>
      </c>
      <c r="Y494" s="1" t="n">
        <v>173</v>
      </c>
      <c r="Z494" s="1" t="n">
        <v>227</v>
      </c>
      <c r="AA494" s="1" t="n">
        <v>122</v>
      </c>
      <c r="AB494" s="7" t="s">
        <v>81</v>
      </c>
      <c r="AC494" s="7" t="s">
        <v>82</v>
      </c>
      <c r="AD494" s="7" t="s">
        <v>83</v>
      </c>
      <c r="AE494" s="7" t="s">
        <v>84</v>
      </c>
      <c r="AF494" s="4" t="n">
        <f aca="false">IF(T494="","",IF(T494&lt;=30,(50/30)*T494,IF(T494&lt;=60,50+((100-50)/(60-30))*(T494-30),IF(T494&lt;=90,100+((200-100)/(90-60))*(T494-60),IF(T494&lt;=120,200+((300-200)/(120-90))*(T494-90),IF(T494&lt;=250,300+((400-300)/(250-120))*(T494-120),IF(T494&lt;=380,400+((500-400)/(380-250))*(T494-250),500)))))))</f>
        <v>59.3333333333333</v>
      </c>
      <c r="AG494" s="4" t="n">
        <f aca="false">IF(U494="","",IF(U494&lt;=50,(50/50)*U494,IF(U494&lt;=100,50+((100-50)/(100-50))*(U494-50),IF(U494&lt;=250,100+((200-100)/(250-100))*(U494-100),IF(U494&lt;=350,200+((300-200)/(350-250))*(U494-250),IF(U494&lt;=430,300+((400-300)/(430-350))*(U494-350),IF(U494&lt;=600,400+((500-400)/(600-430))*(U494-430),500)))))))</f>
        <v>135.133333333333</v>
      </c>
      <c r="AH494" s="4" t="n">
        <f aca="false">IF(V494="","",IF((V494/1000)&lt;=1,(50/1)*(V494/1000),IF((V494/1000)&lt;=2,50+((100-50)/(2-1))*(V494/1000-1),IF((V494/1000)&lt;=10,100+((200-100)/(10-2))*(V494/1000-2),IF((V494/1000)&lt;=17,200+((300-200)/(17-10))*(V494/1000-10),IF((V494/1000)&lt;=34,300+((400-300)/(34-17))*(V494/1000-17),IF((V494/1000)&lt;=57,400+((500-400)/(57-34))*(V494/1000-34),500)))))))</f>
        <v>9.1</v>
      </c>
      <c r="AI494" s="4" t="n">
        <f aca="false">IF(W494="","",IF(W494&lt;=40,(50/40)*W494,IF(W494&lt;=80,50+((100-50)/(80-40))*(W494-40),IF(W494&lt;=180,100+((200-100)/(180-80))*(W494-80),IF(W494&lt;=280,200+((300-200)/(280-180))*(W494-180),IF(W494&lt;=400,300+((400-300)/(400-280))*(W494-280),IF(W494&lt;=800,400+((500-400)/(800-400))*(W494-400),500)))))))</f>
        <v>5</v>
      </c>
      <c r="AJ494" s="4" t="n">
        <f aca="false">IF(X494="","",IF(X494&lt;=40,(50/40)*X494,IF(X494&lt;=80,50+((100-50)/(80-40))*(X494-40),IF(X494&lt;=380,100+((200-100)/(380-80))*(X494-80),IF(X494&lt;=800,200+((300-200)/(800-380))*(X494-380),IF(X494&lt;=1600,300+((400-300)/(1600-800))*(X494-800),IF(X494&lt;=2100,400+((500-400)/(2100-1600))*(X494-1600),500)))))))</f>
        <v>20.875</v>
      </c>
      <c r="AK494" s="4" t="n">
        <f aca="false">IF(Y494="","",IF(Y494&lt;=50,(50/50)*Y494,IF(Y494&lt;=100,50+((100-50)/(100-50))*(Y494-50),IF(Y494&lt;=168,100+((200-100)/(168-100))*(Y494-100),IF(Y494&lt;=208,200+((300-200)/(208-168))*(Y494-168),IF(Y494&lt;=748,300+((400-300)/(748-208))*(Y494-208),IF(Y494&lt;=1000,400+((500-400)/(1000-748))*(Y494-748),500)))))))</f>
        <v>212.5</v>
      </c>
      <c r="AL494" s="4" t="n">
        <f aca="false">ROUND(MAX(AF494,AG494,AH494,AI494,AJ494,AK494),0)</f>
        <v>213</v>
      </c>
      <c r="AM494" s="4" t="str">
        <f aca="false">IF(AL494="","",IF(AL494&lt;=50,"Good",IF(AL494&lt;=100,"Satisfactory",IF(AL494&lt;=200,"Moderate",IF(AL494&lt;=300,"Poor",IF(AL494&lt;=400,"Very Poor","Severe"))))))</f>
        <v>Poor</v>
      </c>
    </row>
    <row r="495" customFormat="false" ht="15.75" hidden="false" customHeight="false" outlineLevel="0" collapsed="false">
      <c r="A495" s="1" t="s">
        <v>39</v>
      </c>
      <c r="B495" s="1" t="s">
        <v>40</v>
      </c>
      <c r="C495" s="1" t="n">
        <v>28.4595</v>
      </c>
      <c r="D495" s="1" t="n">
        <v>77.0266</v>
      </c>
      <c r="E495" s="5" t="n">
        <v>45921</v>
      </c>
      <c r="F495" s="6" t="s">
        <v>64</v>
      </c>
      <c r="G495" s="1" t="n">
        <v>9</v>
      </c>
      <c r="H495" s="7" t="s">
        <v>87</v>
      </c>
      <c r="I495" s="6" t="s">
        <v>46</v>
      </c>
      <c r="J495" s="7" t="s">
        <v>44</v>
      </c>
      <c r="K495" s="7" t="s">
        <v>65</v>
      </c>
      <c r="L495" s="1" t="n">
        <v>39</v>
      </c>
      <c r="M495" s="1" t="n">
        <v>19</v>
      </c>
      <c r="N495" s="1" t="n">
        <v>36.7</v>
      </c>
      <c r="O495" s="1" t="n">
        <v>0</v>
      </c>
      <c r="P495" s="6" t="s">
        <v>43</v>
      </c>
      <c r="Q495" s="6" t="s">
        <v>43</v>
      </c>
      <c r="R495" s="1" t="n">
        <v>1003.8</v>
      </c>
      <c r="S495" s="1" t="n">
        <v>9</v>
      </c>
      <c r="T495" s="1" t="n">
        <v>33.8</v>
      </c>
      <c r="U495" s="1" t="n">
        <v>162.5</v>
      </c>
      <c r="V495" s="1" t="n">
        <v>186</v>
      </c>
      <c r="W495" s="1" t="n">
        <v>3.4</v>
      </c>
      <c r="X495" s="1" t="n">
        <v>13.7</v>
      </c>
      <c r="Y495" s="1" t="n">
        <v>164</v>
      </c>
      <c r="Z495" s="1" t="n">
        <v>251</v>
      </c>
      <c r="AA495" s="1" t="n">
        <v>122</v>
      </c>
      <c r="AB495" s="7" t="s">
        <v>81</v>
      </c>
      <c r="AC495" s="7" t="s">
        <v>82</v>
      </c>
      <c r="AD495" s="7" t="s">
        <v>83</v>
      </c>
      <c r="AE495" s="7" t="s">
        <v>84</v>
      </c>
      <c r="AF495" s="4" t="n">
        <f aca="false">IF(T495="","",IF(T495&lt;=30,(50/30)*T495,IF(T495&lt;=60,50+((100-50)/(60-30))*(T495-30),IF(T495&lt;=90,100+((200-100)/(90-60))*(T495-60),IF(T495&lt;=120,200+((300-200)/(120-90))*(T495-90),IF(T495&lt;=250,300+((400-300)/(250-120))*(T495-120),IF(T495&lt;=380,400+((500-400)/(380-250))*(T495-250),500)))))))</f>
        <v>56.3333333333333</v>
      </c>
      <c r="AG495" s="4" t="n">
        <f aca="false">IF(U495="","",IF(U495&lt;=50,(50/50)*U495,IF(U495&lt;=100,50+((100-50)/(100-50))*(U495-50),IF(U495&lt;=250,100+((200-100)/(250-100))*(U495-100),IF(U495&lt;=350,200+((300-200)/(350-250))*(U495-250),IF(U495&lt;=430,300+((400-300)/(430-350))*(U495-350),IF(U495&lt;=600,400+((500-400)/(600-430))*(U495-430),500)))))))</f>
        <v>141.666666666667</v>
      </c>
      <c r="AH495" s="4" t="n">
        <f aca="false">IF(V495="","",IF((V495/1000)&lt;=1,(50/1)*(V495/1000),IF((V495/1000)&lt;=2,50+((100-50)/(2-1))*(V495/1000-1),IF((V495/1000)&lt;=10,100+((200-100)/(10-2))*(V495/1000-2),IF((V495/1000)&lt;=17,200+((300-200)/(17-10))*(V495/1000-10),IF((V495/1000)&lt;=34,300+((400-300)/(34-17))*(V495/1000-17),IF((V495/1000)&lt;=57,400+((500-400)/(57-34))*(V495/1000-34),500)))))))</f>
        <v>9.3</v>
      </c>
      <c r="AI495" s="4" t="n">
        <f aca="false">IF(W495="","",IF(W495&lt;=40,(50/40)*W495,IF(W495&lt;=80,50+((100-50)/(80-40))*(W495-40),IF(W495&lt;=180,100+((200-100)/(180-80))*(W495-80),IF(W495&lt;=280,200+((300-200)/(280-180))*(W495-180),IF(W495&lt;=400,300+((400-300)/(400-280))*(W495-280),IF(W495&lt;=800,400+((500-400)/(800-400))*(W495-400),500)))))))</f>
        <v>4.25</v>
      </c>
      <c r="AJ495" s="4" t="n">
        <f aca="false">IF(X495="","",IF(X495&lt;=40,(50/40)*X495,IF(X495&lt;=80,50+((100-50)/(80-40))*(X495-40),IF(X495&lt;=380,100+((200-100)/(380-80))*(X495-80),IF(X495&lt;=800,200+((300-200)/(800-380))*(X495-380),IF(X495&lt;=1600,300+((400-300)/(1600-800))*(X495-800),IF(X495&lt;=2100,400+((500-400)/(2100-1600))*(X495-1600),500)))))))</f>
        <v>17.125</v>
      </c>
      <c r="AK495" s="4" t="n">
        <f aca="false">IF(Y495="","",IF(Y495&lt;=50,(50/50)*Y495,IF(Y495&lt;=100,50+((100-50)/(100-50))*(Y495-50),IF(Y495&lt;=168,100+((200-100)/(168-100))*(Y495-100),IF(Y495&lt;=208,200+((300-200)/(208-168))*(Y495-168),IF(Y495&lt;=748,300+((400-300)/(748-208))*(Y495-208),IF(Y495&lt;=1000,400+((500-400)/(1000-748))*(Y495-748),500)))))))</f>
        <v>194.117647058824</v>
      </c>
      <c r="AL495" s="4" t="n">
        <f aca="false">ROUND(MAX(AF495,AG495,AH495,AI495,AJ495,AK495),0)</f>
        <v>194</v>
      </c>
      <c r="AM495" s="4" t="str">
        <f aca="false">IF(AL495="","",IF(AL495&lt;=50,"Good",IF(AL495&lt;=100,"Satisfactory",IF(AL495&lt;=200,"Moderate",IF(AL495&lt;=300,"Poor",IF(AL495&lt;=400,"Very Poor","Severe"))))))</f>
        <v>Moderate</v>
      </c>
    </row>
    <row r="496" customFormat="false" ht="15.75" hidden="false" customHeight="false" outlineLevel="0" collapsed="false">
      <c r="A496" s="1" t="s">
        <v>39</v>
      </c>
      <c r="B496" s="1" t="s">
        <v>40</v>
      </c>
      <c r="C496" s="1" t="n">
        <v>28.4595</v>
      </c>
      <c r="D496" s="1" t="n">
        <v>77.0266</v>
      </c>
      <c r="E496" s="5" t="n">
        <v>45921</v>
      </c>
      <c r="F496" s="6" t="s">
        <v>66</v>
      </c>
      <c r="G496" s="1" t="n">
        <v>9</v>
      </c>
      <c r="H496" s="7" t="s">
        <v>87</v>
      </c>
      <c r="I496" s="6" t="s">
        <v>46</v>
      </c>
      <c r="J496" s="7" t="s">
        <v>44</v>
      </c>
      <c r="K496" s="7" t="s">
        <v>65</v>
      </c>
      <c r="L496" s="1" t="n">
        <v>38</v>
      </c>
      <c r="M496" s="1" t="n">
        <v>18.9</v>
      </c>
      <c r="N496" s="1" t="n">
        <v>37.4</v>
      </c>
      <c r="O496" s="1" t="n">
        <v>0</v>
      </c>
      <c r="P496" s="6" t="s">
        <v>43</v>
      </c>
      <c r="Q496" s="6" t="s">
        <v>43</v>
      </c>
      <c r="R496" s="1" t="n">
        <v>1002.7</v>
      </c>
      <c r="S496" s="1" t="n">
        <v>11</v>
      </c>
      <c r="T496" s="1" t="n">
        <v>32.4</v>
      </c>
      <c r="U496" s="1" t="n">
        <v>170.4</v>
      </c>
      <c r="V496" s="1" t="n">
        <v>205</v>
      </c>
      <c r="W496" s="1" t="n">
        <v>4.5</v>
      </c>
      <c r="X496" s="1" t="n">
        <v>11.4</v>
      </c>
      <c r="Y496" s="1" t="n">
        <v>153</v>
      </c>
      <c r="Z496" s="1" t="n">
        <v>272</v>
      </c>
      <c r="AA496" s="1" t="n">
        <v>122</v>
      </c>
      <c r="AB496" s="7" t="s">
        <v>81</v>
      </c>
      <c r="AC496" s="7" t="s">
        <v>82</v>
      </c>
      <c r="AD496" s="7" t="s">
        <v>83</v>
      </c>
      <c r="AE496" s="7" t="s">
        <v>84</v>
      </c>
      <c r="AF496" s="4" t="n">
        <f aca="false">IF(T496="","",IF(T496&lt;=30,(50/30)*T496,IF(T496&lt;=60,50+((100-50)/(60-30))*(T496-30),IF(T496&lt;=90,100+((200-100)/(90-60))*(T496-60),IF(T496&lt;=120,200+((300-200)/(120-90))*(T496-90),IF(T496&lt;=250,300+((400-300)/(250-120))*(T496-120),IF(T496&lt;=380,400+((500-400)/(380-250))*(T496-250),500)))))))</f>
        <v>54</v>
      </c>
      <c r="AG496" s="4" t="n">
        <f aca="false">IF(U496="","",IF(U496&lt;=50,(50/50)*U496,IF(U496&lt;=100,50+((100-50)/(100-50))*(U496-50),IF(U496&lt;=250,100+((200-100)/(250-100))*(U496-100),IF(U496&lt;=350,200+((300-200)/(350-250))*(U496-250),IF(U496&lt;=430,300+((400-300)/(430-350))*(U496-350),IF(U496&lt;=600,400+((500-400)/(600-430))*(U496-430),500)))))))</f>
        <v>146.933333333333</v>
      </c>
      <c r="AH496" s="4" t="n">
        <f aca="false">IF(V496="","",IF((V496/1000)&lt;=1,(50/1)*(V496/1000),IF((V496/1000)&lt;=2,50+((100-50)/(2-1))*(V496/1000-1),IF((V496/1000)&lt;=10,100+((200-100)/(10-2))*(V496/1000-2),IF((V496/1000)&lt;=17,200+((300-200)/(17-10))*(V496/1000-10),IF((V496/1000)&lt;=34,300+((400-300)/(34-17))*(V496/1000-17),IF((V496/1000)&lt;=57,400+((500-400)/(57-34))*(V496/1000-34),500)))))))</f>
        <v>10.25</v>
      </c>
      <c r="AI496" s="4" t="n">
        <f aca="false">IF(W496="","",IF(W496&lt;=40,(50/40)*W496,IF(W496&lt;=80,50+((100-50)/(80-40))*(W496-40),IF(W496&lt;=180,100+((200-100)/(180-80))*(W496-80),IF(W496&lt;=280,200+((300-200)/(280-180))*(W496-180),IF(W496&lt;=400,300+((400-300)/(400-280))*(W496-280),IF(W496&lt;=800,400+((500-400)/(800-400))*(W496-400),500)))))))</f>
        <v>5.625</v>
      </c>
      <c r="AJ496" s="4" t="n">
        <f aca="false">IF(X496="","",IF(X496&lt;=40,(50/40)*X496,IF(X496&lt;=80,50+((100-50)/(80-40))*(X496-40),IF(X496&lt;=380,100+((200-100)/(380-80))*(X496-80),IF(X496&lt;=800,200+((300-200)/(800-380))*(X496-380),IF(X496&lt;=1600,300+((400-300)/(1600-800))*(X496-800),IF(X496&lt;=2100,400+((500-400)/(2100-1600))*(X496-1600),500)))))))</f>
        <v>14.25</v>
      </c>
      <c r="AK496" s="4" t="n">
        <f aca="false">IF(Y496="","",IF(Y496&lt;=50,(50/50)*Y496,IF(Y496&lt;=100,50+((100-50)/(100-50))*(Y496-50),IF(Y496&lt;=168,100+((200-100)/(168-100))*(Y496-100),IF(Y496&lt;=208,200+((300-200)/(208-168))*(Y496-168),IF(Y496&lt;=748,300+((400-300)/(748-208))*(Y496-208),IF(Y496&lt;=1000,400+((500-400)/(1000-748))*(Y496-748),500)))))))</f>
        <v>177.941176470588</v>
      </c>
      <c r="AL496" s="4" t="n">
        <f aca="false">ROUND(MAX(AF496,AG496,AH496,AI496,AJ496,AK496),0)</f>
        <v>178</v>
      </c>
      <c r="AM496" s="4" t="str">
        <f aca="false">IF(AL496="","",IF(AL496&lt;=50,"Good",IF(AL496&lt;=100,"Satisfactory",IF(AL496&lt;=200,"Moderate",IF(AL496&lt;=300,"Poor",IF(AL496&lt;=400,"Very Poor","Severe"))))))</f>
        <v>Moderate</v>
      </c>
    </row>
    <row r="497" customFormat="false" ht="15.75" hidden="false" customHeight="false" outlineLevel="0" collapsed="false">
      <c r="A497" s="1" t="s">
        <v>39</v>
      </c>
      <c r="B497" s="1" t="s">
        <v>40</v>
      </c>
      <c r="C497" s="1" t="n">
        <v>28.4595</v>
      </c>
      <c r="D497" s="1" t="n">
        <v>77.0266</v>
      </c>
      <c r="E497" s="5" t="n">
        <v>45921</v>
      </c>
      <c r="F497" s="6" t="s">
        <v>67</v>
      </c>
      <c r="G497" s="1" t="n">
        <v>9</v>
      </c>
      <c r="H497" s="7" t="s">
        <v>87</v>
      </c>
      <c r="I497" s="6" t="s">
        <v>46</v>
      </c>
      <c r="J497" s="7" t="s">
        <v>44</v>
      </c>
      <c r="K497" s="7" t="s">
        <v>65</v>
      </c>
      <c r="L497" s="1" t="n">
        <v>39</v>
      </c>
      <c r="M497" s="1" t="n">
        <v>18.8</v>
      </c>
      <c r="N497" s="1" t="n">
        <v>37.4</v>
      </c>
      <c r="O497" s="1" t="n">
        <v>0</v>
      </c>
      <c r="P497" s="6" t="s">
        <v>43</v>
      </c>
      <c r="Q497" s="6" t="s">
        <v>43</v>
      </c>
      <c r="R497" s="1" t="n">
        <v>1002.2</v>
      </c>
      <c r="S497" s="1" t="n">
        <v>10</v>
      </c>
      <c r="T497" s="1" t="n">
        <v>32.2</v>
      </c>
      <c r="U497" s="1" t="n">
        <v>182.5</v>
      </c>
      <c r="V497" s="1" t="n">
        <v>222</v>
      </c>
      <c r="W497" s="1" t="n">
        <v>7.5</v>
      </c>
      <c r="X497" s="1" t="n">
        <v>10.5</v>
      </c>
      <c r="Y497" s="1" t="n">
        <v>141</v>
      </c>
      <c r="Z497" s="1" t="n">
        <v>290</v>
      </c>
      <c r="AA497" s="1" t="n">
        <v>122</v>
      </c>
      <c r="AB497" s="7" t="s">
        <v>81</v>
      </c>
      <c r="AC497" s="7" t="s">
        <v>82</v>
      </c>
      <c r="AD497" s="7" t="s">
        <v>83</v>
      </c>
      <c r="AE497" s="7" t="s">
        <v>84</v>
      </c>
      <c r="AF497" s="4" t="n">
        <f aca="false">IF(T497="","",IF(T497&lt;=30,(50/30)*T497,IF(T497&lt;=60,50+((100-50)/(60-30))*(T497-30),IF(T497&lt;=90,100+((200-100)/(90-60))*(T497-60),IF(T497&lt;=120,200+((300-200)/(120-90))*(T497-90),IF(T497&lt;=250,300+((400-300)/(250-120))*(T497-120),IF(T497&lt;=380,400+((500-400)/(380-250))*(T497-250),500)))))))</f>
        <v>53.6666666666667</v>
      </c>
      <c r="AG497" s="4" t="n">
        <f aca="false">IF(U497="","",IF(U497&lt;=50,(50/50)*U497,IF(U497&lt;=100,50+((100-50)/(100-50))*(U497-50),IF(U497&lt;=250,100+((200-100)/(250-100))*(U497-100),IF(U497&lt;=350,200+((300-200)/(350-250))*(U497-250),IF(U497&lt;=430,300+((400-300)/(430-350))*(U497-350),IF(U497&lt;=600,400+((500-400)/(600-430))*(U497-430),500)))))))</f>
        <v>155</v>
      </c>
      <c r="AH497" s="4" t="n">
        <f aca="false">IF(V497="","",IF((V497/1000)&lt;=1,(50/1)*(V497/1000),IF((V497/1000)&lt;=2,50+((100-50)/(2-1))*(V497/1000-1),IF((V497/1000)&lt;=10,100+((200-100)/(10-2))*(V497/1000-2),IF((V497/1000)&lt;=17,200+((300-200)/(17-10))*(V497/1000-10),IF((V497/1000)&lt;=34,300+((400-300)/(34-17))*(V497/1000-17),IF((V497/1000)&lt;=57,400+((500-400)/(57-34))*(V497/1000-34),500)))))))</f>
        <v>11.1</v>
      </c>
      <c r="AI497" s="4" t="n">
        <f aca="false">IF(W497="","",IF(W497&lt;=40,(50/40)*W497,IF(W497&lt;=80,50+((100-50)/(80-40))*(W497-40),IF(W497&lt;=180,100+((200-100)/(180-80))*(W497-80),IF(W497&lt;=280,200+((300-200)/(280-180))*(W497-180),IF(W497&lt;=400,300+((400-300)/(400-280))*(W497-280),IF(W497&lt;=800,400+((500-400)/(800-400))*(W497-400),500)))))))</f>
        <v>9.375</v>
      </c>
      <c r="AJ497" s="4" t="n">
        <f aca="false">IF(X497="","",IF(X497&lt;=40,(50/40)*X497,IF(X497&lt;=80,50+((100-50)/(80-40))*(X497-40),IF(X497&lt;=380,100+((200-100)/(380-80))*(X497-80),IF(X497&lt;=800,200+((300-200)/(800-380))*(X497-380),IF(X497&lt;=1600,300+((400-300)/(1600-800))*(X497-800),IF(X497&lt;=2100,400+((500-400)/(2100-1600))*(X497-1600),500)))))))</f>
        <v>13.125</v>
      </c>
      <c r="AK497" s="4" t="n">
        <f aca="false">IF(Y497="","",IF(Y497&lt;=50,(50/50)*Y497,IF(Y497&lt;=100,50+((100-50)/(100-50))*(Y497-50),IF(Y497&lt;=168,100+((200-100)/(168-100))*(Y497-100),IF(Y497&lt;=208,200+((300-200)/(208-168))*(Y497-168),IF(Y497&lt;=748,300+((400-300)/(748-208))*(Y497-208),IF(Y497&lt;=1000,400+((500-400)/(1000-748))*(Y497-748),500)))))))</f>
        <v>160.294117647059</v>
      </c>
      <c r="AL497" s="4" t="n">
        <f aca="false">ROUND(MAX(AF497,AG497,AH497,AI497,AJ497,AK497),0)</f>
        <v>160</v>
      </c>
      <c r="AM497" s="4" t="str">
        <f aca="false">IF(AL497="","",IF(AL497&lt;=50,"Good",IF(AL497&lt;=100,"Satisfactory",IF(AL497&lt;=200,"Moderate",IF(AL497&lt;=300,"Poor",IF(AL497&lt;=400,"Very Poor","Severe"))))))</f>
        <v>Moderate</v>
      </c>
    </row>
    <row r="498" customFormat="false" ht="15.75" hidden="false" customHeight="false" outlineLevel="0" collapsed="false">
      <c r="A498" s="1" t="s">
        <v>39</v>
      </c>
      <c r="B498" s="1" t="s">
        <v>40</v>
      </c>
      <c r="C498" s="1" t="n">
        <v>28.4595</v>
      </c>
      <c r="D498" s="1" t="n">
        <v>77.0266</v>
      </c>
      <c r="E498" s="5" t="n">
        <v>45921</v>
      </c>
      <c r="F498" s="6" t="s">
        <v>68</v>
      </c>
      <c r="G498" s="1" t="n">
        <v>9</v>
      </c>
      <c r="H498" s="7" t="s">
        <v>87</v>
      </c>
      <c r="I498" s="6" t="s">
        <v>46</v>
      </c>
      <c r="J498" s="7" t="s">
        <v>44</v>
      </c>
      <c r="K498" s="7" t="s">
        <v>65</v>
      </c>
      <c r="L498" s="1" t="n">
        <v>41</v>
      </c>
      <c r="M498" s="1" t="n">
        <v>19.1</v>
      </c>
      <c r="N498" s="1" t="n">
        <v>36</v>
      </c>
      <c r="O498" s="1" t="n">
        <v>0</v>
      </c>
      <c r="P498" s="6" t="s">
        <v>43</v>
      </c>
      <c r="Q498" s="6" t="s">
        <v>43</v>
      </c>
      <c r="R498" s="1" t="n">
        <v>1001.9</v>
      </c>
      <c r="S498" s="1" t="n">
        <v>7</v>
      </c>
      <c r="T498" s="1" t="n">
        <v>34</v>
      </c>
      <c r="U498" s="1" t="n">
        <v>192.8</v>
      </c>
      <c r="V498" s="1" t="n">
        <v>254</v>
      </c>
      <c r="W498" s="1" t="n">
        <v>12.2</v>
      </c>
      <c r="X498" s="1" t="n">
        <v>10.4</v>
      </c>
      <c r="Y498" s="1" t="n">
        <v>126</v>
      </c>
      <c r="Z498" s="1" t="n">
        <v>306</v>
      </c>
      <c r="AA498" s="1" t="n">
        <v>122</v>
      </c>
      <c r="AB498" s="7" t="s">
        <v>81</v>
      </c>
      <c r="AC498" s="7" t="s">
        <v>82</v>
      </c>
      <c r="AD498" s="7" t="s">
        <v>83</v>
      </c>
      <c r="AE498" s="7" t="s">
        <v>84</v>
      </c>
      <c r="AF498" s="4" t="n">
        <f aca="false">IF(T498="","",IF(T498&lt;=30,(50/30)*T498,IF(T498&lt;=60,50+((100-50)/(60-30))*(T498-30),IF(T498&lt;=90,100+((200-100)/(90-60))*(T498-60),IF(T498&lt;=120,200+((300-200)/(120-90))*(T498-90),IF(T498&lt;=250,300+((400-300)/(250-120))*(T498-120),IF(T498&lt;=380,400+((500-400)/(380-250))*(T498-250),500)))))))</f>
        <v>56.6666666666667</v>
      </c>
      <c r="AG498" s="4" t="n">
        <f aca="false">IF(U498="","",IF(U498&lt;=50,(50/50)*U498,IF(U498&lt;=100,50+((100-50)/(100-50))*(U498-50),IF(U498&lt;=250,100+((200-100)/(250-100))*(U498-100),IF(U498&lt;=350,200+((300-200)/(350-250))*(U498-250),IF(U498&lt;=430,300+((400-300)/(430-350))*(U498-350),IF(U498&lt;=600,400+((500-400)/(600-430))*(U498-430),500)))))))</f>
        <v>161.866666666667</v>
      </c>
      <c r="AH498" s="4" t="n">
        <f aca="false">IF(V498="","",IF((V498/1000)&lt;=1,(50/1)*(V498/1000),IF((V498/1000)&lt;=2,50+((100-50)/(2-1))*(V498/1000-1),IF((V498/1000)&lt;=10,100+((200-100)/(10-2))*(V498/1000-2),IF((V498/1000)&lt;=17,200+((300-200)/(17-10))*(V498/1000-10),IF((V498/1000)&lt;=34,300+((400-300)/(34-17))*(V498/1000-17),IF((V498/1000)&lt;=57,400+((500-400)/(57-34))*(V498/1000-34),500)))))))</f>
        <v>12.7</v>
      </c>
      <c r="AI498" s="4" t="n">
        <f aca="false">IF(W498="","",IF(W498&lt;=40,(50/40)*W498,IF(W498&lt;=80,50+((100-50)/(80-40))*(W498-40),IF(W498&lt;=180,100+((200-100)/(180-80))*(W498-80),IF(W498&lt;=280,200+((300-200)/(280-180))*(W498-180),IF(W498&lt;=400,300+((400-300)/(400-280))*(W498-280),IF(W498&lt;=800,400+((500-400)/(800-400))*(W498-400),500)))))))</f>
        <v>15.25</v>
      </c>
      <c r="AJ498" s="4" t="n">
        <f aca="false">IF(X498="","",IF(X498&lt;=40,(50/40)*X498,IF(X498&lt;=80,50+((100-50)/(80-40))*(X498-40),IF(X498&lt;=380,100+((200-100)/(380-80))*(X498-80),IF(X498&lt;=800,200+((300-200)/(800-380))*(X498-380),IF(X498&lt;=1600,300+((400-300)/(1600-800))*(X498-800),IF(X498&lt;=2100,400+((500-400)/(2100-1600))*(X498-1600),500)))))))</f>
        <v>13</v>
      </c>
      <c r="AK498" s="4" t="n">
        <f aca="false">IF(Y498="","",IF(Y498&lt;=50,(50/50)*Y498,IF(Y498&lt;=100,50+((100-50)/(100-50))*(Y498-50),IF(Y498&lt;=168,100+((200-100)/(168-100))*(Y498-100),IF(Y498&lt;=208,200+((300-200)/(208-168))*(Y498-168),IF(Y498&lt;=748,300+((400-300)/(748-208))*(Y498-208),IF(Y498&lt;=1000,400+((500-400)/(1000-748))*(Y498-748),500)))))))</f>
        <v>138.235294117647</v>
      </c>
      <c r="AL498" s="4" t="n">
        <f aca="false">ROUND(MAX(AF498,AG498,AH498,AI498,AJ498,AK498),0)</f>
        <v>162</v>
      </c>
      <c r="AM498" s="4" t="str">
        <f aca="false">IF(AL498="","",IF(AL498&lt;=50,"Good",IF(AL498&lt;=100,"Satisfactory",IF(AL498&lt;=200,"Moderate",IF(AL498&lt;=300,"Poor",IF(AL498&lt;=400,"Very Poor","Severe"))))))</f>
        <v>Moderate</v>
      </c>
    </row>
    <row r="499" customFormat="false" ht="15.75" hidden="false" customHeight="false" outlineLevel="0" collapsed="false">
      <c r="A499" s="1" t="s">
        <v>39</v>
      </c>
      <c r="B499" s="1" t="s">
        <v>40</v>
      </c>
      <c r="C499" s="1" t="n">
        <v>28.4595</v>
      </c>
      <c r="D499" s="1" t="n">
        <v>77.0266</v>
      </c>
      <c r="E499" s="5" t="n">
        <v>45921</v>
      </c>
      <c r="F499" s="6" t="s">
        <v>69</v>
      </c>
      <c r="G499" s="1" t="n">
        <v>9</v>
      </c>
      <c r="H499" s="7" t="s">
        <v>87</v>
      </c>
      <c r="I499" s="6" t="s">
        <v>46</v>
      </c>
      <c r="J499" s="7" t="s">
        <v>44</v>
      </c>
      <c r="K499" s="7" t="s">
        <v>65</v>
      </c>
      <c r="L499" s="1" t="n">
        <v>45</v>
      </c>
      <c r="M499" s="1" t="n">
        <v>19.8</v>
      </c>
      <c r="N499" s="1" t="n">
        <v>33.8</v>
      </c>
      <c r="O499" s="1" t="n">
        <v>0</v>
      </c>
      <c r="P499" s="6" t="s">
        <v>43</v>
      </c>
      <c r="Q499" s="6" t="s">
        <v>43</v>
      </c>
      <c r="R499" s="1" t="n">
        <v>1001.9</v>
      </c>
      <c r="S499" s="1" t="n">
        <v>5</v>
      </c>
      <c r="T499" s="1" t="n">
        <v>45.5</v>
      </c>
      <c r="U499" s="1" t="n">
        <v>236.6</v>
      </c>
      <c r="V499" s="1" t="n">
        <v>322</v>
      </c>
      <c r="W499" s="1" t="n">
        <v>18.2</v>
      </c>
      <c r="X499" s="1" t="n">
        <v>12.7</v>
      </c>
      <c r="Y499" s="1" t="n">
        <v>110</v>
      </c>
      <c r="Z499" s="1" t="n">
        <v>374</v>
      </c>
      <c r="AA499" s="1" t="n">
        <v>122</v>
      </c>
      <c r="AB499" s="7" t="s">
        <v>81</v>
      </c>
      <c r="AC499" s="7" t="s">
        <v>82</v>
      </c>
      <c r="AD499" s="7" t="s">
        <v>83</v>
      </c>
      <c r="AE499" s="7" t="s">
        <v>84</v>
      </c>
      <c r="AF499" s="4" t="n">
        <f aca="false">IF(T499="","",IF(T499&lt;=30,(50/30)*T499,IF(T499&lt;=60,50+((100-50)/(60-30))*(T499-30),IF(T499&lt;=90,100+((200-100)/(90-60))*(T499-60),IF(T499&lt;=120,200+((300-200)/(120-90))*(T499-90),IF(T499&lt;=250,300+((400-300)/(250-120))*(T499-120),IF(T499&lt;=380,400+((500-400)/(380-250))*(T499-250),500)))))))</f>
        <v>75.8333333333333</v>
      </c>
      <c r="AG499" s="4" t="n">
        <f aca="false">IF(U499="","",IF(U499&lt;=50,(50/50)*U499,IF(U499&lt;=100,50+((100-50)/(100-50))*(U499-50),IF(U499&lt;=250,100+((200-100)/(250-100))*(U499-100),IF(U499&lt;=350,200+((300-200)/(350-250))*(U499-250),IF(U499&lt;=430,300+((400-300)/(430-350))*(U499-350),IF(U499&lt;=600,400+((500-400)/(600-430))*(U499-430),500)))))))</f>
        <v>191.066666666667</v>
      </c>
      <c r="AH499" s="4" t="n">
        <f aca="false">IF(V499="","",IF((V499/1000)&lt;=1,(50/1)*(V499/1000),IF((V499/1000)&lt;=2,50+((100-50)/(2-1))*(V499/1000-1),IF((V499/1000)&lt;=10,100+((200-100)/(10-2))*(V499/1000-2),IF((V499/1000)&lt;=17,200+((300-200)/(17-10))*(V499/1000-10),IF((V499/1000)&lt;=34,300+((400-300)/(34-17))*(V499/1000-17),IF((V499/1000)&lt;=57,400+((500-400)/(57-34))*(V499/1000-34),500)))))))</f>
        <v>16.1</v>
      </c>
      <c r="AI499" s="4" t="n">
        <f aca="false">IF(W499="","",IF(W499&lt;=40,(50/40)*W499,IF(W499&lt;=80,50+((100-50)/(80-40))*(W499-40),IF(W499&lt;=180,100+((200-100)/(180-80))*(W499-80),IF(W499&lt;=280,200+((300-200)/(280-180))*(W499-180),IF(W499&lt;=400,300+((400-300)/(400-280))*(W499-280),IF(W499&lt;=800,400+((500-400)/(800-400))*(W499-400),500)))))))</f>
        <v>22.75</v>
      </c>
      <c r="AJ499" s="4" t="n">
        <f aca="false">IF(X499="","",IF(X499&lt;=40,(50/40)*X499,IF(X499&lt;=80,50+((100-50)/(80-40))*(X499-40),IF(X499&lt;=380,100+((200-100)/(380-80))*(X499-80),IF(X499&lt;=800,200+((300-200)/(800-380))*(X499-380),IF(X499&lt;=1600,300+((400-300)/(1600-800))*(X499-800),IF(X499&lt;=2100,400+((500-400)/(2100-1600))*(X499-1600),500)))))))</f>
        <v>15.875</v>
      </c>
      <c r="AK499" s="4" t="n">
        <f aca="false">IF(Y499="","",IF(Y499&lt;=50,(50/50)*Y499,IF(Y499&lt;=100,50+((100-50)/(100-50))*(Y499-50),IF(Y499&lt;=168,100+((200-100)/(168-100))*(Y499-100),IF(Y499&lt;=208,200+((300-200)/(208-168))*(Y499-168),IF(Y499&lt;=748,300+((400-300)/(748-208))*(Y499-208),IF(Y499&lt;=1000,400+((500-400)/(1000-748))*(Y499-748),500)))))))</f>
        <v>114.705882352941</v>
      </c>
      <c r="AL499" s="4" t="n">
        <f aca="false">ROUND(MAX(AF499,AG499,AH499,AI499,AJ499,AK499),0)</f>
        <v>191</v>
      </c>
      <c r="AM499" s="4" t="str">
        <f aca="false">IF(AL499="","",IF(AL499&lt;=50,"Good",IF(AL499&lt;=100,"Satisfactory",IF(AL499&lt;=200,"Moderate",IF(AL499&lt;=300,"Poor",IF(AL499&lt;=400,"Very Poor","Severe"))))))</f>
        <v>Moderate</v>
      </c>
    </row>
    <row r="500" customFormat="false" ht="15.75" hidden="false" customHeight="false" outlineLevel="0" collapsed="false">
      <c r="A500" s="1" t="s">
        <v>39</v>
      </c>
      <c r="B500" s="1" t="s">
        <v>40</v>
      </c>
      <c r="C500" s="1" t="n">
        <v>28.4595</v>
      </c>
      <c r="D500" s="1" t="n">
        <v>77.0266</v>
      </c>
      <c r="E500" s="5" t="n">
        <v>45921</v>
      </c>
      <c r="F500" s="6" t="s">
        <v>70</v>
      </c>
      <c r="G500" s="1" t="n">
        <v>9</v>
      </c>
      <c r="H500" s="7" t="s">
        <v>87</v>
      </c>
      <c r="I500" s="6" t="s">
        <v>46</v>
      </c>
      <c r="J500" s="7" t="s">
        <v>44</v>
      </c>
      <c r="K500" s="7" t="s">
        <v>71</v>
      </c>
      <c r="L500" s="1" t="n">
        <v>54</v>
      </c>
      <c r="M500" s="1" t="n">
        <v>20.8</v>
      </c>
      <c r="N500" s="1" t="n">
        <v>22</v>
      </c>
      <c r="O500" s="1" t="n">
        <v>0</v>
      </c>
      <c r="P500" s="6" t="s">
        <v>43</v>
      </c>
      <c r="Q500" s="6" t="s">
        <v>43</v>
      </c>
      <c r="R500" s="1" t="n">
        <v>1002.7</v>
      </c>
      <c r="S500" s="1" t="n">
        <v>9</v>
      </c>
      <c r="T500" s="1" t="n">
        <v>48.3</v>
      </c>
      <c r="U500" s="1" t="n">
        <v>221.2</v>
      </c>
      <c r="V500" s="1" t="n">
        <v>475</v>
      </c>
      <c r="W500" s="1" t="n">
        <v>23.2</v>
      </c>
      <c r="X500" s="1" t="n">
        <v>14.3</v>
      </c>
      <c r="Y500" s="1" t="n">
        <v>96</v>
      </c>
      <c r="Z500" s="1" t="n">
        <v>368</v>
      </c>
      <c r="AA500" s="1" t="n">
        <v>122</v>
      </c>
      <c r="AB500" s="7" t="s">
        <v>81</v>
      </c>
      <c r="AC500" s="7" t="s">
        <v>82</v>
      </c>
      <c r="AD500" s="7" t="s">
        <v>83</v>
      </c>
      <c r="AE500" s="7" t="s">
        <v>84</v>
      </c>
      <c r="AF500" s="4" t="n">
        <f aca="false">IF(T500="","",IF(T500&lt;=30,(50/30)*T500,IF(T500&lt;=60,50+((100-50)/(60-30))*(T500-30),IF(T500&lt;=90,100+((200-100)/(90-60))*(T500-60),IF(T500&lt;=120,200+((300-200)/(120-90))*(T500-90),IF(T500&lt;=250,300+((400-300)/(250-120))*(T500-120),IF(T500&lt;=380,400+((500-400)/(380-250))*(T500-250),500)))))))</f>
        <v>80.5</v>
      </c>
      <c r="AG500" s="4" t="n">
        <f aca="false">IF(U500="","",IF(U500&lt;=50,(50/50)*U500,IF(U500&lt;=100,50+((100-50)/(100-50))*(U500-50),IF(U500&lt;=250,100+((200-100)/(250-100))*(U500-100),IF(U500&lt;=350,200+((300-200)/(350-250))*(U500-250),IF(U500&lt;=430,300+((400-300)/(430-350))*(U500-350),IF(U500&lt;=600,400+((500-400)/(600-430))*(U500-430),500)))))))</f>
        <v>180.8</v>
      </c>
      <c r="AH500" s="4" t="n">
        <f aca="false">IF(V500="","",IF((V500/1000)&lt;=1,(50/1)*(V500/1000),IF((V500/1000)&lt;=2,50+((100-50)/(2-1))*(V500/1000-1),IF((V500/1000)&lt;=10,100+((200-100)/(10-2))*(V500/1000-2),IF((V500/1000)&lt;=17,200+((300-200)/(17-10))*(V500/1000-10),IF((V500/1000)&lt;=34,300+((400-300)/(34-17))*(V500/1000-17),IF((V500/1000)&lt;=57,400+((500-400)/(57-34))*(V500/1000-34),500)))))))</f>
        <v>23.75</v>
      </c>
      <c r="AI500" s="4" t="n">
        <f aca="false">IF(W500="","",IF(W500&lt;=40,(50/40)*W500,IF(W500&lt;=80,50+((100-50)/(80-40))*(W500-40),IF(W500&lt;=180,100+((200-100)/(180-80))*(W500-80),IF(W500&lt;=280,200+((300-200)/(280-180))*(W500-180),IF(W500&lt;=400,300+((400-300)/(400-280))*(W500-280),IF(W500&lt;=800,400+((500-400)/(800-400))*(W500-400),500)))))))</f>
        <v>29</v>
      </c>
      <c r="AJ500" s="4" t="n">
        <f aca="false">IF(X500="","",IF(X500&lt;=40,(50/40)*X500,IF(X500&lt;=80,50+((100-50)/(80-40))*(X500-40),IF(X500&lt;=380,100+((200-100)/(380-80))*(X500-80),IF(X500&lt;=800,200+((300-200)/(800-380))*(X500-380),IF(X500&lt;=1600,300+((400-300)/(1600-800))*(X500-800),IF(X500&lt;=2100,400+((500-400)/(2100-1600))*(X500-1600),500)))))))</f>
        <v>17.875</v>
      </c>
      <c r="AK500" s="4" t="n">
        <f aca="false">IF(Y500="","",IF(Y500&lt;=50,(50/50)*Y500,IF(Y500&lt;=100,50+((100-50)/(100-50))*(Y500-50),IF(Y500&lt;=168,100+((200-100)/(168-100))*(Y500-100),IF(Y500&lt;=208,200+((300-200)/(208-168))*(Y500-168),IF(Y500&lt;=748,300+((400-300)/(748-208))*(Y500-208),IF(Y500&lt;=1000,400+((500-400)/(1000-748))*(Y500-748),500)))))))</f>
        <v>96</v>
      </c>
      <c r="AL500" s="4" t="n">
        <f aca="false">ROUND(MAX(AF500,AG500,AH500,AI500,AJ500,AK500),0)</f>
        <v>181</v>
      </c>
      <c r="AM500" s="4" t="str">
        <f aca="false">IF(AL500="","",IF(AL500&lt;=50,"Good",IF(AL500&lt;=100,"Satisfactory",IF(AL500&lt;=200,"Moderate",IF(AL500&lt;=300,"Poor",IF(AL500&lt;=400,"Very Poor","Severe"))))))</f>
        <v>Moderate</v>
      </c>
    </row>
    <row r="501" customFormat="false" ht="15.75" hidden="false" customHeight="false" outlineLevel="0" collapsed="false">
      <c r="A501" s="1" t="s">
        <v>39</v>
      </c>
      <c r="B501" s="1" t="s">
        <v>40</v>
      </c>
      <c r="C501" s="1" t="n">
        <v>28.4595</v>
      </c>
      <c r="D501" s="1" t="n">
        <v>77.0266</v>
      </c>
      <c r="E501" s="5" t="n">
        <v>45921</v>
      </c>
      <c r="F501" s="6" t="s">
        <v>72</v>
      </c>
      <c r="G501" s="1" t="n">
        <v>9</v>
      </c>
      <c r="H501" s="7" t="s">
        <v>87</v>
      </c>
      <c r="I501" s="6" t="s">
        <v>46</v>
      </c>
      <c r="J501" s="7" t="s">
        <v>44</v>
      </c>
      <c r="K501" s="7" t="s">
        <v>71</v>
      </c>
      <c r="L501" s="1" t="n">
        <v>59</v>
      </c>
      <c r="M501" s="1" t="n">
        <v>21.2</v>
      </c>
      <c r="N501" s="1" t="n">
        <v>15.5</v>
      </c>
      <c r="O501" s="1" t="n">
        <v>0</v>
      </c>
      <c r="P501" s="6" t="s">
        <v>43</v>
      </c>
      <c r="Q501" s="6" t="s">
        <v>43</v>
      </c>
      <c r="R501" s="1" t="n">
        <v>1003.1</v>
      </c>
      <c r="S501" s="1" t="n">
        <v>5</v>
      </c>
      <c r="T501" s="1" t="n">
        <v>51.8</v>
      </c>
      <c r="U501" s="1" t="n">
        <v>225.4</v>
      </c>
      <c r="V501" s="1" t="n">
        <v>663</v>
      </c>
      <c r="W501" s="1" t="n">
        <v>30.2</v>
      </c>
      <c r="X501" s="1" t="n">
        <v>16.4</v>
      </c>
      <c r="Y501" s="1" t="n">
        <v>77</v>
      </c>
      <c r="Z501" s="1" t="n">
        <v>359</v>
      </c>
      <c r="AA501" s="1" t="n">
        <v>123</v>
      </c>
      <c r="AB501" s="7" t="s">
        <v>81</v>
      </c>
      <c r="AC501" s="7" t="s">
        <v>82</v>
      </c>
      <c r="AD501" s="7" t="s">
        <v>83</v>
      </c>
      <c r="AE501" s="7" t="s">
        <v>84</v>
      </c>
      <c r="AF501" s="4" t="n">
        <f aca="false">IF(T501="","",IF(T501&lt;=30,(50/30)*T501,IF(T501&lt;=60,50+((100-50)/(60-30))*(T501-30),IF(T501&lt;=90,100+((200-100)/(90-60))*(T501-60),IF(T501&lt;=120,200+((300-200)/(120-90))*(T501-90),IF(T501&lt;=250,300+((400-300)/(250-120))*(T501-120),IF(T501&lt;=380,400+((500-400)/(380-250))*(T501-250),500)))))))</f>
        <v>86.3333333333333</v>
      </c>
      <c r="AG501" s="4" t="n">
        <f aca="false">IF(U501="","",IF(U501&lt;=50,(50/50)*U501,IF(U501&lt;=100,50+((100-50)/(100-50))*(U501-50),IF(U501&lt;=250,100+((200-100)/(250-100))*(U501-100),IF(U501&lt;=350,200+((300-200)/(350-250))*(U501-250),IF(U501&lt;=430,300+((400-300)/(430-350))*(U501-350),IF(U501&lt;=600,400+((500-400)/(600-430))*(U501-430),500)))))))</f>
        <v>183.6</v>
      </c>
      <c r="AH501" s="4" t="n">
        <f aca="false">IF(V501="","",IF((V501/1000)&lt;=1,(50/1)*(V501/1000),IF((V501/1000)&lt;=2,50+((100-50)/(2-1))*(V501/1000-1),IF((V501/1000)&lt;=10,100+((200-100)/(10-2))*(V501/1000-2),IF((V501/1000)&lt;=17,200+((300-200)/(17-10))*(V501/1000-10),IF((V501/1000)&lt;=34,300+((400-300)/(34-17))*(V501/1000-17),IF((V501/1000)&lt;=57,400+((500-400)/(57-34))*(V501/1000-34),500)))))))</f>
        <v>33.15</v>
      </c>
      <c r="AI501" s="4" t="n">
        <f aca="false">IF(W501="","",IF(W501&lt;=40,(50/40)*W501,IF(W501&lt;=80,50+((100-50)/(80-40))*(W501-40),IF(W501&lt;=180,100+((200-100)/(180-80))*(W501-80),IF(W501&lt;=280,200+((300-200)/(280-180))*(W501-180),IF(W501&lt;=400,300+((400-300)/(400-280))*(W501-280),IF(W501&lt;=800,400+((500-400)/(800-400))*(W501-400),500)))))))</f>
        <v>37.75</v>
      </c>
      <c r="AJ501" s="4" t="n">
        <f aca="false">IF(X501="","",IF(X501&lt;=40,(50/40)*X501,IF(X501&lt;=80,50+((100-50)/(80-40))*(X501-40),IF(X501&lt;=380,100+((200-100)/(380-80))*(X501-80),IF(X501&lt;=800,200+((300-200)/(800-380))*(X501-380),IF(X501&lt;=1600,300+((400-300)/(1600-800))*(X501-800),IF(X501&lt;=2100,400+((500-400)/(2100-1600))*(X501-1600),500)))))))</f>
        <v>20.5</v>
      </c>
      <c r="AK501" s="4" t="n">
        <f aca="false">IF(Y501="","",IF(Y501&lt;=50,(50/50)*Y501,IF(Y501&lt;=100,50+((100-50)/(100-50))*(Y501-50),IF(Y501&lt;=168,100+((200-100)/(168-100))*(Y501-100),IF(Y501&lt;=208,200+((300-200)/(208-168))*(Y501-168),IF(Y501&lt;=748,300+((400-300)/(748-208))*(Y501-208),IF(Y501&lt;=1000,400+((500-400)/(1000-748))*(Y501-748),500)))))))</f>
        <v>77</v>
      </c>
      <c r="AL501" s="4" t="n">
        <f aca="false">ROUND(MAX(AF501,AG501,AH501,AI501,AJ501,AK501),0)</f>
        <v>184</v>
      </c>
      <c r="AM501" s="4" t="str">
        <f aca="false">IF(AL501="","",IF(AL501&lt;=50,"Good",IF(AL501&lt;=100,"Satisfactory",IF(AL501&lt;=200,"Moderate",IF(AL501&lt;=300,"Poor",IF(AL501&lt;=400,"Very Poor","Severe"))))))</f>
        <v>Moderate</v>
      </c>
    </row>
    <row r="502" customFormat="false" ht="15.75" hidden="false" customHeight="false" outlineLevel="0" collapsed="false">
      <c r="A502" s="1" t="s">
        <v>39</v>
      </c>
      <c r="B502" s="1" t="s">
        <v>40</v>
      </c>
      <c r="C502" s="1" t="n">
        <v>28.4595</v>
      </c>
      <c r="D502" s="1" t="n">
        <v>77.0266</v>
      </c>
      <c r="E502" s="5" t="n">
        <v>45921</v>
      </c>
      <c r="F502" s="6" t="s">
        <v>73</v>
      </c>
      <c r="G502" s="1" t="n">
        <v>9</v>
      </c>
      <c r="H502" s="7" t="s">
        <v>87</v>
      </c>
      <c r="I502" s="6" t="s">
        <v>46</v>
      </c>
      <c r="J502" s="7" t="s">
        <v>44</v>
      </c>
      <c r="K502" s="7" t="s">
        <v>71</v>
      </c>
      <c r="L502" s="1" t="n">
        <v>60</v>
      </c>
      <c r="M502" s="1" t="n">
        <v>20.9</v>
      </c>
      <c r="N502" s="1" t="n">
        <v>15.8</v>
      </c>
      <c r="O502" s="1" t="n">
        <v>0</v>
      </c>
      <c r="P502" s="6" t="s">
        <v>43</v>
      </c>
      <c r="Q502" s="6" t="s">
        <v>43</v>
      </c>
      <c r="R502" s="1" t="n">
        <v>1003.5</v>
      </c>
      <c r="S502" s="1" t="n">
        <v>7</v>
      </c>
      <c r="T502" s="1" t="n">
        <v>53.6</v>
      </c>
      <c r="U502" s="1" t="n">
        <v>231</v>
      </c>
      <c r="V502" s="1" t="n">
        <v>764</v>
      </c>
      <c r="W502" s="1" t="n">
        <v>36.7</v>
      </c>
      <c r="X502" s="1" t="n">
        <v>18.3</v>
      </c>
      <c r="Y502" s="1" t="n">
        <v>61</v>
      </c>
      <c r="Z502" s="1" t="n">
        <v>344</v>
      </c>
      <c r="AA502" s="1" t="n">
        <v>123</v>
      </c>
      <c r="AB502" s="7" t="s">
        <v>81</v>
      </c>
      <c r="AC502" s="7" t="s">
        <v>82</v>
      </c>
      <c r="AD502" s="7" t="s">
        <v>83</v>
      </c>
      <c r="AE502" s="7" t="s">
        <v>84</v>
      </c>
      <c r="AF502" s="4" t="n">
        <f aca="false">IF(T502="","",IF(T502&lt;=30,(50/30)*T502,IF(T502&lt;=60,50+((100-50)/(60-30))*(T502-30),IF(T502&lt;=90,100+((200-100)/(90-60))*(T502-60),IF(T502&lt;=120,200+((300-200)/(120-90))*(T502-90),IF(T502&lt;=250,300+((400-300)/(250-120))*(T502-120),IF(T502&lt;=380,400+((500-400)/(380-250))*(T502-250),500)))))))</f>
        <v>89.3333333333333</v>
      </c>
      <c r="AG502" s="4" t="n">
        <f aca="false">IF(U502="","",IF(U502&lt;=50,(50/50)*U502,IF(U502&lt;=100,50+((100-50)/(100-50))*(U502-50),IF(U502&lt;=250,100+((200-100)/(250-100))*(U502-100),IF(U502&lt;=350,200+((300-200)/(350-250))*(U502-250),IF(U502&lt;=430,300+((400-300)/(430-350))*(U502-350),IF(U502&lt;=600,400+((500-400)/(600-430))*(U502-430),500)))))))</f>
        <v>187.333333333333</v>
      </c>
      <c r="AH502" s="4" t="n">
        <f aca="false">IF(V502="","",IF((V502/1000)&lt;=1,(50/1)*(V502/1000),IF((V502/1000)&lt;=2,50+((100-50)/(2-1))*(V502/1000-1),IF((V502/1000)&lt;=10,100+((200-100)/(10-2))*(V502/1000-2),IF((V502/1000)&lt;=17,200+((300-200)/(17-10))*(V502/1000-10),IF((V502/1000)&lt;=34,300+((400-300)/(34-17))*(V502/1000-17),IF((V502/1000)&lt;=57,400+((500-400)/(57-34))*(V502/1000-34),500)))))))</f>
        <v>38.2</v>
      </c>
      <c r="AI502" s="4" t="n">
        <f aca="false">IF(W502="","",IF(W502&lt;=40,(50/40)*W502,IF(W502&lt;=80,50+((100-50)/(80-40))*(W502-40),IF(W502&lt;=180,100+((200-100)/(180-80))*(W502-80),IF(W502&lt;=280,200+((300-200)/(280-180))*(W502-180),IF(W502&lt;=400,300+((400-300)/(400-280))*(W502-280),IF(W502&lt;=800,400+((500-400)/(800-400))*(W502-400),500)))))))</f>
        <v>45.875</v>
      </c>
      <c r="AJ502" s="4" t="n">
        <f aca="false">IF(X502="","",IF(X502&lt;=40,(50/40)*X502,IF(X502&lt;=80,50+((100-50)/(80-40))*(X502-40),IF(X502&lt;=380,100+((200-100)/(380-80))*(X502-80),IF(X502&lt;=800,200+((300-200)/(800-380))*(X502-380),IF(X502&lt;=1600,300+((400-300)/(1600-800))*(X502-800),IF(X502&lt;=2100,400+((500-400)/(2100-1600))*(X502-1600),500)))))))</f>
        <v>22.875</v>
      </c>
      <c r="AK502" s="4" t="n">
        <f aca="false">IF(Y502="","",IF(Y502&lt;=50,(50/50)*Y502,IF(Y502&lt;=100,50+((100-50)/(100-50))*(Y502-50),IF(Y502&lt;=168,100+((200-100)/(168-100))*(Y502-100),IF(Y502&lt;=208,200+((300-200)/(208-168))*(Y502-168),IF(Y502&lt;=748,300+((400-300)/(748-208))*(Y502-208),IF(Y502&lt;=1000,400+((500-400)/(1000-748))*(Y502-748),500)))))))</f>
        <v>61</v>
      </c>
      <c r="AL502" s="4" t="n">
        <f aca="false">ROUND(MAX(AF502,AG502,AH502,AI502,AJ502,AK502),0)</f>
        <v>187</v>
      </c>
      <c r="AM502" s="4" t="str">
        <f aca="false">IF(AL502="","",IF(AL502&lt;=50,"Good",IF(AL502&lt;=100,"Satisfactory",IF(AL502&lt;=200,"Moderate",IF(AL502&lt;=300,"Poor",IF(AL502&lt;=400,"Very Poor","Severe"))))))</f>
        <v>Moderate</v>
      </c>
    </row>
    <row r="503" customFormat="false" ht="15.75" hidden="false" customHeight="false" outlineLevel="0" collapsed="false">
      <c r="A503" s="1" t="s">
        <v>39</v>
      </c>
      <c r="B503" s="1" t="s">
        <v>40</v>
      </c>
      <c r="C503" s="1" t="n">
        <v>28.4595</v>
      </c>
      <c r="D503" s="1" t="n">
        <v>77.0266</v>
      </c>
      <c r="E503" s="5" t="n">
        <v>45921</v>
      </c>
      <c r="F503" s="6" t="s">
        <v>74</v>
      </c>
      <c r="G503" s="1" t="n">
        <v>9</v>
      </c>
      <c r="H503" s="7" t="s">
        <v>87</v>
      </c>
      <c r="I503" s="6" t="s">
        <v>46</v>
      </c>
      <c r="J503" s="7" t="s">
        <v>44</v>
      </c>
      <c r="K503" s="7" t="s">
        <v>75</v>
      </c>
      <c r="L503" s="1" t="n">
        <v>60</v>
      </c>
      <c r="M503" s="1" t="n">
        <v>20.6</v>
      </c>
      <c r="N503" s="1" t="n">
        <v>18.4</v>
      </c>
      <c r="O503" s="1" t="n">
        <v>0</v>
      </c>
      <c r="P503" s="6" t="s">
        <v>43</v>
      </c>
      <c r="Q503" s="6" t="s">
        <v>43</v>
      </c>
      <c r="R503" s="1" t="n">
        <v>1004.3</v>
      </c>
      <c r="S503" s="1" t="n">
        <v>5</v>
      </c>
      <c r="T503" s="1" t="n">
        <v>54</v>
      </c>
      <c r="U503" s="1" t="n">
        <v>215.1</v>
      </c>
      <c r="V503" s="1" t="n">
        <v>694</v>
      </c>
      <c r="W503" s="1" t="n">
        <v>41.7</v>
      </c>
      <c r="X503" s="1" t="n">
        <v>19.6</v>
      </c>
      <c r="Y503" s="1" t="n">
        <v>51</v>
      </c>
      <c r="Z503" s="1" t="n">
        <v>318</v>
      </c>
      <c r="AA503" s="1" t="n">
        <v>124</v>
      </c>
      <c r="AB503" s="7" t="s">
        <v>81</v>
      </c>
      <c r="AC503" s="7" t="s">
        <v>82</v>
      </c>
      <c r="AD503" s="7" t="s">
        <v>83</v>
      </c>
      <c r="AE503" s="7" t="s">
        <v>84</v>
      </c>
      <c r="AF503" s="4" t="n">
        <f aca="false">IF(T503="","",IF(T503&lt;=30,(50/30)*T503,IF(T503&lt;=60,50+((100-50)/(60-30))*(T503-30),IF(T503&lt;=90,100+((200-100)/(90-60))*(T503-60),IF(T503&lt;=120,200+((300-200)/(120-90))*(T503-90),IF(T503&lt;=250,300+((400-300)/(250-120))*(T503-120),IF(T503&lt;=380,400+((500-400)/(380-250))*(T503-250),500)))))))</f>
        <v>90</v>
      </c>
      <c r="AG503" s="4" t="n">
        <f aca="false">IF(U503="","",IF(U503&lt;=50,(50/50)*U503,IF(U503&lt;=100,50+((100-50)/(100-50))*(U503-50),IF(U503&lt;=250,100+((200-100)/(250-100))*(U503-100),IF(U503&lt;=350,200+((300-200)/(350-250))*(U503-250),IF(U503&lt;=430,300+((400-300)/(430-350))*(U503-350),IF(U503&lt;=600,400+((500-400)/(600-430))*(U503-430),500)))))))</f>
        <v>176.733333333333</v>
      </c>
      <c r="AH503" s="4" t="n">
        <f aca="false">IF(V503="","",IF((V503/1000)&lt;=1,(50/1)*(V503/1000),IF((V503/1000)&lt;=2,50+((100-50)/(2-1))*(V503/1000-1),IF((V503/1000)&lt;=10,100+((200-100)/(10-2))*(V503/1000-2),IF((V503/1000)&lt;=17,200+((300-200)/(17-10))*(V503/1000-10),IF((V503/1000)&lt;=34,300+((400-300)/(34-17))*(V503/1000-17),IF((V503/1000)&lt;=57,400+((500-400)/(57-34))*(V503/1000-34),500)))))))</f>
        <v>34.7</v>
      </c>
      <c r="AI503" s="4" t="n">
        <f aca="false">IF(W503="","",IF(W503&lt;=40,(50/40)*W503,IF(W503&lt;=80,50+((100-50)/(80-40))*(W503-40),IF(W503&lt;=180,100+((200-100)/(180-80))*(W503-80),IF(W503&lt;=280,200+((300-200)/(280-180))*(W503-180),IF(W503&lt;=400,300+((400-300)/(400-280))*(W503-280),IF(W503&lt;=800,400+((500-400)/(800-400))*(W503-400),500)))))))</f>
        <v>52.125</v>
      </c>
      <c r="AJ503" s="4" t="n">
        <f aca="false">IF(X503="","",IF(X503&lt;=40,(50/40)*X503,IF(X503&lt;=80,50+((100-50)/(80-40))*(X503-40),IF(X503&lt;=380,100+((200-100)/(380-80))*(X503-80),IF(X503&lt;=800,200+((300-200)/(800-380))*(X503-380),IF(X503&lt;=1600,300+((400-300)/(1600-800))*(X503-800),IF(X503&lt;=2100,400+((500-400)/(2100-1600))*(X503-1600),500)))))))</f>
        <v>24.5</v>
      </c>
      <c r="AK503" s="4" t="n">
        <f aca="false">IF(Y503="","",IF(Y503&lt;=50,(50/50)*Y503,IF(Y503&lt;=100,50+((100-50)/(100-50))*(Y503-50),IF(Y503&lt;=168,100+((200-100)/(168-100))*(Y503-100),IF(Y503&lt;=208,200+((300-200)/(208-168))*(Y503-168),IF(Y503&lt;=748,300+((400-300)/(748-208))*(Y503-208),IF(Y503&lt;=1000,400+((500-400)/(1000-748))*(Y503-748),500)))))))</f>
        <v>51</v>
      </c>
      <c r="AL503" s="4" t="n">
        <f aca="false">ROUND(MAX(AF503,AG503,AH503,AI503,AJ503,AK503),0)</f>
        <v>177</v>
      </c>
      <c r="AM503" s="4" t="str">
        <f aca="false">IF(AL503="","",IF(AL503&lt;=50,"Good",IF(AL503&lt;=100,"Satisfactory",IF(AL503&lt;=200,"Moderate",IF(AL503&lt;=300,"Poor",IF(AL503&lt;=400,"Very Poor","Severe"))))))</f>
        <v>Moderate</v>
      </c>
    </row>
    <row r="504" customFormat="false" ht="15.75" hidden="false" customHeight="false" outlineLevel="0" collapsed="false">
      <c r="A504" s="1" t="s">
        <v>39</v>
      </c>
      <c r="B504" s="1" t="s">
        <v>40</v>
      </c>
      <c r="C504" s="1" t="n">
        <v>28.4595</v>
      </c>
      <c r="D504" s="1" t="n">
        <v>77.0266</v>
      </c>
      <c r="E504" s="5" t="n">
        <v>45921</v>
      </c>
      <c r="F504" s="6" t="s">
        <v>76</v>
      </c>
      <c r="G504" s="1" t="n">
        <v>9</v>
      </c>
      <c r="H504" s="7" t="s">
        <v>87</v>
      </c>
      <c r="I504" s="6" t="s">
        <v>46</v>
      </c>
      <c r="J504" s="7" t="s">
        <v>44</v>
      </c>
      <c r="K504" s="7" t="s">
        <v>75</v>
      </c>
      <c r="L504" s="1" t="n">
        <v>67</v>
      </c>
      <c r="M504" s="1" t="n">
        <v>21</v>
      </c>
      <c r="N504" s="1" t="n">
        <v>15.5</v>
      </c>
      <c r="O504" s="1" t="n">
        <v>0</v>
      </c>
      <c r="P504" s="6" t="s">
        <v>43</v>
      </c>
      <c r="Q504" s="6" t="s">
        <v>43</v>
      </c>
      <c r="R504" s="1" t="n">
        <v>1004.7</v>
      </c>
      <c r="S504" s="1" t="n">
        <v>1</v>
      </c>
      <c r="T504" s="1" t="n">
        <v>56.2</v>
      </c>
      <c r="U504" s="1" t="n">
        <v>201.2</v>
      </c>
      <c r="V504" s="1" t="n">
        <v>537</v>
      </c>
      <c r="W504" s="1" t="n">
        <v>46.1</v>
      </c>
      <c r="X504" s="1" t="n">
        <v>20.6</v>
      </c>
      <c r="Y504" s="1" t="n">
        <v>43</v>
      </c>
      <c r="Z504" s="1" t="n">
        <v>287</v>
      </c>
      <c r="AA504" s="1" t="n">
        <v>124</v>
      </c>
      <c r="AB504" s="7" t="s">
        <v>81</v>
      </c>
      <c r="AC504" s="7" t="s">
        <v>82</v>
      </c>
      <c r="AD504" s="7" t="s">
        <v>83</v>
      </c>
      <c r="AE504" s="7" t="s">
        <v>84</v>
      </c>
      <c r="AF504" s="4" t="n">
        <f aca="false">IF(T504="","",IF(T504&lt;=30,(50/30)*T504,IF(T504&lt;=60,50+((100-50)/(60-30))*(T504-30),IF(T504&lt;=90,100+((200-100)/(90-60))*(T504-60),IF(T504&lt;=120,200+((300-200)/(120-90))*(T504-90),IF(T504&lt;=250,300+((400-300)/(250-120))*(T504-120),IF(T504&lt;=380,400+((500-400)/(380-250))*(T504-250),500)))))))</f>
        <v>93.6666666666667</v>
      </c>
      <c r="AG504" s="4" t="n">
        <f aca="false">IF(U504="","",IF(U504&lt;=50,(50/50)*U504,IF(U504&lt;=100,50+((100-50)/(100-50))*(U504-50),IF(U504&lt;=250,100+((200-100)/(250-100))*(U504-100),IF(U504&lt;=350,200+((300-200)/(350-250))*(U504-250),IF(U504&lt;=430,300+((400-300)/(430-350))*(U504-350),IF(U504&lt;=600,400+((500-400)/(600-430))*(U504-430),500)))))))</f>
        <v>167.466666666667</v>
      </c>
      <c r="AH504" s="4" t="n">
        <f aca="false">IF(V504="","",IF((V504/1000)&lt;=1,(50/1)*(V504/1000),IF((V504/1000)&lt;=2,50+((100-50)/(2-1))*(V504/1000-1),IF((V504/1000)&lt;=10,100+((200-100)/(10-2))*(V504/1000-2),IF((V504/1000)&lt;=17,200+((300-200)/(17-10))*(V504/1000-10),IF((V504/1000)&lt;=34,300+((400-300)/(34-17))*(V504/1000-17),IF((V504/1000)&lt;=57,400+((500-400)/(57-34))*(V504/1000-34),500)))))))</f>
        <v>26.85</v>
      </c>
      <c r="AI504" s="4" t="n">
        <f aca="false">IF(W504="","",IF(W504&lt;=40,(50/40)*W504,IF(W504&lt;=80,50+((100-50)/(80-40))*(W504-40),IF(W504&lt;=180,100+((200-100)/(180-80))*(W504-80),IF(W504&lt;=280,200+((300-200)/(280-180))*(W504-180),IF(W504&lt;=400,300+((400-300)/(400-280))*(W504-280),IF(W504&lt;=800,400+((500-400)/(800-400))*(W504-400),500)))))))</f>
        <v>57.625</v>
      </c>
      <c r="AJ504" s="4" t="n">
        <f aca="false">IF(X504="","",IF(X504&lt;=40,(50/40)*X504,IF(X504&lt;=80,50+((100-50)/(80-40))*(X504-40),IF(X504&lt;=380,100+((200-100)/(380-80))*(X504-80),IF(X504&lt;=800,200+((300-200)/(800-380))*(X504-380),IF(X504&lt;=1600,300+((400-300)/(1600-800))*(X504-800),IF(X504&lt;=2100,400+((500-400)/(2100-1600))*(X504-1600),500)))))))</f>
        <v>25.75</v>
      </c>
      <c r="AK504" s="4" t="n">
        <f aca="false">IF(Y504="","",IF(Y504&lt;=50,(50/50)*Y504,IF(Y504&lt;=100,50+((100-50)/(100-50))*(Y504-50),IF(Y504&lt;=168,100+((200-100)/(168-100))*(Y504-100),IF(Y504&lt;=208,200+((300-200)/(208-168))*(Y504-168),IF(Y504&lt;=748,300+((400-300)/(748-208))*(Y504-208),IF(Y504&lt;=1000,400+((500-400)/(1000-748))*(Y504-748),500)))))))</f>
        <v>43</v>
      </c>
      <c r="AL504" s="4" t="n">
        <f aca="false">ROUND(MAX(AF504,AG504,AH504,AI504,AJ504,AK504),0)</f>
        <v>167</v>
      </c>
      <c r="AM504" s="4" t="str">
        <f aca="false">IF(AL504="","",IF(AL504&lt;=50,"Good",IF(AL504&lt;=100,"Satisfactory",IF(AL504&lt;=200,"Moderate",IF(AL504&lt;=300,"Poor",IF(AL504&lt;=400,"Very Poor","Severe"))))))</f>
        <v>Moderate</v>
      </c>
    </row>
    <row r="505" customFormat="false" ht="15.75" hidden="false" customHeight="false" outlineLevel="0" collapsed="false">
      <c r="A505" s="1" t="s">
        <v>39</v>
      </c>
      <c r="B505" s="1" t="s">
        <v>40</v>
      </c>
      <c r="C505" s="1" t="n">
        <v>28.4595</v>
      </c>
      <c r="D505" s="1" t="n">
        <v>77.0266</v>
      </c>
      <c r="E505" s="5" t="n">
        <v>45921</v>
      </c>
      <c r="F505" s="6" t="s">
        <v>77</v>
      </c>
      <c r="G505" s="1" t="n">
        <v>9</v>
      </c>
      <c r="H505" s="7" t="s">
        <v>87</v>
      </c>
      <c r="I505" s="6" t="s">
        <v>46</v>
      </c>
      <c r="J505" s="7" t="s">
        <v>44</v>
      </c>
      <c r="K505" s="7" t="s">
        <v>75</v>
      </c>
      <c r="L505" s="1" t="n">
        <v>72</v>
      </c>
      <c r="M505" s="1" t="n">
        <v>21.2</v>
      </c>
      <c r="N505" s="1" t="n">
        <v>16.6</v>
      </c>
      <c r="O505" s="1" t="n">
        <v>0</v>
      </c>
      <c r="P505" s="6" t="s">
        <v>43</v>
      </c>
      <c r="Q505" s="6" t="s">
        <v>43</v>
      </c>
      <c r="R505" s="1" t="n">
        <v>1005</v>
      </c>
      <c r="S505" s="1" t="n">
        <v>0</v>
      </c>
      <c r="T505" s="1" t="n">
        <v>59.4</v>
      </c>
      <c r="U505" s="1" t="n">
        <v>196.5</v>
      </c>
      <c r="V505" s="1" t="n">
        <v>415</v>
      </c>
      <c r="W505" s="1" t="n">
        <v>50.2</v>
      </c>
      <c r="X505" s="1" t="n">
        <v>21</v>
      </c>
      <c r="Y505" s="1" t="n">
        <v>35</v>
      </c>
      <c r="Z505" s="1" t="n">
        <v>263</v>
      </c>
      <c r="AA505" s="1" t="n">
        <v>124</v>
      </c>
      <c r="AB505" s="7" t="s">
        <v>81</v>
      </c>
      <c r="AC505" s="7" t="s">
        <v>82</v>
      </c>
      <c r="AD505" s="7" t="s">
        <v>83</v>
      </c>
      <c r="AE505" s="7" t="s">
        <v>84</v>
      </c>
      <c r="AF505" s="4" t="n">
        <f aca="false">IF(T505="","",IF(T505&lt;=30,(50/30)*T505,IF(T505&lt;=60,50+((100-50)/(60-30))*(T505-30),IF(T505&lt;=90,100+((200-100)/(90-60))*(T505-60),IF(T505&lt;=120,200+((300-200)/(120-90))*(T505-90),IF(T505&lt;=250,300+((400-300)/(250-120))*(T505-120),IF(T505&lt;=380,400+((500-400)/(380-250))*(T505-250),500)))))))</f>
        <v>99</v>
      </c>
      <c r="AG505" s="4" t="n">
        <f aca="false">IF(U505="","",IF(U505&lt;=50,(50/50)*U505,IF(U505&lt;=100,50+((100-50)/(100-50))*(U505-50),IF(U505&lt;=250,100+((200-100)/(250-100))*(U505-100),IF(U505&lt;=350,200+((300-200)/(350-250))*(U505-250),IF(U505&lt;=430,300+((400-300)/(430-350))*(U505-350),IF(U505&lt;=600,400+((500-400)/(600-430))*(U505-430),500)))))))</f>
        <v>164.333333333333</v>
      </c>
      <c r="AH505" s="4" t="n">
        <f aca="false">IF(V505="","",IF((V505/1000)&lt;=1,(50/1)*(V505/1000),IF((V505/1000)&lt;=2,50+((100-50)/(2-1))*(V505/1000-1),IF((V505/1000)&lt;=10,100+((200-100)/(10-2))*(V505/1000-2),IF((V505/1000)&lt;=17,200+((300-200)/(17-10))*(V505/1000-10),IF((V505/1000)&lt;=34,300+((400-300)/(34-17))*(V505/1000-17),IF((V505/1000)&lt;=57,400+((500-400)/(57-34))*(V505/1000-34),500)))))))</f>
        <v>20.75</v>
      </c>
      <c r="AI505" s="4" t="n">
        <f aca="false">IF(W505="","",IF(W505&lt;=40,(50/40)*W505,IF(W505&lt;=80,50+((100-50)/(80-40))*(W505-40),IF(W505&lt;=180,100+((200-100)/(180-80))*(W505-80),IF(W505&lt;=280,200+((300-200)/(280-180))*(W505-180),IF(W505&lt;=400,300+((400-300)/(400-280))*(W505-280),IF(W505&lt;=800,400+((500-400)/(800-400))*(W505-400),500)))))))</f>
        <v>62.75</v>
      </c>
      <c r="AJ505" s="4" t="n">
        <f aca="false">IF(X505="","",IF(X505&lt;=40,(50/40)*X505,IF(X505&lt;=80,50+((100-50)/(80-40))*(X505-40),IF(X505&lt;=380,100+((200-100)/(380-80))*(X505-80),IF(X505&lt;=800,200+((300-200)/(800-380))*(X505-380),IF(X505&lt;=1600,300+((400-300)/(1600-800))*(X505-800),IF(X505&lt;=2100,400+((500-400)/(2100-1600))*(X505-1600),500)))))))</f>
        <v>26.25</v>
      </c>
      <c r="AK505" s="4" t="n">
        <f aca="false">IF(Y505="","",IF(Y505&lt;=50,(50/50)*Y505,IF(Y505&lt;=100,50+((100-50)/(100-50))*(Y505-50),IF(Y505&lt;=168,100+((200-100)/(168-100))*(Y505-100),IF(Y505&lt;=208,200+((300-200)/(208-168))*(Y505-168),IF(Y505&lt;=748,300+((400-300)/(748-208))*(Y505-208),IF(Y505&lt;=1000,400+((500-400)/(1000-748))*(Y505-748),500)))))))</f>
        <v>35</v>
      </c>
      <c r="AL505" s="4" t="n">
        <f aca="false">ROUND(MAX(AF505,AG505,AH505,AI505,AJ505,AK505),0)</f>
        <v>164</v>
      </c>
      <c r="AM505" s="4" t="str">
        <f aca="false">IF(AL505="","",IF(AL505&lt;=50,"Good",IF(AL505&lt;=100,"Satisfactory",IF(AL505&lt;=200,"Moderate",IF(AL505&lt;=300,"Poor",IF(AL505&lt;=400,"Very Poor","Severe"))))))</f>
        <v>Moderate</v>
      </c>
    </row>
    <row r="506" customFormat="false" ht="15.75" hidden="false" customHeight="false" outlineLevel="0" collapsed="false">
      <c r="A506" s="1" t="s">
        <v>39</v>
      </c>
      <c r="B506" s="1" t="s">
        <v>40</v>
      </c>
      <c r="C506" s="1" t="n">
        <v>28.4595</v>
      </c>
      <c r="D506" s="1" t="n">
        <v>77.0266</v>
      </c>
      <c r="E506" s="5" t="n">
        <v>45922</v>
      </c>
      <c r="F506" s="6" t="s">
        <v>41</v>
      </c>
      <c r="G506" s="1" t="n">
        <v>9</v>
      </c>
      <c r="H506" s="7" t="s">
        <v>42</v>
      </c>
      <c r="I506" s="6" t="s">
        <v>43</v>
      </c>
      <c r="J506" s="7" t="s">
        <v>44</v>
      </c>
      <c r="K506" s="7" t="s">
        <v>45</v>
      </c>
      <c r="L506" s="1" t="n">
        <v>71</v>
      </c>
      <c r="M506" s="1" t="n">
        <v>20.8</v>
      </c>
      <c r="N506" s="1" t="n">
        <v>15.8</v>
      </c>
      <c r="O506" s="1" t="n">
        <v>0</v>
      </c>
      <c r="P506" s="6" t="s">
        <v>43</v>
      </c>
      <c r="Q506" s="6" t="s">
        <v>43</v>
      </c>
      <c r="R506" s="1" t="n">
        <v>1005</v>
      </c>
      <c r="S506" s="1" t="n">
        <v>0</v>
      </c>
      <c r="T506" s="1" t="n">
        <v>61.9</v>
      </c>
      <c r="U506" s="1" t="n">
        <v>196</v>
      </c>
      <c r="V506" s="1" t="n">
        <v>378</v>
      </c>
      <c r="W506" s="1" t="n">
        <v>54.8</v>
      </c>
      <c r="X506" s="1" t="n">
        <v>20.4</v>
      </c>
      <c r="Y506" s="1" t="n">
        <v>26</v>
      </c>
      <c r="Z506" s="1" t="n">
        <v>253</v>
      </c>
      <c r="AA506" s="1" t="n">
        <v>124</v>
      </c>
      <c r="AB506" s="7" t="s">
        <v>81</v>
      </c>
      <c r="AC506" s="7" t="s">
        <v>82</v>
      </c>
      <c r="AD506" s="7" t="s">
        <v>83</v>
      </c>
      <c r="AE506" s="7" t="s">
        <v>84</v>
      </c>
      <c r="AF506" s="4" t="n">
        <f aca="false">IF(T506="","",IF(T506&lt;=30,(50/30)*T506,IF(T506&lt;=60,50+((100-50)/(60-30))*(T506-30),IF(T506&lt;=90,100+((200-100)/(90-60))*(T506-60),IF(T506&lt;=120,200+((300-200)/(120-90))*(T506-90),IF(T506&lt;=250,300+((400-300)/(250-120))*(T506-120),IF(T506&lt;=380,400+((500-400)/(380-250))*(T506-250),500)))))))</f>
        <v>106.333333333333</v>
      </c>
      <c r="AG506" s="4" t="n">
        <f aca="false">IF(U506="","",IF(U506&lt;=50,(50/50)*U506,IF(U506&lt;=100,50+((100-50)/(100-50))*(U506-50),IF(U506&lt;=250,100+((200-100)/(250-100))*(U506-100),IF(U506&lt;=350,200+((300-200)/(350-250))*(U506-250),IF(U506&lt;=430,300+((400-300)/(430-350))*(U506-350),IF(U506&lt;=600,400+((500-400)/(600-430))*(U506-430),500)))))))</f>
        <v>164</v>
      </c>
      <c r="AH506" s="4" t="n">
        <f aca="false">IF(V506="","",IF((V506/1000)&lt;=1,(50/1)*(V506/1000),IF((V506/1000)&lt;=2,50+((100-50)/(2-1))*(V506/1000-1),IF((V506/1000)&lt;=10,100+((200-100)/(10-2))*(V506/1000-2),IF((V506/1000)&lt;=17,200+((300-200)/(17-10))*(V506/1000-10),IF((V506/1000)&lt;=34,300+((400-300)/(34-17))*(V506/1000-17),IF((V506/1000)&lt;=57,400+((500-400)/(57-34))*(V506/1000-34),500)))))))</f>
        <v>18.9</v>
      </c>
      <c r="AI506" s="4" t="n">
        <f aca="false">IF(W506="","",IF(W506&lt;=40,(50/40)*W506,IF(W506&lt;=80,50+((100-50)/(80-40))*(W506-40),IF(W506&lt;=180,100+((200-100)/(180-80))*(W506-80),IF(W506&lt;=280,200+((300-200)/(280-180))*(W506-180),IF(W506&lt;=400,300+((400-300)/(400-280))*(W506-280),IF(W506&lt;=800,400+((500-400)/(800-400))*(W506-400),500)))))))</f>
        <v>68.5</v>
      </c>
      <c r="AJ506" s="4" t="n">
        <f aca="false">IF(X506="","",IF(X506&lt;=40,(50/40)*X506,IF(X506&lt;=80,50+((100-50)/(80-40))*(X506-40),IF(X506&lt;=380,100+((200-100)/(380-80))*(X506-80),IF(X506&lt;=800,200+((300-200)/(800-380))*(X506-380),IF(X506&lt;=1600,300+((400-300)/(1600-800))*(X506-800),IF(X506&lt;=2100,400+((500-400)/(2100-1600))*(X506-1600),500)))))))</f>
        <v>25.5</v>
      </c>
      <c r="AK506" s="4" t="n">
        <f aca="false">IF(Y506="","",IF(Y506&lt;=50,(50/50)*Y506,IF(Y506&lt;=100,50+((100-50)/(100-50))*(Y506-50),IF(Y506&lt;=168,100+((200-100)/(168-100))*(Y506-100),IF(Y506&lt;=208,200+((300-200)/(208-168))*(Y506-168),IF(Y506&lt;=748,300+((400-300)/(748-208))*(Y506-208),IF(Y506&lt;=1000,400+((500-400)/(1000-748))*(Y506-748),500)))))))</f>
        <v>26</v>
      </c>
      <c r="AL506" s="4" t="n">
        <f aca="false">ROUND(MAX(AF506,AG506,AH506,AI506,AJ506,AK506),0)</f>
        <v>164</v>
      </c>
      <c r="AM506" s="4" t="str">
        <f aca="false">IF(AL506="","",IF(AL506&lt;=50,"Good",IF(AL506&lt;=100,"Satisfactory",IF(AL506&lt;=200,"Moderate",IF(AL506&lt;=300,"Poor",IF(AL506&lt;=400,"Very Poor","Severe"))))))</f>
        <v>Moderate</v>
      </c>
    </row>
    <row r="507" customFormat="false" ht="15.75" hidden="false" customHeight="false" outlineLevel="0" collapsed="false">
      <c r="A507" s="1" t="s">
        <v>39</v>
      </c>
      <c r="B507" s="1" t="s">
        <v>40</v>
      </c>
      <c r="C507" s="1" t="n">
        <v>28.4595</v>
      </c>
      <c r="D507" s="1" t="n">
        <v>77.0266</v>
      </c>
      <c r="E507" s="5" t="n">
        <v>45922</v>
      </c>
      <c r="F507" s="6" t="s">
        <v>49</v>
      </c>
      <c r="G507" s="1" t="n">
        <v>9</v>
      </c>
      <c r="H507" s="7" t="s">
        <v>42</v>
      </c>
      <c r="I507" s="6" t="s">
        <v>43</v>
      </c>
      <c r="J507" s="7" t="s">
        <v>44</v>
      </c>
      <c r="K507" s="7" t="s">
        <v>45</v>
      </c>
      <c r="L507" s="1" t="n">
        <v>73</v>
      </c>
      <c r="M507" s="1" t="n">
        <v>20.8</v>
      </c>
      <c r="N507" s="1" t="n">
        <v>10.8</v>
      </c>
      <c r="O507" s="1" t="n">
        <v>0</v>
      </c>
      <c r="P507" s="6" t="s">
        <v>43</v>
      </c>
      <c r="Q507" s="6" t="s">
        <v>43</v>
      </c>
      <c r="R507" s="1" t="n">
        <v>1005</v>
      </c>
      <c r="S507" s="1" t="n">
        <v>0</v>
      </c>
      <c r="T507" s="1" t="n">
        <v>64</v>
      </c>
      <c r="U507" s="1" t="n">
        <v>195.6</v>
      </c>
      <c r="V507" s="1" t="n">
        <v>378</v>
      </c>
      <c r="W507" s="1" t="n">
        <v>59</v>
      </c>
      <c r="X507" s="1" t="n">
        <v>19.3</v>
      </c>
      <c r="Y507" s="1" t="n">
        <v>16</v>
      </c>
      <c r="Z507" s="1" t="n">
        <v>250</v>
      </c>
      <c r="AA507" s="1" t="n">
        <v>125</v>
      </c>
      <c r="AB507" s="7" t="s">
        <v>81</v>
      </c>
      <c r="AC507" s="7" t="s">
        <v>82</v>
      </c>
      <c r="AD507" s="7" t="s">
        <v>83</v>
      </c>
      <c r="AE507" s="7" t="s">
        <v>84</v>
      </c>
      <c r="AF507" s="4" t="n">
        <f aca="false">IF(T507="","",IF(T507&lt;=30,(50/30)*T507,IF(T507&lt;=60,50+((100-50)/(60-30))*(T507-30),IF(T507&lt;=90,100+((200-100)/(90-60))*(T507-60),IF(T507&lt;=120,200+((300-200)/(120-90))*(T507-90),IF(T507&lt;=250,300+((400-300)/(250-120))*(T507-120),IF(T507&lt;=380,400+((500-400)/(380-250))*(T507-250),500)))))))</f>
        <v>113.333333333333</v>
      </c>
      <c r="AG507" s="4" t="n">
        <f aca="false">IF(U507="","",IF(U507&lt;=50,(50/50)*U507,IF(U507&lt;=100,50+((100-50)/(100-50))*(U507-50),IF(U507&lt;=250,100+((200-100)/(250-100))*(U507-100),IF(U507&lt;=350,200+((300-200)/(350-250))*(U507-250),IF(U507&lt;=430,300+((400-300)/(430-350))*(U507-350),IF(U507&lt;=600,400+((500-400)/(600-430))*(U507-430),500)))))))</f>
        <v>163.733333333333</v>
      </c>
      <c r="AH507" s="4" t="n">
        <f aca="false">IF(V507="","",IF((V507/1000)&lt;=1,(50/1)*(V507/1000),IF((V507/1000)&lt;=2,50+((100-50)/(2-1))*(V507/1000-1),IF((V507/1000)&lt;=10,100+((200-100)/(10-2))*(V507/1000-2),IF((V507/1000)&lt;=17,200+((300-200)/(17-10))*(V507/1000-10),IF((V507/1000)&lt;=34,300+((400-300)/(34-17))*(V507/1000-17),IF((V507/1000)&lt;=57,400+((500-400)/(57-34))*(V507/1000-34),500)))))))</f>
        <v>18.9</v>
      </c>
      <c r="AI507" s="4" t="n">
        <f aca="false">IF(W507="","",IF(W507&lt;=40,(50/40)*W507,IF(W507&lt;=80,50+((100-50)/(80-40))*(W507-40),IF(W507&lt;=180,100+((200-100)/(180-80))*(W507-80),IF(W507&lt;=280,200+((300-200)/(280-180))*(W507-180),IF(W507&lt;=400,300+((400-300)/(400-280))*(W507-280),IF(W507&lt;=800,400+((500-400)/(800-400))*(W507-400),500)))))))</f>
        <v>73.75</v>
      </c>
      <c r="AJ507" s="4" t="n">
        <f aca="false">IF(X507="","",IF(X507&lt;=40,(50/40)*X507,IF(X507&lt;=80,50+((100-50)/(80-40))*(X507-40),IF(X507&lt;=380,100+((200-100)/(380-80))*(X507-80),IF(X507&lt;=800,200+((300-200)/(800-380))*(X507-380),IF(X507&lt;=1600,300+((400-300)/(1600-800))*(X507-800),IF(X507&lt;=2100,400+((500-400)/(2100-1600))*(X507-1600),500)))))))</f>
        <v>24.125</v>
      </c>
      <c r="AK507" s="4" t="n">
        <f aca="false">IF(Y507="","",IF(Y507&lt;=50,(50/50)*Y507,IF(Y507&lt;=100,50+((100-50)/(100-50))*(Y507-50),IF(Y507&lt;=168,100+((200-100)/(168-100))*(Y507-100),IF(Y507&lt;=208,200+((300-200)/(208-168))*(Y507-168),IF(Y507&lt;=748,300+((400-300)/(748-208))*(Y507-208),IF(Y507&lt;=1000,400+((500-400)/(1000-748))*(Y507-748),500)))))))</f>
        <v>16</v>
      </c>
      <c r="AL507" s="4" t="n">
        <f aca="false">ROUND(MAX(AF507,AG507,AH507,AI507,AJ507,AK507),0)</f>
        <v>164</v>
      </c>
      <c r="AM507" s="4" t="str">
        <f aca="false">IF(AL507="","",IF(AL507&lt;=50,"Good",IF(AL507&lt;=100,"Satisfactory",IF(AL507&lt;=200,"Moderate",IF(AL507&lt;=300,"Poor",IF(AL507&lt;=400,"Very Poor","Severe"))))))</f>
        <v>Moderate</v>
      </c>
    </row>
    <row r="508" customFormat="false" ht="15.75" hidden="false" customHeight="false" outlineLevel="0" collapsed="false">
      <c r="A508" s="1" t="s">
        <v>39</v>
      </c>
      <c r="B508" s="1" t="s">
        <v>40</v>
      </c>
      <c r="C508" s="1" t="n">
        <v>28.4595</v>
      </c>
      <c r="D508" s="1" t="n">
        <v>77.0266</v>
      </c>
      <c r="E508" s="5" t="n">
        <v>45922</v>
      </c>
      <c r="F508" s="6" t="s">
        <v>51</v>
      </c>
      <c r="G508" s="1" t="n">
        <v>9</v>
      </c>
      <c r="H508" s="7" t="s">
        <v>42</v>
      </c>
      <c r="I508" s="6" t="s">
        <v>43</v>
      </c>
      <c r="J508" s="7" t="s">
        <v>44</v>
      </c>
      <c r="K508" s="7" t="s">
        <v>45</v>
      </c>
      <c r="L508" s="1" t="n">
        <v>75</v>
      </c>
      <c r="M508" s="1" t="n">
        <v>20.7</v>
      </c>
      <c r="N508" s="1" t="n">
        <v>10.1</v>
      </c>
      <c r="O508" s="1" t="n">
        <v>0</v>
      </c>
      <c r="P508" s="6" t="s">
        <v>43</v>
      </c>
      <c r="Q508" s="6" t="s">
        <v>43</v>
      </c>
      <c r="R508" s="1" t="n">
        <v>1005</v>
      </c>
      <c r="S508" s="1" t="n">
        <v>0</v>
      </c>
      <c r="T508" s="1" t="n">
        <v>63.8</v>
      </c>
      <c r="U508" s="1" t="n">
        <v>192.3</v>
      </c>
      <c r="V508" s="1" t="n">
        <v>387</v>
      </c>
      <c r="W508" s="1" t="n">
        <v>60.5</v>
      </c>
      <c r="X508" s="1" t="n">
        <v>18.1</v>
      </c>
      <c r="Y508" s="1" t="n">
        <v>11</v>
      </c>
      <c r="Z508" s="1" t="n">
        <v>244</v>
      </c>
      <c r="AA508" s="1" t="n">
        <v>126</v>
      </c>
      <c r="AB508" s="7" t="s">
        <v>81</v>
      </c>
      <c r="AC508" s="7" t="s">
        <v>82</v>
      </c>
      <c r="AD508" s="7" t="s">
        <v>83</v>
      </c>
      <c r="AE508" s="7" t="s">
        <v>84</v>
      </c>
      <c r="AF508" s="4" t="n">
        <f aca="false">IF(T508="","",IF(T508&lt;=30,(50/30)*T508,IF(T508&lt;=60,50+((100-50)/(60-30))*(T508-30),IF(T508&lt;=90,100+((200-100)/(90-60))*(T508-60),IF(T508&lt;=120,200+((300-200)/(120-90))*(T508-90),IF(T508&lt;=250,300+((400-300)/(250-120))*(T508-120),IF(T508&lt;=380,400+((500-400)/(380-250))*(T508-250),500)))))))</f>
        <v>112.666666666667</v>
      </c>
      <c r="AG508" s="4" t="n">
        <f aca="false">IF(U508="","",IF(U508&lt;=50,(50/50)*U508,IF(U508&lt;=100,50+((100-50)/(100-50))*(U508-50),IF(U508&lt;=250,100+((200-100)/(250-100))*(U508-100),IF(U508&lt;=350,200+((300-200)/(350-250))*(U508-250),IF(U508&lt;=430,300+((400-300)/(430-350))*(U508-350),IF(U508&lt;=600,400+((500-400)/(600-430))*(U508-430),500)))))))</f>
        <v>161.533333333333</v>
      </c>
      <c r="AH508" s="4" t="n">
        <f aca="false">IF(V508="","",IF((V508/1000)&lt;=1,(50/1)*(V508/1000),IF((V508/1000)&lt;=2,50+((100-50)/(2-1))*(V508/1000-1),IF((V508/1000)&lt;=10,100+((200-100)/(10-2))*(V508/1000-2),IF((V508/1000)&lt;=17,200+((300-200)/(17-10))*(V508/1000-10),IF((V508/1000)&lt;=34,300+((400-300)/(34-17))*(V508/1000-17),IF((V508/1000)&lt;=57,400+((500-400)/(57-34))*(V508/1000-34),500)))))))</f>
        <v>19.35</v>
      </c>
      <c r="AI508" s="4" t="n">
        <f aca="false">IF(W508="","",IF(W508&lt;=40,(50/40)*W508,IF(W508&lt;=80,50+((100-50)/(80-40))*(W508-40),IF(W508&lt;=180,100+((200-100)/(180-80))*(W508-80),IF(W508&lt;=280,200+((300-200)/(280-180))*(W508-180),IF(W508&lt;=400,300+((400-300)/(400-280))*(W508-280),IF(W508&lt;=800,400+((500-400)/(800-400))*(W508-400),500)))))))</f>
        <v>75.625</v>
      </c>
      <c r="AJ508" s="4" t="n">
        <f aca="false">IF(X508="","",IF(X508&lt;=40,(50/40)*X508,IF(X508&lt;=80,50+((100-50)/(80-40))*(X508-40),IF(X508&lt;=380,100+((200-100)/(380-80))*(X508-80),IF(X508&lt;=800,200+((300-200)/(800-380))*(X508-380),IF(X508&lt;=1600,300+((400-300)/(1600-800))*(X508-800),IF(X508&lt;=2100,400+((500-400)/(2100-1600))*(X508-1600),500)))))))</f>
        <v>22.625</v>
      </c>
      <c r="AK508" s="4" t="n">
        <f aca="false">IF(Y508="","",IF(Y508&lt;=50,(50/50)*Y508,IF(Y508&lt;=100,50+((100-50)/(100-50))*(Y508-50),IF(Y508&lt;=168,100+((200-100)/(168-100))*(Y508-100),IF(Y508&lt;=208,200+((300-200)/(208-168))*(Y508-168),IF(Y508&lt;=748,300+((400-300)/(748-208))*(Y508-208),IF(Y508&lt;=1000,400+((500-400)/(1000-748))*(Y508-748),500)))))))</f>
        <v>11</v>
      </c>
      <c r="AL508" s="4" t="n">
        <f aca="false">ROUND(MAX(AF508,AG508,AH508,AI508,AJ508,AK508),0)</f>
        <v>162</v>
      </c>
      <c r="AM508" s="4" t="str">
        <f aca="false">IF(AL508="","",IF(AL508&lt;=50,"Good",IF(AL508&lt;=100,"Satisfactory",IF(AL508&lt;=200,"Moderate",IF(AL508&lt;=300,"Poor",IF(AL508&lt;=400,"Very Poor","Severe"))))))</f>
        <v>Moderate</v>
      </c>
    </row>
    <row r="509" customFormat="false" ht="15.75" hidden="false" customHeight="false" outlineLevel="0" collapsed="false">
      <c r="A509" s="1" t="s">
        <v>39</v>
      </c>
      <c r="B509" s="1" t="s">
        <v>40</v>
      </c>
      <c r="C509" s="1" t="n">
        <v>28.4595</v>
      </c>
      <c r="D509" s="1" t="n">
        <v>77.0266</v>
      </c>
      <c r="E509" s="5" t="n">
        <v>45922</v>
      </c>
      <c r="F509" s="6" t="s">
        <v>52</v>
      </c>
      <c r="G509" s="1" t="n">
        <v>9</v>
      </c>
      <c r="H509" s="7" t="s">
        <v>42</v>
      </c>
      <c r="I509" s="6" t="s">
        <v>43</v>
      </c>
      <c r="J509" s="7" t="s">
        <v>44</v>
      </c>
      <c r="K509" s="7" t="s">
        <v>45</v>
      </c>
      <c r="L509" s="1" t="n">
        <v>78</v>
      </c>
      <c r="M509" s="1" t="n">
        <v>20.6</v>
      </c>
      <c r="N509" s="1" t="n">
        <v>10.4</v>
      </c>
      <c r="O509" s="1" t="n">
        <v>0</v>
      </c>
      <c r="P509" s="6" t="s">
        <v>43</v>
      </c>
      <c r="Q509" s="6" t="s">
        <v>43</v>
      </c>
      <c r="R509" s="1" t="n">
        <v>1005</v>
      </c>
      <c r="S509" s="1" t="n">
        <v>0</v>
      </c>
      <c r="T509" s="1" t="n">
        <v>61</v>
      </c>
      <c r="U509" s="1" t="n">
        <v>185.8</v>
      </c>
      <c r="V509" s="1" t="n">
        <v>398</v>
      </c>
      <c r="W509" s="1" t="n">
        <v>57.4</v>
      </c>
      <c r="X509" s="1" t="n">
        <v>17</v>
      </c>
      <c r="Y509" s="1" t="n">
        <v>10</v>
      </c>
      <c r="Z509" s="1" t="n">
        <v>229</v>
      </c>
      <c r="AA509" s="1" t="n">
        <v>127</v>
      </c>
      <c r="AB509" s="7" t="s">
        <v>81</v>
      </c>
      <c r="AC509" s="7" t="s">
        <v>82</v>
      </c>
      <c r="AD509" s="7" t="s">
        <v>83</v>
      </c>
      <c r="AE509" s="7" t="s">
        <v>84</v>
      </c>
      <c r="AF509" s="4" t="n">
        <f aca="false">IF(T509="","",IF(T509&lt;=30,(50/30)*T509,IF(T509&lt;=60,50+((100-50)/(60-30))*(T509-30),IF(T509&lt;=90,100+((200-100)/(90-60))*(T509-60),IF(T509&lt;=120,200+((300-200)/(120-90))*(T509-90),IF(T509&lt;=250,300+((400-300)/(250-120))*(T509-120),IF(T509&lt;=380,400+((500-400)/(380-250))*(T509-250),500)))))))</f>
        <v>103.333333333333</v>
      </c>
      <c r="AG509" s="4" t="n">
        <f aca="false">IF(U509="","",IF(U509&lt;=50,(50/50)*U509,IF(U509&lt;=100,50+((100-50)/(100-50))*(U509-50),IF(U509&lt;=250,100+((200-100)/(250-100))*(U509-100),IF(U509&lt;=350,200+((300-200)/(350-250))*(U509-250),IF(U509&lt;=430,300+((400-300)/(430-350))*(U509-350),IF(U509&lt;=600,400+((500-400)/(600-430))*(U509-430),500)))))))</f>
        <v>157.2</v>
      </c>
      <c r="AH509" s="4" t="n">
        <f aca="false">IF(V509="","",IF((V509/1000)&lt;=1,(50/1)*(V509/1000),IF((V509/1000)&lt;=2,50+((100-50)/(2-1))*(V509/1000-1),IF((V509/1000)&lt;=10,100+((200-100)/(10-2))*(V509/1000-2),IF((V509/1000)&lt;=17,200+((300-200)/(17-10))*(V509/1000-10),IF((V509/1000)&lt;=34,300+((400-300)/(34-17))*(V509/1000-17),IF((V509/1000)&lt;=57,400+((500-400)/(57-34))*(V509/1000-34),500)))))))</f>
        <v>19.9</v>
      </c>
      <c r="AI509" s="4" t="n">
        <f aca="false">IF(W509="","",IF(W509&lt;=40,(50/40)*W509,IF(W509&lt;=80,50+((100-50)/(80-40))*(W509-40),IF(W509&lt;=180,100+((200-100)/(180-80))*(W509-80),IF(W509&lt;=280,200+((300-200)/(280-180))*(W509-180),IF(W509&lt;=400,300+((400-300)/(400-280))*(W509-280),IF(W509&lt;=800,400+((500-400)/(800-400))*(W509-400),500)))))))</f>
        <v>71.75</v>
      </c>
      <c r="AJ509" s="4" t="n">
        <f aca="false">IF(X509="","",IF(X509&lt;=40,(50/40)*X509,IF(X509&lt;=80,50+((100-50)/(80-40))*(X509-40),IF(X509&lt;=380,100+((200-100)/(380-80))*(X509-80),IF(X509&lt;=800,200+((300-200)/(800-380))*(X509-380),IF(X509&lt;=1600,300+((400-300)/(1600-800))*(X509-800),IF(X509&lt;=2100,400+((500-400)/(2100-1600))*(X509-1600),500)))))))</f>
        <v>21.25</v>
      </c>
      <c r="AK509" s="4" t="n">
        <f aca="false">IF(Y509="","",IF(Y509&lt;=50,(50/50)*Y509,IF(Y509&lt;=100,50+((100-50)/(100-50))*(Y509-50),IF(Y509&lt;=168,100+((200-100)/(168-100))*(Y509-100),IF(Y509&lt;=208,200+((300-200)/(208-168))*(Y509-168),IF(Y509&lt;=748,300+((400-300)/(748-208))*(Y509-208),IF(Y509&lt;=1000,400+((500-400)/(1000-748))*(Y509-748),500)))))))</f>
        <v>10</v>
      </c>
      <c r="AL509" s="4" t="n">
        <f aca="false">ROUND(MAX(AF509,AG509,AH509,AI509,AJ509,AK509),0)</f>
        <v>157</v>
      </c>
      <c r="AM509" s="4" t="str">
        <f aca="false">IF(AL509="","",IF(AL509&lt;=50,"Good",IF(AL509&lt;=100,"Satisfactory",IF(AL509&lt;=200,"Moderate",IF(AL509&lt;=300,"Poor",IF(AL509&lt;=400,"Very Poor","Severe"))))))</f>
        <v>Moderate</v>
      </c>
    </row>
    <row r="510" customFormat="false" ht="15.75" hidden="false" customHeight="false" outlineLevel="0" collapsed="false">
      <c r="A510" s="1" t="s">
        <v>39</v>
      </c>
      <c r="B510" s="1" t="s">
        <v>40</v>
      </c>
      <c r="C510" s="1" t="n">
        <v>28.4595</v>
      </c>
      <c r="D510" s="1" t="n">
        <v>77.0266</v>
      </c>
      <c r="E510" s="5" t="n">
        <v>45922</v>
      </c>
      <c r="F510" s="6" t="s">
        <v>53</v>
      </c>
      <c r="G510" s="1" t="n">
        <v>9</v>
      </c>
      <c r="H510" s="7" t="s">
        <v>42</v>
      </c>
      <c r="I510" s="6" t="s">
        <v>43</v>
      </c>
      <c r="J510" s="7" t="s">
        <v>44</v>
      </c>
      <c r="K510" s="7" t="s">
        <v>45</v>
      </c>
      <c r="L510" s="1" t="n">
        <v>79</v>
      </c>
      <c r="M510" s="1" t="n">
        <v>20.4</v>
      </c>
      <c r="N510" s="1" t="n">
        <v>10.4</v>
      </c>
      <c r="O510" s="1" t="n">
        <v>0</v>
      </c>
      <c r="P510" s="6" t="s">
        <v>43</v>
      </c>
      <c r="Q510" s="6" t="s">
        <v>43</v>
      </c>
      <c r="R510" s="1" t="n">
        <v>1005.2</v>
      </c>
      <c r="S510" s="1" t="n">
        <v>0</v>
      </c>
      <c r="T510" s="1" t="n">
        <v>57.2</v>
      </c>
      <c r="U510" s="1" t="n">
        <v>174.2</v>
      </c>
      <c r="V510" s="1" t="n">
        <v>420</v>
      </c>
      <c r="W510" s="1" t="n">
        <v>51.6</v>
      </c>
      <c r="X510" s="1" t="n">
        <v>16</v>
      </c>
      <c r="Y510" s="1" t="n">
        <v>14</v>
      </c>
      <c r="Z510" s="1" t="n">
        <v>212</v>
      </c>
      <c r="AA510" s="1" t="n">
        <v>128</v>
      </c>
      <c r="AB510" s="7" t="s">
        <v>81</v>
      </c>
      <c r="AC510" s="7" t="s">
        <v>82</v>
      </c>
      <c r="AD510" s="7" t="s">
        <v>83</v>
      </c>
      <c r="AE510" s="7" t="s">
        <v>84</v>
      </c>
      <c r="AF510" s="4" t="n">
        <f aca="false">IF(T510="","",IF(T510&lt;=30,(50/30)*T510,IF(T510&lt;=60,50+((100-50)/(60-30))*(T510-30),IF(T510&lt;=90,100+((200-100)/(90-60))*(T510-60),IF(T510&lt;=120,200+((300-200)/(120-90))*(T510-90),IF(T510&lt;=250,300+((400-300)/(250-120))*(T510-120),IF(T510&lt;=380,400+((500-400)/(380-250))*(T510-250),500)))))))</f>
        <v>95.3333333333333</v>
      </c>
      <c r="AG510" s="4" t="n">
        <f aca="false">IF(U510="","",IF(U510&lt;=50,(50/50)*U510,IF(U510&lt;=100,50+((100-50)/(100-50))*(U510-50),IF(U510&lt;=250,100+((200-100)/(250-100))*(U510-100),IF(U510&lt;=350,200+((300-200)/(350-250))*(U510-250),IF(U510&lt;=430,300+((400-300)/(430-350))*(U510-350),IF(U510&lt;=600,400+((500-400)/(600-430))*(U510-430),500)))))))</f>
        <v>149.466666666667</v>
      </c>
      <c r="AH510" s="4" t="n">
        <f aca="false">IF(V510="","",IF((V510/1000)&lt;=1,(50/1)*(V510/1000),IF((V510/1000)&lt;=2,50+((100-50)/(2-1))*(V510/1000-1),IF((V510/1000)&lt;=10,100+((200-100)/(10-2))*(V510/1000-2),IF((V510/1000)&lt;=17,200+((300-200)/(17-10))*(V510/1000-10),IF((V510/1000)&lt;=34,300+((400-300)/(34-17))*(V510/1000-17),IF((V510/1000)&lt;=57,400+((500-400)/(57-34))*(V510/1000-34),500)))))))</f>
        <v>21</v>
      </c>
      <c r="AI510" s="4" t="n">
        <f aca="false">IF(W510="","",IF(W510&lt;=40,(50/40)*W510,IF(W510&lt;=80,50+((100-50)/(80-40))*(W510-40),IF(W510&lt;=180,100+((200-100)/(180-80))*(W510-80),IF(W510&lt;=280,200+((300-200)/(280-180))*(W510-180),IF(W510&lt;=400,300+((400-300)/(400-280))*(W510-280),IF(W510&lt;=800,400+((500-400)/(800-400))*(W510-400),500)))))))</f>
        <v>64.5</v>
      </c>
      <c r="AJ510" s="4" t="n">
        <f aca="false">IF(X510="","",IF(X510&lt;=40,(50/40)*X510,IF(X510&lt;=80,50+((100-50)/(80-40))*(X510-40),IF(X510&lt;=380,100+((200-100)/(380-80))*(X510-80),IF(X510&lt;=800,200+((300-200)/(800-380))*(X510-380),IF(X510&lt;=1600,300+((400-300)/(1600-800))*(X510-800),IF(X510&lt;=2100,400+((500-400)/(2100-1600))*(X510-1600),500)))))))</f>
        <v>20</v>
      </c>
      <c r="AK510" s="4" t="n">
        <f aca="false">IF(Y510="","",IF(Y510&lt;=50,(50/50)*Y510,IF(Y510&lt;=100,50+((100-50)/(100-50))*(Y510-50),IF(Y510&lt;=168,100+((200-100)/(168-100))*(Y510-100),IF(Y510&lt;=208,200+((300-200)/(208-168))*(Y510-168),IF(Y510&lt;=748,300+((400-300)/(748-208))*(Y510-208),IF(Y510&lt;=1000,400+((500-400)/(1000-748))*(Y510-748),500)))))))</f>
        <v>14</v>
      </c>
      <c r="AL510" s="4" t="n">
        <f aca="false">ROUND(MAX(AF510,AG510,AH510,AI510,AJ510,AK510),0)</f>
        <v>149</v>
      </c>
      <c r="AM510" s="4" t="str">
        <f aca="false">IF(AL510="","",IF(AL510&lt;=50,"Good",IF(AL510&lt;=100,"Satisfactory",IF(AL510&lt;=200,"Moderate",IF(AL510&lt;=300,"Poor",IF(AL510&lt;=400,"Very Poor","Severe"))))))</f>
        <v>Moderate</v>
      </c>
    </row>
    <row r="511" customFormat="false" ht="15.75" hidden="false" customHeight="false" outlineLevel="0" collapsed="false">
      <c r="A511" s="1" t="s">
        <v>39</v>
      </c>
      <c r="B511" s="1" t="s">
        <v>40</v>
      </c>
      <c r="C511" s="1" t="n">
        <v>28.4595</v>
      </c>
      <c r="D511" s="1" t="n">
        <v>77.0266</v>
      </c>
      <c r="E511" s="5" t="n">
        <v>45922</v>
      </c>
      <c r="F511" s="6" t="s">
        <v>54</v>
      </c>
      <c r="G511" s="1" t="n">
        <v>9</v>
      </c>
      <c r="H511" s="7" t="s">
        <v>42</v>
      </c>
      <c r="I511" s="6" t="s">
        <v>43</v>
      </c>
      <c r="J511" s="7" t="s">
        <v>44</v>
      </c>
      <c r="K511" s="7" t="s">
        <v>45</v>
      </c>
      <c r="L511" s="1" t="n">
        <v>78</v>
      </c>
      <c r="M511" s="1" t="n">
        <v>19.9</v>
      </c>
      <c r="N511" s="1" t="n">
        <v>11.5</v>
      </c>
      <c r="O511" s="1" t="n">
        <v>0</v>
      </c>
      <c r="P511" s="6" t="s">
        <v>43</v>
      </c>
      <c r="Q511" s="6" t="s">
        <v>43</v>
      </c>
      <c r="R511" s="1" t="n">
        <v>1005.6</v>
      </c>
      <c r="S511" s="1" t="n">
        <v>0</v>
      </c>
      <c r="T511" s="1" t="n">
        <v>48</v>
      </c>
      <c r="U511" s="1" t="n">
        <v>130.4</v>
      </c>
      <c r="V511" s="1" t="n">
        <v>451</v>
      </c>
      <c r="W511" s="1" t="n">
        <v>36.3</v>
      </c>
      <c r="X511" s="1" t="n">
        <v>16.2</v>
      </c>
      <c r="Y511" s="1" t="n">
        <v>36</v>
      </c>
      <c r="Z511" s="1" t="n">
        <v>155</v>
      </c>
      <c r="AA511" s="1" t="n">
        <v>129</v>
      </c>
      <c r="AB511" s="7" t="s">
        <v>81</v>
      </c>
      <c r="AC511" s="7" t="s">
        <v>82</v>
      </c>
      <c r="AD511" s="7" t="s">
        <v>83</v>
      </c>
      <c r="AE511" s="7" t="s">
        <v>84</v>
      </c>
      <c r="AF511" s="4" t="n">
        <f aca="false">IF(T511="","",IF(T511&lt;=30,(50/30)*T511,IF(T511&lt;=60,50+((100-50)/(60-30))*(T511-30),IF(T511&lt;=90,100+((200-100)/(90-60))*(T511-60),IF(T511&lt;=120,200+((300-200)/(120-90))*(T511-90),IF(T511&lt;=250,300+((400-300)/(250-120))*(T511-120),IF(T511&lt;=380,400+((500-400)/(380-250))*(T511-250),500)))))))</f>
        <v>80</v>
      </c>
      <c r="AG511" s="4" t="n">
        <f aca="false">IF(U511="","",IF(U511&lt;=50,(50/50)*U511,IF(U511&lt;=100,50+((100-50)/(100-50))*(U511-50),IF(U511&lt;=250,100+((200-100)/(250-100))*(U511-100),IF(U511&lt;=350,200+((300-200)/(350-250))*(U511-250),IF(U511&lt;=430,300+((400-300)/(430-350))*(U511-350),IF(U511&lt;=600,400+((500-400)/(600-430))*(U511-430),500)))))))</f>
        <v>120.266666666667</v>
      </c>
      <c r="AH511" s="4" t="n">
        <f aca="false">IF(V511="","",IF((V511/1000)&lt;=1,(50/1)*(V511/1000),IF((V511/1000)&lt;=2,50+((100-50)/(2-1))*(V511/1000-1),IF((V511/1000)&lt;=10,100+((200-100)/(10-2))*(V511/1000-2),IF((V511/1000)&lt;=17,200+((300-200)/(17-10))*(V511/1000-10),IF((V511/1000)&lt;=34,300+((400-300)/(34-17))*(V511/1000-17),IF((V511/1000)&lt;=57,400+((500-400)/(57-34))*(V511/1000-34),500)))))))</f>
        <v>22.55</v>
      </c>
      <c r="AI511" s="4" t="n">
        <f aca="false">IF(W511="","",IF(W511&lt;=40,(50/40)*W511,IF(W511&lt;=80,50+((100-50)/(80-40))*(W511-40),IF(W511&lt;=180,100+((200-100)/(180-80))*(W511-80),IF(W511&lt;=280,200+((300-200)/(280-180))*(W511-180),IF(W511&lt;=400,300+((400-300)/(400-280))*(W511-280),IF(W511&lt;=800,400+((500-400)/(800-400))*(W511-400),500)))))))</f>
        <v>45.375</v>
      </c>
      <c r="AJ511" s="4" t="n">
        <f aca="false">IF(X511="","",IF(X511&lt;=40,(50/40)*X511,IF(X511&lt;=80,50+((100-50)/(80-40))*(X511-40),IF(X511&lt;=380,100+((200-100)/(380-80))*(X511-80),IF(X511&lt;=800,200+((300-200)/(800-380))*(X511-380),IF(X511&lt;=1600,300+((400-300)/(1600-800))*(X511-800),IF(X511&lt;=2100,400+((500-400)/(2100-1600))*(X511-1600),500)))))))</f>
        <v>20.25</v>
      </c>
      <c r="AK511" s="4" t="n">
        <f aca="false">IF(Y511="","",IF(Y511&lt;=50,(50/50)*Y511,IF(Y511&lt;=100,50+((100-50)/(100-50))*(Y511-50),IF(Y511&lt;=168,100+((200-100)/(168-100))*(Y511-100),IF(Y511&lt;=208,200+((300-200)/(208-168))*(Y511-168),IF(Y511&lt;=748,300+((400-300)/(748-208))*(Y511-208),IF(Y511&lt;=1000,400+((500-400)/(1000-748))*(Y511-748),500)))))))</f>
        <v>36</v>
      </c>
      <c r="AL511" s="4" t="n">
        <f aca="false">ROUND(MAX(AF511,AG511,AH511,AI511,AJ511,AK511),0)</f>
        <v>120</v>
      </c>
      <c r="AM511" s="4" t="str">
        <f aca="false">IF(AL511="","",IF(AL511&lt;=50,"Good",IF(AL511&lt;=100,"Satisfactory",IF(AL511&lt;=200,"Moderate",IF(AL511&lt;=300,"Poor",IF(AL511&lt;=400,"Very Poor","Severe"))))))</f>
        <v>Moderate</v>
      </c>
    </row>
    <row r="512" customFormat="false" ht="15.75" hidden="false" customHeight="false" outlineLevel="0" collapsed="false">
      <c r="A512" s="1" t="s">
        <v>39</v>
      </c>
      <c r="B512" s="1" t="s">
        <v>40</v>
      </c>
      <c r="C512" s="1" t="n">
        <v>28.4595</v>
      </c>
      <c r="D512" s="1" t="n">
        <v>77.0266</v>
      </c>
      <c r="E512" s="5" t="n">
        <v>45922</v>
      </c>
      <c r="F512" s="6" t="s">
        <v>55</v>
      </c>
      <c r="G512" s="1" t="n">
        <v>9</v>
      </c>
      <c r="H512" s="7" t="s">
        <v>42</v>
      </c>
      <c r="I512" s="6" t="s">
        <v>43</v>
      </c>
      <c r="J512" s="7" t="s">
        <v>44</v>
      </c>
      <c r="K512" s="7" t="s">
        <v>56</v>
      </c>
      <c r="L512" s="1" t="n">
        <v>84</v>
      </c>
      <c r="M512" s="1" t="n">
        <v>22.3</v>
      </c>
      <c r="N512" s="1" t="n">
        <v>11.5</v>
      </c>
      <c r="O512" s="1" t="n">
        <v>0</v>
      </c>
      <c r="P512" s="6" t="s">
        <v>43</v>
      </c>
      <c r="Q512" s="6" t="s">
        <v>43</v>
      </c>
      <c r="R512" s="1" t="n">
        <v>1006.1</v>
      </c>
      <c r="S512" s="1" t="n">
        <v>0</v>
      </c>
      <c r="T512" s="1" t="n">
        <v>46.4</v>
      </c>
      <c r="U512" s="1" t="n">
        <v>112.5</v>
      </c>
      <c r="V512" s="1" t="n">
        <v>513</v>
      </c>
      <c r="W512" s="1" t="n">
        <v>35.6</v>
      </c>
      <c r="X512" s="1" t="n">
        <v>16.4</v>
      </c>
      <c r="Y512" s="1" t="n">
        <v>43</v>
      </c>
      <c r="Z512" s="1" t="n">
        <v>134</v>
      </c>
      <c r="AA512" s="1" t="n">
        <v>130</v>
      </c>
      <c r="AB512" s="7" t="s">
        <v>81</v>
      </c>
      <c r="AC512" s="7" t="s">
        <v>82</v>
      </c>
      <c r="AD512" s="7" t="s">
        <v>83</v>
      </c>
      <c r="AE512" s="7" t="s">
        <v>84</v>
      </c>
      <c r="AF512" s="4" t="n">
        <f aca="false">IF(T512="","",IF(T512&lt;=30,(50/30)*T512,IF(T512&lt;=60,50+((100-50)/(60-30))*(T512-30),IF(T512&lt;=90,100+((200-100)/(90-60))*(T512-60),IF(T512&lt;=120,200+((300-200)/(120-90))*(T512-90),IF(T512&lt;=250,300+((400-300)/(250-120))*(T512-120),IF(T512&lt;=380,400+((500-400)/(380-250))*(T512-250),500)))))))</f>
        <v>77.3333333333333</v>
      </c>
      <c r="AG512" s="4" t="n">
        <f aca="false">IF(U512="","",IF(U512&lt;=50,(50/50)*U512,IF(U512&lt;=100,50+((100-50)/(100-50))*(U512-50),IF(U512&lt;=250,100+((200-100)/(250-100))*(U512-100),IF(U512&lt;=350,200+((300-200)/(350-250))*(U512-250),IF(U512&lt;=430,300+((400-300)/(430-350))*(U512-350),IF(U512&lt;=600,400+((500-400)/(600-430))*(U512-430),500)))))))</f>
        <v>108.333333333333</v>
      </c>
      <c r="AH512" s="4" t="n">
        <f aca="false">IF(V512="","",IF((V512/1000)&lt;=1,(50/1)*(V512/1000),IF((V512/1000)&lt;=2,50+((100-50)/(2-1))*(V512/1000-1),IF((V512/1000)&lt;=10,100+((200-100)/(10-2))*(V512/1000-2),IF((V512/1000)&lt;=17,200+((300-200)/(17-10))*(V512/1000-10),IF((V512/1000)&lt;=34,300+((400-300)/(34-17))*(V512/1000-17),IF((V512/1000)&lt;=57,400+((500-400)/(57-34))*(V512/1000-34),500)))))))</f>
        <v>25.65</v>
      </c>
      <c r="AI512" s="4" t="n">
        <f aca="false">IF(W512="","",IF(W512&lt;=40,(50/40)*W512,IF(W512&lt;=80,50+((100-50)/(80-40))*(W512-40),IF(W512&lt;=180,100+((200-100)/(180-80))*(W512-80),IF(W512&lt;=280,200+((300-200)/(280-180))*(W512-180),IF(W512&lt;=400,300+((400-300)/(400-280))*(W512-280),IF(W512&lt;=800,400+((500-400)/(800-400))*(W512-400),500)))))))</f>
        <v>44.5</v>
      </c>
      <c r="AJ512" s="4" t="n">
        <f aca="false">IF(X512="","",IF(X512&lt;=40,(50/40)*X512,IF(X512&lt;=80,50+((100-50)/(80-40))*(X512-40),IF(X512&lt;=380,100+((200-100)/(380-80))*(X512-80),IF(X512&lt;=800,200+((300-200)/(800-380))*(X512-380),IF(X512&lt;=1600,300+((400-300)/(1600-800))*(X512-800),IF(X512&lt;=2100,400+((500-400)/(2100-1600))*(X512-1600),500)))))))</f>
        <v>20.5</v>
      </c>
      <c r="AK512" s="4" t="n">
        <f aca="false">IF(Y512="","",IF(Y512&lt;=50,(50/50)*Y512,IF(Y512&lt;=100,50+((100-50)/(100-50))*(Y512-50),IF(Y512&lt;=168,100+((200-100)/(168-100))*(Y512-100),IF(Y512&lt;=208,200+((300-200)/(208-168))*(Y512-168),IF(Y512&lt;=748,300+((400-300)/(748-208))*(Y512-208),IF(Y512&lt;=1000,400+((500-400)/(1000-748))*(Y512-748),500)))))))</f>
        <v>43</v>
      </c>
      <c r="AL512" s="4" t="n">
        <f aca="false">ROUND(MAX(AF512,AG512,AH512,AI512,AJ512,AK512),0)</f>
        <v>108</v>
      </c>
      <c r="AM512" s="4" t="str">
        <f aca="false">IF(AL512="","",IF(AL512&lt;=50,"Good",IF(AL512&lt;=100,"Satisfactory",IF(AL512&lt;=200,"Moderate",IF(AL512&lt;=300,"Poor",IF(AL512&lt;=400,"Very Poor","Severe"))))))</f>
        <v>Moderate</v>
      </c>
    </row>
    <row r="513" customFormat="false" ht="15.75" hidden="false" customHeight="false" outlineLevel="0" collapsed="false">
      <c r="A513" s="1" t="s">
        <v>39</v>
      </c>
      <c r="B513" s="1" t="s">
        <v>40</v>
      </c>
      <c r="C513" s="1" t="n">
        <v>28.4595</v>
      </c>
      <c r="D513" s="1" t="n">
        <v>77.0266</v>
      </c>
      <c r="E513" s="5" t="n">
        <v>45922</v>
      </c>
      <c r="F513" s="6" t="s">
        <v>57</v>
      </c>
      <c r="G513" s="1" t="n">
        <v>9</v>
      </c>
      <c r="H513" s="7" t="s">
        <v>42</v>
      </c>
      <c r="I513" s="6" t="s">
        <v>43</v>
      </c>
      <c r="J513" s="7" t="s">
        <v>44</v>
      </c>
      <c r="K513" s="7" t="s">
        <v>56</v>
      </c>
      <c r="L513" s="1" t="n">
        <v>79</v>
      </c>
      <c r="M513" s="1" t="n">
        <v>22.5</v>
      </c>
      <c r="N513" s="1" t="n">
        <v>14.8</v>
      </c>
      <c r="O513" s="1" t="n">
        <v>0</v>
      </c>
      <c r="P513" s="6" t="s">
        <v>43</v>
      </c>
      <c r="Q513" s="6" t="s">
        <v>43</v>
      </c>
      <c r="R513" s="1" t="n">
        <v>1006.9</v>
      </c>
      <c r="S513" s="1" t="n">
        <v>0</v>
      </c>
      <c r="T513" s="1" t="n">
        <v>47.1</v>
      </c>
      <c r="U513" s="1" t="n">
        <v>98.5</v>
      </c>
      <c r="V513" s="1" t="n">
        <v>585</v>
      </c>
      <c r="W513" s="1" t="n">
        <v>34.2</v>
      </c>
      <c r="X513" s="1" t="n">
        <v>16.7</v>
      </c>
      <c r="Y513" s="1" t="n">
        <v>54</v>
      </c>
      <c r="Z513" s="1" t="n">
        <v>108</v>
      </c>
      <c r="AA513" s="1" t="n">
        <v>131</v>
      </c>
      <c r="AB513" s="7" t="s">
        <v>81</v>
      </c>
      <c r="AC513" s="7" t="s">
        <v>82</v>
      </c>
      <c r="AD513" s="7" t="s">
        <v>83</v>
      </c>
      <c r="AE513" s="7" t="s">
        <v>84</v>
      </c>
      <c r="AF513" s="4" t="n">
        <f aca="false">IF(T513="","",IF(T513&lt;=30,(50/30)*T513,IF(T513&lt;=60,50+((100-50)/(60-30))*(T513-30),IF(T513&lt;=90,100+((200-100)/(90-60))*(T513-60),IF(T513&lt;=120,200+((300-200)/(120-90))*(T513-90),IF(T513&lt;=250,300+((400-300)/(250-120))*(T513-120),IF(T513&lt;=380,400+((500-400)/(380-250))*(T513-250),500)))))))</f>
        <v>78.5</v>
      </c>
      <c r="AG513" s="4" t="n">
        <f aca="false">IF(U513="","",IF(U513&lt;=50,(50/50)*U513,IF(U513&lt;=100,50+((100-50)/(100-50))*(U513-50),IF(U513&lt;=250,100+((200-100)/(250-100))*(U513-100),IF(U513&lt;=350,200+((300-200)/(350-250))*(U513-250),IF(U513&lt;=430,300+((400-300)/(430-350))*(U513-350),IF(U513&lt;=600,400+((500-400)/(600-430))*(U513-430),500)))))))</f>
        <v>98.5</v>
      </c>
      <c r="AH513" s="4" t="n">
        <f aca="false">IF(V513="","",IF((V513/1000)&lt;=1,(50/1)*(V513/1000),IF((V513/1000)&lt;=2,50+((100-50)/(2-1))*(V513/1000-1),IF((V513/1000)&lt;=10,100+((200-100)/(10-2))*(V513/1000-2),IF((V513/1000)&lt;=17,200+((300-200)/(17-10))*(V513/1000-10),IF((V513/1000)&lt;=34,300+((400-300)/(34-17))*(V513/1000-17),IF((V513/1000)&lt;=57,400+((500-400)/(57-34))*(V513/1000-34),500)))))))</f>
        <v>29.25</v>
      </c>
      <c r="AI513" s="4" t="n">
        <f aca="false">IF(W513="","",IF(W513&lt;=40,(50/40)*W513,IF(W513&lt;=80,50+((100-50)/(80-40))*(W513-40),IF(W513&lt;=180,100+((200-100)/(180-80))*(W513-80),IF(W513&lt;=280,200+((300-200)/(280-180))*(W513-180),IF(W513&lt;=400,300+((400-300)/(400-280))*(W513-280),IF(W513&lt;=800,400+((500-400)/(800-400))*(W513-400),500)))))))</f>
        <v>42.75</v>
      </c>
      <c r="AJ513" s="4" t="n">
        <f aca="false">IF(X513="","",IF(X513&lt;=40,(50/40)*X513,IF(X513&lt;=80,50+((100-50)/(80-40))*(X513-40),IF(X513&lt;=380,100+((200-100)/(380-80))*(X513-80),IF(X513&lt;=800,200+((300-200)/(800-380))*(X513-380),IF(X513&lt;=1600,300+((400-300)/(1600-800))*(X513-800),IF(X513&lt;=2100,400+((500-400)/(2100-1600))*(X513-1600),500)))))))</f>
        <v>20.875</v>
      </c>
      <c r="AK513" s="4" t="n">
        <f aca="false">IF(Y513="","",IF(Y513&lt;=50,(50/50)*Y513,IF(Y513&lt;=100,50+((100-50)/(100-50))*(Y513-50),IF(Y513&lt;=168,100+((200-100)/(168-100))*(Y513-100),IF(Y513&lt;=208,200+((300-200)/(208-168))*(Y513-168),IF(Y513&lt;=748,300+((400-300)/(748-208))*(Y513-208),IF(Y513&lt;=1000,400+((500-400)/(1000-748))*(Y513-748),500)))))))</f>
        <v>54</v>
      </c>
      <c r="AL513" s="4" t="n">
        <f aca="false">ROUND(MAX(AF513,AG513,AH513,AI513,AJ513,AK513),0)</f>
        <v>99</v>
      </c>
      <c r="AM513" s="4" t="str">
        <f aca="false">IF(AL513="","",IF(AL513&lt;=50,"Good",IF(AL513&lt;=100,"Satisfactory",IF(AL513&lt;=200,"Moderate",IF(AL513&lt;=300,"Poor",IF(AL513&lt;=400,"Very Poor","Severe"))))))</f>
        <v>Satisfactory</v>
      </c>
    </row>
    <row r="514" customFormat="false" ht="15.75" hidden="false" customHeight="false" outlineLevel="0" collapsed="false">
      <c r="A514" s="1" t="s">
        <v>39</v>
      </c>
      <c r="B514" s="1" t="s">
        <v>40</v>
      </c>
      <c r="C514" s="1" t="n">
        <v>28.4595</v>
      </c>
      <c r="D514" s="1" t="n">
        <v>77.0266</v>
      </c>
      <c r="E514" s="5" t="n">
        <v>45922</v>
      </c>
      <c r="F514" s="6" t="s">
        <v>58</v>
      </c>
      <c r="G514" s="1" t="n">
        <v>9</v>
      </c>
      <c r="H514" s="7" t="s">
        <v>42</v>
      </c>
      <c r="I514" s="6" t="s">
        <v>43</v>
      </c>
      <c r="J514" s="7" t="s">
        <v>44</v>
      </c>
      <c r="K514" s="7" t="s">
        <v>56</v>
      </c>
      <c r="L514" s="1" t="n">
        <v>68</v>
      </c>
      <c r="M514" s="1" t="n">
        <v>22.1</v>
      </c>
      <c r="N514" s="1" t="n">
        <v>17.3</v>
      </c>
      <c r="O514" s="1" t="n">
        <v>0</v>
      </c>
      <c r="P514" s="6" t="s">
        <v>43</v>
      </c>
      <c r="Q514" s="6" t="s">
        <v>43</v>
      </c>
      <c r="R514" s="1" t="n">
        <v>1007.2</v>
      </c>
      <c r="S514" s="1" t="n">
        <v>0</v>
      </c>
      <c r="T514" s="1" t="n">
        <v>44.2</v>
      </c>
      <c r="U514" s="1" t="n">
        <v>102.2</v>
      </c>
      <c r="V514" s="1" t="n">
        <v>600</v>
      </c>
      <c r="W514" s="1" t="n">
        <v>30.8</v>
      </c>
      <c r="X514" s="1" t="n">
        <v>16.9</v>
      </c>
      <c r="Y514" s="1" t="n">
        <v>71</v>
      </c>
      <c r="Z514" s="1" t="n">
        <v>109</v>
      </c>
      <c r="AA514" s="1" t="n">
        <v>131</v>
      </c>
      <c r="AB514" s="7" t="s">
        <v>81</v>
      </c>
      <c r="AC514" s="7" t="s">
        <v>82</v>
      </c>
      <c r="AD514" s="7" t="s">
        <v>83</v>
      </c>
      <c r="AE514" s="7" t="s">
        <v>84</v>
      </c>
      <c r="AF514" s="4" t="n">
        <f aca="false">IF(T514="","",IF(T514&lt;=30,(50/30)*T514,IF(T514&lt;=60,50+((100-50)/(60-30))*(T514-30),IF(T514&lt;=90,100+((200-100)/(90-60))*(T514-60),IF(T514&lt;=120,200+((300-200)/(120-90))*(T514-90),IF(T514&lt;=250,300+((400-300)/(250-120))*(T514-120),IF(T514&lt;=380,400+((500-400)/(380-250))*(T514-250),500)))))))</f>
        <v>73.6666666666667</v>
      </c>
      <c r="AG514" s="4" t="n">
        <f aca="false">IF(U514="","",IF(U514&lt;=50,(50/50)*U514,IF(U514&lt;=100,50+((100-50)/(100-50))*(U514-50),IF(U514&lt;=250,100+((200-100)/(250-100))*(U514-100),IF(U514&lt;=350,200+((300-200)/(350-250))*(U514-250),IF(U514&lt;=430,300+((400-300)/(430-350))*(U514-350),IF(U514&lt;=600,400+((500-400)/(600-430))*(U514-430),500)))))))</f>
        <v>101.466666666667</v>
      </c>
      <c r="AH514" s="4" t="n">
        <f aca="false">IF(V514="","",IF((V514/1000)&lt;=1,(50/1)*(V514/1000),IF((V514/1000)&lt;=2,50+((100-50)/(2-1))*(V514/1000-1),IF((V514/1000)&lt;=10,100+((200-100)/(10-2))*(V514/1000-2),IF((V514/1000)&lt;=17,200+((300-200)/(17-10))*(V514/1000-10),IF((V514/1000)&lt;=34,300+((400-300)/(34-17))*(V514/1000-17),IF((V514/1000)&lt;=57,400+((500-400)/(57-34))*(V514/1000-34),500)))))))</f>
        <v>30</v>
      </c>
      <c r="AI514" s="4" t="n">
        <f aca="false">IF(W514="","",IF(W514&lt;=40,(50/40)*W514,IF(W514&lt;=80,50+((100-50)/(80-40))*(W514-40),IF(W514&lt;=180,100+((200-100)/(180-80))*(W514-80),IF(W514&lt;=280,200+((300-200)/(280-180))*(W514-180),IF(W514&lt;=400,300+((400-300)/(400-280))*(W514-280),IF(W514&lt;=800,400+((500-400)/(800-400))*(W514-400),500)))))))</f>
        <v>38.5</v>
      </c>
      <c r="AJ514" s="4" t="n">
        <f aca="false">IF(X514="","",IF(X514&lt;=40,(50/40)*X514,IF(X514&lt;=80,50+((100-50)/(80-40))*(X514-40),IF(X514&lt;=380,100+((200-100)/(380-80))*(X514-80),IF(X514&lt;=800,200+((300-200)/(800-380))*(X514-380),IF(X514&lt;=1600,300+((400-300)/(1600-800))*(X514-800),IF(X514&lt;=2100,400+((500-400)/(2100-1600))*(X514-1600),500)))))))</f>
        <v>21.125</v>
      </c>
      <c r="AK514" s="4" t="n">
        <f aca="false">IF(Y514="","",IF(Y514&lt;=50,(50/50)*Y514,IF(Y514&lt;=100,50+((100-50)/(100-50))*(Y514-50),IF(Y514&lt;=168,100+((200-100)/(168-100))*(Y514-100),IF(Y514&lt;=208,200+((300-200)/(208-168))*(Y514-168),IF(Y514&lt;=748,300+((400-300)/(748-208))*(Y514-208),IF(Y514&lt;=1000,400+((500-400)/(1000-748))*(Y514-748),500)))))))</f>
        <v>71</v>
      </c>
      <c r="AL514" s="4" t="n">
        <f aca="false">ROUND(MAX(AF514,AG514,AH514,AI514,AJ514,AK514),0)</f>
        <v>101</v>
      </c>
      <c r="AM514" s="4" t="str">
        <f aca="false">IF(AL514="","",IF(AL514&lt;=50,"Good",IF(AL514&lt;=100,"Satisfactory",IF(AL514&lt;=200,"Moderate",IF(AL514&lt;=300,"Poor",IF(AL514&lt;=400,"Very Poor","Severe"))))))</f>
        <v>Moderate</v>
      </c>
    </row>
    <row r="515" customFormat="false" ht="15.75" hidden="false" customHeight="false" outlineLevel="0" collapsed="false">
      <c r="A515" s="1" t="s">
        <v>39</v>
      </c>
      <c r="B515" s="1" t="s">
        <v>40</v>
      </c>
      <c r="C515" s="1" t="n">
        <v>28.4595</v>
      </c>
      <c r="D515" s="1" t="n">
        <v>77.0266</v>
      </c>
      <c r="E515" s="5" t="n">
        <v>45922</v>
      </c>
      <c r="F515" s="6" t="s">
        <v>59</v>
      </c>
      <c r="G515" s="1" t="n">
        <v>9</v>
      </c>
      <c r="H515" s="7" t="s">
        <v>42</v>
      </c>
      <c r="I515" s="6" t="s">
        <v>43</v>
      </c>
      <c r="J515" s="7" t="s">
        <v>44</v>
      </c>
      <c r="K515" s="7" t="s">
        <v>60</v>
      </c>
      <c r="L515" s="1" t="n">
        <v>61</v>
      </c>
      <c r="M515" s="1" t="n">
        <v>22.2</v>
      </c>
      <c r="N515" s="1" t="n">
        <v>23.4</v>
      </c>
      <c r="O515" s="1" t="n">
        <v>0</v>
      </c>
      <c r="P515" s="6" t="s">
        <v>43</v>
      </c>
      <c r="Q515" s="6" t="s">
        <v>43</v>
      </c>
      <c r="R515" s="1" t="n">
        <v>1007.4</v>
      </c>
      <c r="S515" s="1" t="n">
        <v>0</v>
      </c>
      <c r="T515" s="1" t="n">
        <v>43.7</v>
      </c>
      <c r="U515" s="1" t="n">
        <v>148.1</v>
      </c>
      <c r="V515" s="1" t="n">
        <v>505</v>
      </c>
      <c r="W515" s="1" t="n">
        <v>23.3</v>
      </c>
      <c r="X515" s="1" t="n">
        <v>17.3</v>
      </c>
      <c r="Y515" s="1" t="n">
        <v>102</v>
      </c>
      <c r="Z515" s="1" t="n">
        <v>160</v>
      </c>
      <c r="AA515" s="1" t="n">
        <v>131</v>
      </c>
      <c r="AB515" s="7" t="s">
        <v>81</v>
      </c>
      <c r="AC515" s="7" t="s">
        <v>82</v>
      </c>
      <c r="AD515" s="7" t="s">
        <v>83</v>
      </c>
      <c r="AE515" s="7" t="s">
        <v>84</v>
      </c>
      <c r="AF515" s="4" t="n">
        <f aca="false">IF(T515="","",IF(T515&lt;=30,(50/30)*T515,IF(T515&lt;=60,50+((100-50)/(60-30))*(T515-30),IF(T515&lt;=90,100+((200-100)/(90-60))*(T515-60),IF(T515&lt;=120,200+((300-200)/(120-90))*(T515-90),IF(T515&lt;=250,300+((400-300)/(250-120))*(T515-120),IF(T515&lt;=380,400+((500-400)/(380-250))*(T515-250),500)))))))</f>
        <v>72.8333333333333</v>
      </c>
      <c r="AG515" s="4" t="n">
        <f aca="false">IF(U515="","",IF(U515&lt;=50,(50/50)*U515,IF(U515&lt;=100,50+((100-50)/(100-50))*(U515-50),IF(U515&lt;=250,100+((200-100)/(250-100))*(U515-100),IF(U515&lt;=350,200+((300-200)/(350-250))*(U515-250),IF(U515&lt;=430,300+((400-300)/(430-350))*(U515-350),IF(U515&lt;=600,400+((500-400)/(600-430))*(U515-430),500)))))))</f>
        <v>132.066666666667</v>
      </c>
      <c r="AH515" s="4" t="n">
        <f aca="false">IF(V515="","",IF((V515/1000)&lt;=1,(50/1)*(V515/1000),IF((V515/1000)&lt;=2,50+((100-50)/(2-1))*(V515/1000-1),IF((V515/1000)&lt;=10,100+((200-100)/(10-2))*(V515/1000-2),IF((V515/1000)&lt;=17,200+((300-200)/(17-10))*(V515/1000-10),IF((V515/1000)&lt;=34,300+((400-300)/(34-17))*(V515/1000-17),IF((V515/1000)&lt;=57,400+((500-400)/(57-34))*(V515/1000-34),500)))))))</f>
        <v>25.25</v>
      </c>
      <c r="AI515" s="4" t="n">
        <f aca="false">IF(W515="","",IF(W515&lt;=40,(50/40)*W515,IF(W515&lt;=80,50+((100-50)/(80-40))*(W515-40),IF(W515&lt;=180,100+((200-100)/(180-80))*(W515-80),IF(W515&lt;=280,200+((300-200)/(280-180))*(W515-180),IF(W515&lt;=400,300+((400-300)/(400-280))*(W515-280),IF(W515&lt;=800,400+((500-400)/(800-400))*(W515-400),500)))))))</f>
        <v>29.125</v>
      </c>
      <c r="AJ515" s="4" t="n">
        <f aca="false">IF(X515="","",IF(X515&lt;=40,(50/40)*X515,IF(X515&lt;=80,50+((100-50)/(80-40))*(X515-40),IF(X515&lt;=380,100+((200-100)/(380-80))*(X515-80),IF(X515&lt;=800,200+((300-200)/(800-380))*(X515-380),IF(X515&lt;=1600,300+((400-300)/(1600-800))*(X515-800),IF(X515&lt;=2100,400+((500-400)/(2100-1600))*(X515-1600),500)))))))</f>
        <v>21.625</v>
      </c>
      <c r="AK515" s="4" t="n">
        <f aca="false">IF(Y515="","",IF(Y515&lt;=50,(50/50)*Y515,IF(Y515&lt;=100,50+((100-50)/(100-50))*(Y515-50),IF(Y515&lt;=168,100+((200-100)/(168-100))*(Y515-100),IF(Y515&lt;=208,200+((300-200)/(208-168))*(Y515-168),IF(Y515&lt;=748,300+((400-300)/(748-208))*(Y515-208),IF(Y515&lt;=1000,400+((500-400)/(1000-748))*(Y515-748),500)))))))</f>
        <v>102.941176470588</v>
      </c>
      <c r="AL515" s="4" t="n">
        <f aca="false">ROUND(MAX(AF515,AG515,AH515,AI515,AJ515,AK515),0)</f>
        <v>132</v>
      </c>
      <c r="AM515" s="4" t="str">
        <f aca="false">IF(AL515="","",IF(AL515&lt;=50,"Good",IF(AL515&lt;=100,"Satisfactory",IF(AL515&lt;=200,"Moderate",IF(AL515&lt;=300,"Poor",IF(AL515&lt;=400,"Very Poor","Severe"))))))</f>
        <v>Moderate</v>
      </c>
    </row>
    <row r="516" customFormat="false" ht="15.75" hidden="false" customHeight="false" outlineLevel="0" collapsed="false">
      <c r="A516" s="1" t="s">
        <v>39</v>
      </c>
      <c r="B516" s="1" t="s">
        <v>40</v>
      </c>
      <c r="C516" s="1" t="n">
        <v>28.4595</v>
      </c>
      <c r="D516" s="1" t="n">
        <v>77.0266</v>
      </c>
      <c r="E516" s="5" t="n">
        <v>45922</v>
      </c>
      <c r="F516" s="6" t="s">
        <v>61</v>
      </c>
      <c r="G516" s="1" t="n">
        <v>9</v>
      </c>
      <c r="H516" s="7" t="s">
        <v>42</v>
      </c>
      <c r="I516" s="6" t="s">
        <v>43</v>
      </c>
      <c r="J516" s="7" t="s">
        <v>44</v>
      </c>
      <c r="K516" s="7" t="s">
        <v>60</v>
      </c>
      <c r="L516" s="1" t="n">
        <v>56</v>
      </c>
      <c r="M516" s="1" t="n">
        <v>22.4</v>
      </c>
      <c r="N516" s="1" t="n">
        <v>30.6</v>
      </c>
      <c r="O516" s="1" t="n">
        <v>0</v>
      </c>
      <c r="P516" s="6" t="s">
        <v>43</v>
      </c>
      <c r="Q516" s="6" t="s">
        <v>43</v>
      </c>
      <c r="R516" s="1" t="n">
        <v>1007.1</v>
      </c>
      <c r="S516" s="1" t="n">
        <v>0</v>
      </c>
      <c r="T516" s="1" t="n">
        <v>41.1</v>
      </c>
      <c r="U516" s="1" t="n">
        <v>173.7</v>
      </c>
      <c r="V516" s="1" t="n">
        <v>354</v>
      </c>
      <c r="W516" s="1" t="n">
        <v>13.8</v>
      </c>
      <c r="X516" s="1" t="n">
        <v>17.6</v>
      </c>
      <c r="Y516" s="1" t="n">
        <v>140</v>
      </c>
      <c r="Z516" s="1" t="n">
        <v>237</v>
      </c>
      <c r="AA516" s="1" t="n">
        <v>131</v>
      </c>
      <c r="AB516" s="7" t="s">
        <v>81</v>
      </c>
      <c r="AC516" s="7" t="s">
        <v>82</v>
      </c>
      <c r="AD516" s="7" t="s">
        <v>83</v>
      </c>
      <c r="AE516" s="7" t="s">
        <v>84</v>
      </c>
      <c r="AF516" s="4" t="n">
        <f aca="false">IF(T516="","",IF(T516&lt;=30,(50/30)*T516,IF(T516&lt;=60,50+((100-50)/(60-30))*(T516-30),IF(T516&lt;=90,100+((200-100)/(90-60))*(T516-60),IF(T516&lt;=120,200+((300-200)/(120-90))*(T516-90),IF(T516&lt;=250,300+((400-300)/(250-120))*(T516-120),IF(T516&lt;=380,400+((500-400)/(380-250))*(T516-250),500)))))))</f>
        <v>68.5</v>
      </c>
      <c r="AG516" s="4" t="n">
        <f aca="false">IF(U516="","",IF(U516&lt;=50,(50/50)*U516,IF(U516&lt;=100,50+((100-50)/(100-50))*(U516-50),IF(U516&lt;=250,100+((200-100)/(250-100))*(U516-100),IF(U516&lt;=350,200+((300-200)/(350-250))*(U516-250),IF(U516&lt;=430,300+((400-300)/(430-350))*(U516-350),IF(U516&lt;=600,400+((500-400)/(600-430))*(U516-430),500)))))))</f>
        <v>149.133333333333</v>
      </c>
      <c r="AH516" s="4" t="n">
        <f aca="false">IF(V516="","",IF((V516/1000)&lt;=1,(50/1)*(V516/1000),IF((V516/1000)&lt;=2,50+((100-50)/(2-1))*(V516/1000-1),IF((V516/1000)&lt;=10,100+((200-100)/(10-2))*(V516/1000-2),IF((V516/1000)&lt;=17,200+((300-200)/(17-10))*(V516/1000-10),IF((V516/1000)&lt;=34,300+((400-300)/(34-17))*(V516/1000-17),IF((V516/1000)&lt;=57,400+((500-400)/(57-34))*(V516/1000-34),500)))))))</f>
        <v>17.7</v>
      </c>
      <c r="AI516" s="4" t="n">
        <f aca="false">IF(W516="","",IF(W516&lt;=40,(50/40)*W516,IF(W516&lt;=80,50+((100-50)/(80-40))*(W516-40),IF(W516&lt;=180,100+((200-100)/(180-80))*(W516-80),IF(W516&lt;=280,200+((300-200)/(280-180))*(W516-180),IF(W516&lt;=400,300+((400-300)/(400-280))*(W516-280),IF(W516&lt;=800,400+((500-400)/(800-400))*(W516-400),500)))))))</f>
        <v>17.25</v>
      </c>
      <c r="AJ516" s="4" t="n">
        <f aca="false">IF(X516="","",IF(X516&lt;=40,(50/40)*X516,IF(X516&lt;=80,50+((100-50)/(80-40))*(X516-40),IF(X516&lt;=380,100+((200-100)/(380-80))*(X516-80),IF(X516&lt;=800,200+((300-200)/(800-380))*(X516-380),IF(X516&lt;=1600,300+((400-300)/(1600-800))*(X516-800),IF(X516&lt;=2100,400+((500-400)/(2100-1600))*(X516-1600),500)))))))</f>
        <v>22</v>
      </c>
      <c r="AK516" s="4" t="n">
        <f aca="false">IF(Y516="","",IF(Y516&lt;=50,(50/50)*Y516,IF(Y516&lt;=100,50+((100-50)/(100-50))*(Y516-50),IF(Y516&lt;=168,100+((200-100)/(168-100))*(Y516-100),IF(Y516&lt;=208,200+((300-200)/(208-168))*(Y516-168),IF(Y516&lt;=748,300+((400-300)/(748-208))*(Y516-208),IF(Y516&lt;=1000,400+((500-400)/(1000-748))*(Y516-748),500)))))))</f>
        <v>158.823529411765</v>
      </c>
      <c r="AL516" s="4" t="n">
        <f aca="false">ROUND(MAX(AF516,AG516,AH516,AI516,AJ516,AK516),0)</f>
        <v>159</v>
      </c>
      <c r="AM516" s="4" t="str">
        <f aca="false">IF(AL516="","",IF(AL516&lt;=50,"Good",IF(AL516&lt;=100,"Satisfactory",IF(AL516&lt;=200,"Moderate",IF(AL516&lt;=300,"Poor",IF(AL516&lt;=400,"Very Poor","Severe"))))))</f>
        <v>Moderate</v>
      </c>
    </row>
    <row r="517" customFormat="false" ht="15.75" hidden="false" customHeight="false" outlineLevel="0" collapsed="false">
      <c r="A517" s="1" t="s">
        <v>39</v>
      </c>
      <c r="B517" s="1" t="s">
        <v>40</v>
      </c>
      <c r="C517" s="1" t="n">
        <v>28.4595</v>
      </c>
      <c r="D517" s="1" t="n">
        <v>77.0266</v>
      </c>
      <c r="E517" s="5" t="n">
        <v>45922</v>
      </c>
      <c r="F517" s="6" t="s">
        <v>62</v>
      </c>
      <c r="G517" s="1" t="n">
        <v>9</v>
      </c>
      <c r="H517" s="7" t="s">
        <v>42</v>
      </c>
      <c r="I517" s="6" t="s">
        <v>43</v>
      </c>
      <c r="J517" s="7" t="s">
        <v>44</v>
      </c>
      <c r="K517" s="7" t="s">
        <v>60</v>
      </c>
      <c r="L517" s="1" t="n">
        <v>49</v>
      </c>
      <c r="M517" s="1" t="n">
        <v>21.6</v>
      </c>
      <c r="N517" s="1" t="n">
        <v>36</v>
      </c>
      <c r="O517" s="1" t="n">
        <v>0</v>
      </c>
      <c r="P517" s="6" t="s">
        <v>43</v>
      </c>
      <c r="Q517" s="6" t="s">
        <v>43</v>
      </c>
      <c r="R517" s="1" t="n">
        <v>1006.2</v>
      </c>
      <c r="S517" s="1" t="n">
        <v>11</v>
      </c>
      <c r="T517" s="1" t="n">
        <v>38.8</v>
      </c>
      <c r="U517" s="1" t="n">
        <v>194.2</v>
      </c>
      <c r="V517" s="1" t="n">
        <v>239</v>
      </c>
      <c r="W517" s="1" t="n">
        <v>6.7</v>
      </c>
      <c r="X517" s="1" t="n">
        <v>17.2</v>
      </c>
      <c r="Y517" s="1" t="n">
        <v>166</v>
      </c>
      <c r="Z517" s="1" t="n">
        <v>304</v>
      </c>
      <c r="AA517" s="1" t="n">
        <v>131</v>
      </c>
      <c r="AB517" s="7" t="s">
        <v>81</v>
      </c>
      <c r="AC517" s="7" t="s">
        <v>82</v>
      </c>
      <c r="AD517" s="7" t="s">
        <v>83</v>
      </c>
      <c r="AE517" s="7" t="s">
        <v>84</v>
      </c>
      <c r="AF517" s="4" t="n">
        <f aca="false">IF(T517="","",IF(T517&lt;=30,(50/30)*T517,IF(T517&lt;=60,50+((100-50)/(60-30))*(T517-30),IF(T517&lt;=90,100+((200-100)/(90-60))*(T517-60),IF(T517&lt;=120,200+((300-200)/(120-90))*(T517-90),IF(T517&lt;=250,300+((400-300)/(250-120))*(T517-120),IF(T517&lt;=380,400+((500-400)/(380-250))*(T517-250),500)))))))</f>
        <v>64.6666666666667</v>
      </c>
      <c r="AG517" s="4" t="n">
        <f aca="false">IF(U517="","",IF(U517&lt;=50,(50/50)*U517,IF(U517&lt;=100,50+((100-50)/(100-50))*(U517-50),IF(U517&lt;=250,100+((200-100)/(250-100))*(U517-100),IF(U517&lt;=350,200+((300-200)/(350-250))*(U517-250),IF(U517&lt;=430,300+((400-300)/(430-350))*(U517-350),IF(U517&lt;=600,400+((500-400)/(600-430))*(U517-430),500)))))))</f>
        <v>162.8</v>
      </c>
      <c r="AH517" s="4" t="n">
        <f aca="false">IF(V517="","",IF((V517/1000)&lt;=1,(50/1)*(V517/1000),IF((V517/1000)&lt;=2,50+((100-50)/(2-1))*(V517/1000-1),IF((V517/1000)&lt;=10,100+((200-100)/(10-2))*(V517/1000-2),IF((V517/1000)&lt;=17,200+((300-200)/(17-10))*(V517/1000-10),IF((V517/1000)&lt;=34,300+((400-300)/(34-17))*(V517/1000-17),IF((V517/1000)&lt;=57,400+((500-400)/(57-34))*(V517/1000-34),500)))))))</f>
        <v>11.95</v>
      </c>
      <c r="AI517" s="4" t="n">
        <f aca="false">IF(W517="","",IF(W517&lt;=40,(50/40)*W517,IF(W517&lt;=80,50+((100-50)/(80-40))*(W517-40),IF(W517&lt;=180,100+((200-100)/(180-80))*(W517-80),IF(W517&lt;=280,200+((300-200)/(280-180))*(W517-180),IF(W517&lt;=400,300+((400-300)/(400-280))*(W517-280),IF(W517&lt;=800,400+((500-400)/(800-400))*(W517-400),500)))))))</f>
        <v>8.375</v>
      </c>
      <c r="AJ517" s="4" t="n">
        <f aca="false">IF(X517="","",IF(X517&lt;=40,(50/40)*X517,IF(X517&lt;=80,50+((100-50)/(80-40))*(X517-40),IF(X517&lt;=380,100+((200-100)/(380-80))*(X517-80),IF(X517&lt;=800,200+((300-200)/(800-380))*(X517-380),IF(X517&lt;=1600,300+((400-300)/(1600-800))*(X517-800),IF(X517&lt;=2100,400+((500-400)/(2100-1600))*(X517-1600),500)))))))</f>
        <v>21.5</v>
      </c>
      <c r="AK517" s="4" t="n">
        <f aca="false">IF(Y517="","",IF(Y517&lt;=50,(50/50)*Y517,IF(Y517&lt;=100,50+((100-50)/(100-50))*(Y517-50),IF(Y517&lt;=168,100+((200-100)/(168-100))*(Y517-100),IF(Y517&lt;=208,200+((300-200)/(208-168))*(Y517-168),IF(Y517&lt;=748,300+((400-300)/(748-208))*(Y517-208),IF(Y517&lt;=1000,400+((500-400)/(1000-748))*(Y517-748),500)))))))</f>
        <v>197.058823529412</v>
      </c>
      <c r="AL517" s="4" t="n">
        <f aca="false">ROUND(MAX(AF517,AG517,AH517,AI517,AJ517,AK517),0)</f>
        <v>197</v>
      </c>
      <c r="AM517" s="4" t="str">
        <f aca="false">IF(AL517="","",IF(AL517&lt;=50,"Good",IF(AL517&lt;=100,"Satisfactory",IF(AL517&lt;=200,"Moderate",IF(AL517&lt;=300,"Poor",IF(AL517&lt;=400,"Very Poor","Severe"))))))</f>
        <v>Moderate</v>
      </c>
    </row>
    <row r="518" customFormat="false" ht="15.75" hidden="false" customHeight="false" outlineLevel="0" collapsed="false">
      <c r="A518" s="1" t="s">
        <v>39</v>
      </c>
      <c r="B518" s="1" t="s">
        <v>40</v>
      </c>
      <c r="C518" s="1" t="n">
        <v>28.4595</v>
      </c>
      <c r="D518" s="1" t="n">
        <v>77.0266</v>
      </c>
      <c r="E518" s="5" t="n">
        <v>45922</v>
      </c>
      <c r="F518" s="6" t="s">
        <v>63</v>
      </c>
      <c r="G518" s="1" t="n">
        <v>9</v>
      </c>
      <c r="H518" s="7" t="s">
        <v>42</v>
      </c>
      <c r="I518" s="6" t="s">
        <v>43</v>
      </c>
      <c r="J518" s="7" t="s">
        <v>44</v>
      </c>
      <c r="K518" s="7" t="s">
        <v>60</v>
      </c>
      <c r="L518" s="1" t="n">
        <v>44</v>
      </c>
      <c r="M518" s="1" t="n">
        <v>20.6</v>
      </c>
      <c r="N518" s="1" t="n">
        <v>38.5</v>
      </c>
      <c r="O518" s="1" t="n">
        <v>0</v>
      </c>
      <c r="P518" s="6" t="s">
        <v>43</v>
      </c>
      <c r="Q518" s="6" t="s">
        <v>43</v>
      </c>
      <c r="R518" s="1" t="n">
        <v>1005.5</v>
      </c>
      <c r="S518" s="1" t="n">
        <v>15</v>
      </c>
      <c r="T518" s="1" t="n">
        <v>37.7</v>
      </c>
      <c r="U518" s="1" t="n">
        <v>215.1</v>
      </c>
      <c r="V518" s="1" t="n">
        <v>196</v>
      </c>
      <c r="W518" s="1" t="n">
        <v>3.8</v>
      </c>
      <c r="X518" s="1" t="n">
        <v>15.5</v>
      </c>
      <c r="Y518" s="1" t="n">
        <v>171</v>
      </c>
      <c r="Z518" s="1" t="n">
        <v>345</v>
      </c>
      <c r="AA518" s="1" t="n">
        <v>131</v>
      </c>
      <c r="AB518" s="7" t="s">
        <v>81</v>
      </c>
      <c r="AC518" s="7" t="s">
        <v>82</v>
      </c>
      <c r="AD518" s="7" t="s">
        <v>83</v>
      </c>
      <c r="AE518" s="7" t="s">
        <v>84</v>
      </c>
      <c r="AF518" s="4" t="n">
        <f aca="false">IF(T518="","",IF(T518&lt;=30,(50/30)*T518,IF(T518&lt;=60,50+((100-50)/(60-30))*(T518-30),IF(T518&lt;=90,100+((200-100)/(90-60))*(T518-60),IF(T518&lt;=120,200+((300-200)/(120-90))*(T518-90),IF(T518&lt;=250,300+((400-300)/(250-120))*(T518-120),IF(T518&lt;=380,400+((500-400)/(380-250))*(T518-250),500)))))))</f>
        <v>62.8333333333333</v>
      </c>
      <c r="AG518" s="4" t="n">
        <f aca="false">IF(U518="","",IF(U518&lt;=50,(50/50)*U518,IF(U518&lt;=100,50+((100-50)/(100-50))*(U518-50),IF(U518&lt;=250,100+((200-100)/(250-100))*(U518-100),IF(U518&lt;=350,200+((300-200)/(350-250))*(U518-250),IF(U518&lt;=430,300+((400-300)/(430-350))*(U518-350),IF(U518&lt;=600,400+((500-400)/(600-430))*(U518-430),500)))))))</f>
        <v>176.733333333333</v>
      </c>
      <c r="AH518" s="4" t="n">
        <f aca="false">IF(V518="","",IF((V518/1000)&lt;=1,(50/1)*(V518/1000),IF((V518/1000)&lt;=2,50+((100-50)/(2-1))*(V518/1000-1),IF((V518/1000)&lt;=10,100+((200-100)/(10-2))*(V518/1000-2),IF((V518/1000)&lt;=17,200+((300-200)/(17-10))*(V518/1000-10),IF((V518/1000)&lt;=34,300+((400-300)/(34-17))*(V518/1000-17),IF((V518/1000)&lt;=57,400+((500-400)/(57-34))*(V518/1000-34),500)))))))</f>
        <v>9.8</v>
      </c>
      <c r="AI518" s="4" t="n">
        <f aca="false">IF(W518="","",IF(W518&lt;=40,(50/40)*W518,IF(W518&lt;=80,50+((100-50)/(80-40))*(W518-40),IF(W518&lt;=180,100+((200-100)/(180-80))*(W518-80),IF(W518&lt;=280,200+((300-200)/(280-180))*(W518-180),IF(W518&lt;=400,300+((400-300)/(400-280))*(W518-280),IF(W518&lt;=800,400+((500-400)/(800-400))*(W518-400),500)))))))</f>
        <v>4.75</v>
      </c>
      <c r="AJ518" s="4" t="n">
        <f aca="false">IF(X518="","",IF(X518&lt;=40,(50/40)*X518,IF(X518&lt;=80,50+((100-50)/(80-40))*(X518-40),IF(X518&lt;=380,100+((200-100)/(380-80))*(X518-80),IF(X518&lt;=800,200+((300-200)/(800-380))*(X518-380),IF(X518&lt;=1600,300+((400-300)/(1600-800))*(X518-800),IF(X518&lt;=2100,400+((500-400)/(2100-1600))*(X518-1600),500)))))))</f>
        <v>19.375</v>
      </c>
      <c r="AK518" s="4" t="n">
        <f aca="false">IF(Y518="","",IF(Y518&lt;=50,(50/50)*Y518,IF(Y518&lt;=100,50+((100-50)/(100-50))*(Y518-50),IF(Y518&lt;=168,100+((200-100)/(168-100))*(Y518-100),IF(Y518&lt;=208,200+((300-200)/(208-168))*(Y518-168),IF(Y518&lt;=748,300+((400-300)/(748-208))*(Y518-208),IF(Y518&lt;=1000,400+((500-400)/(1000-748))*(Y518-748),500)))))))</f>
        <v>207.5</v>
      </c>
      <c r="AL518" s="4" t="n">
        <f aca="false">ROUND(MAX(AF518,AG518,AH518,AI518,AJ518,AK518),0)</f>
        <v>208</v>
      </c>
      <c r="AM518" s="4" t="str">
        <f aca="false">IF(AL518="","",IF(AL518&lt;=50,"Good",IF(AL518&lt;=100,"Satisfactory",IF(AL518&lt;=200,"Moderate",IF(AL518&lt;=300,"Poor",IF(AL518&lt;=400,"Very Poor","Severe"))))))</f>
        <v>Poor</v>
      </c>
    </row>
    <row r="519" customFormat="false" ht="15.75" hidden="false" customHeight="false" outlineLevel="0" collapsed="false">
      <c r="A519" s="1" t="s">
        <v>39</v>
      </c>
      <c r="B519" s="1" t="s">
        <v>40</v>
      </c>
      <c r="C519" s="1" t="n">
        <v>28.4595</v>
      </c>
      <c r="D519" s="1" t="n">
        <v>77.0266</v>
      </c>
      <c r="E519" s="5" t="n">
        <v>45922</v>
      </c>
      <c r="F519" s="6" t="s">
        <v>64</v>
      </c>
      <c r="G519" s="1" t="n">
        <v>9</v>
      </c>
      <c r="H519" s="7" t="s">
        <v>42</v>
      </c>
      <c r="I519" s="6" t="s">
        <v>43</v>
      </c>
      <c r="J519" s="7" t="s">
        <v>44</v>
      </c>
      <c r="K519" s="7" t="s">
        <v>65</v>
      </c>
      <c r="L519" s="1" t="n">
        <v>38</v>
      </c>
      <c r="M519" s="1" t="n">
        <v>18.8</v>
      </c>
      <c r="N519" s="1" t="n">
        <v>40</v>
      </c>
      <c r="O519" s="1" t="n">
        <v>0</v>
      </c>
      <c r="P519" s="6" t="s">
        <v>43</v>
      </c>
      <c r="Q519" s="6" t="s">
        <v>43</v>
      </c>
      <c r="R519" s="1" t="n">
        <v>1004.4</v>
      </c>
      <c r="S519" s="1" t="n">
        <v>15</v>
      </c>
      <c r="T519" s="1" t="n">
        <v>37.7</v>
      </c>
      <c r="U519" s="1" t="n">
        <v>229.1</v>
      </c>
      <c r="V519" s="1" t="n">
        <v>189</v>
      </c>
      <c r="W519" s="1" t="n">
        <v>3.3</v>
      </c>
      <c r="X519" s="1" t="n">
        <v>13.2</v>
      </c>
      <c r="Y519" s="1" t="n">
        <v>165</v>
      </c>
      <c r="Z519" s="1" t="n">
        <v>376</v>
      </c>
      <c r="AA519" s="1" t="n">
        <v>132</v>
      </c>
      <c r="AB519" s="7" t="s">
        <v>81</v>
      </c>
      <c r="AC519" s="7" t="s">
        <v>82</v>
      </c>
      <c r="AD519" s="7" t="s">
        <v>83</v>
      </c>
      <c r="AE519" s="7" t="s">
        <v>84</v>
      </c>
      <c r="AF519" s="4" t="n">
        <f aca="false">IF(T519="","",IF(T519&lt;=30,(50/30)*T519,IF(T519&lt;=60,50+((100-50)/(60-30))*(T519-30),IF(T519&lt;=90,100+((200-100)/(90-60))*(T519-60),IF(T519&lt;=120,200+((300-200)/(120-90))*(T519-90),IF(T519&lt;=250,300+((400-300)/(250-120))*(T519-120),IF(T519&lt;=380,400+((500-400)/(380-250))*(T519-250),500)))))))</f>
        <v>62.8333333333333</v>
      </c>
      <c r="AG519" s="4" t="n">
        <f aca="false">IF(U519="","",IF(U519&lt;=50,(50/50)*U519,IF(U519&lt;=100,50+((100-50)/(100-50))*(U519-50),IF(U519&lt;=250,100+((200-100)/(250-100))*(U519-100),IF(U519&lt;=350,200+((300-200)/(350-250))*(U519-250),IF(U519&lt;=430,300+((400-300)/(430-350))*(U519-350),IF(U519&lt;=600,400+((500-400)/(600-430))*(U519-430),500)))))))</f>
        <v>186.066666666667</v>
      </c>
      <c r="AH519" s="4" t="n">
        <f aca="false">IF(V519="","",IF((V519/1000)&lt;=1,(50/1)*(V519/1000),IF((V519/1000)&lt;=2,50+((100-50)/(2-1))*(V519/1000-1),IF((V519/1000)&lt;=10,100+((200-100)/(10-2))*(V519/1000-2),IF((V519/1000)&lt;=17,200+((300-200)/(17-10))*(V519/1000-10),IF((V519/1000)&lt;=34,300+((400-300)/(34-17))*(V519/1000-17),IF((V519/1000)&lt;=57,400+((500-400)/(57-34))*(V519/1000-34),500)))))))</f>
        <v>9.45</v>
      </c>
      <c r="AI519" s="4" t="n">
        <f aca="false">IF(W519="","",IF(W519&lt;=40,(50/40)*W519,IF(W519&lt;=80,50+((100-50)/(80-40))*(W519-40),IF(W519&lt;=180,100+((200-100)/(180-80))*(W519-80),IF(W519&lt;=280,200+((300-200)/(280-180))*(W519-180),IF(W519&lt;=400,300+((400-300)/(400-280))*(W519-280),IF(W519&lt;=800,400+((500-400)/(800-400))*(W519-400),500)))))))</f>
        <v>4.125</v>
      </c>
      <c r="AJ519" s="4" t="n">
        <f aca="false">IF(X519="","",IF(X519&lt;=40,(50/40)*X519,IF(X519&lt;=80,50+((100-50)/(80-40))*(X519-40),IF(X519&lt;=380,100+((200-100)/(380-80))*(X519-80),IF(X519&lt;=800,200+((300-200)/(800-380))*(X519-380),IF(X519&lt;=1600,300+((400-300)/(1600-800))*(X519-800),IF(X519&lt;=2100,400+((500-400)/(2100-1600))*(X519-1600),500)))))))</f>
        <v>16.5</v>
      </c>
      <c r="AK519" s="4" t="n">
        <f aca="false">IF(Y519="","",IF(Y519&lt;=50,(50/50)*Y519,IF(Y519&lt;=100,50+((100-50)/(100-50))*(Y519-50),IF(Y519&lt;=168,100+((200-100)/(168-100))*(Y519-100),IF(Y519&lt;=208,200+((300-200)/(208-168))*(Y519-168),IF(Y519&lt;=748,300+((400-300)/(748-208))*(Y519-208),IF(Y519&lt;=1000,400+((500-400)/(1000-748))*(Y519-748),500)))))))</f>
        <v>195.588235294118</v>
      </c>
      <c r="AL519" s="4" t="n">
        <f aca="false">ROUND(MAX(AF519,AG519,AH519,AI519,AJ519,AK519),0)</f>
        <v>196</v>
      </c>
      <c r="AM519" s="4" t="str">
        <f aca="false">IF(AL519="","",IF(AL519&lt;=50,"Good",IF(AL519&lt;=100,"Satisfactory",IF(AL519&lt;=200,"Moderate",IF(AL519&lt;=300,"Poor",IF(AL519&lt;=400,"Very Poor","Severe"))))))</f>
        <v>Moderate</v>
      </c>
    </row>
    <row r="520" customFormat="false" ht="15.75" hidden="false" customHeight="false" outlineLevel="0" collapsed="false">
      <c r="A520" s="1" t="s">
        <v>39</v>
      </c>
      <c r="B520" s="1" t="s">
        <v>40</v>
      </c>
      <c r="C520" s="1" t="n">
        <v>28.4595</v>
      </c>
      <c r="D520" s="1" t="n">
        <v>77.0266</v>
      </c>
      <c r="E520" s="5" t="n">
        <v>45922</v>
      </c>
      <c r="F520" s="6" t="s">
        <v>66</v>
      </c>
      <c r="G520" s="1" t="n">
        <v>9</v>
      </c>
      <c r="H520" s="7" t="s">
        <v>42</v>
      </c>
      <c r="I520" s="6" t="s">
        <v>43</v>
      </c>
      <c r="J520" s="7" t="s">
        <v>44</v>
      </c>
      <c r="K520" s="7" t="s">
        <v>65</v>
      </c>
      <c r="L520" s="1" t="n">
        <v>33</v>
      </c>
      <c r="M520" s="1" t="n">
        <v>17.1</v>
      </c>
      <c r="N520" s="1" t="n">
        <v>40</v>
      </c>
      <c r="O520" s="1" t="n">
        <v>0</v>
      </c>
      <c r="P520" s="6" t="s">
        <v>43</v>
      </c>
      <c r="Q520" s="6" t="s">
        <v>43</v>
      </c>
      <c r="R520" s="1" t="n">
        <v>1003.5</v>
      </c>
      <c r="S520" s="1" t="n">
        <v>2</v>
      </c>
      <c r="T520" s="1" t="n">
        <v>38.5</v>
      </c>
      <c r="U520" s="1" t="n">
        <v>243.1</v>
      </c>
      <c r="V520" s="1" t="n">
        <v>201</v>
      </c>
      <c r="W520" s="1" t="n">
        <v>4.5</v>
      </c>
      <c r="X520" s="1" t="n">
        <v>11.5</v>
      </c>
      <c r="Y520" s="1" t="n">
        <v>155</v>
      </c>
      <c r="Z520" s="1" t="n">
        <v>404</v>
      </c>
      <c r="AA520" s="1" t="n">
        <v>132</v>
      </c>
      <c r="AB520" s="7" t="s">
        <v>81</v>
      </c>
      <c r="AC520" s="7" t="s">
        <v>82</v>
      </c>
      <c r="AD520" s="7" t="s">
        <v>83</v>
      </c>
      <c r="AE520" s="7" t="s">
        <v>84</v>
      </c>
      <c r="AF520" s="4" t="n">
        <f aca="false">IF(T520="","",IF(T520&lt;=30,(50/30)*T520,IF(T520&lt;=60,50+((100-50)/(60-30))*(T520-30),IF(T520&lt;=90,100+((200-100)/(90-60))*(T520-60),IF(T520&lt;=120,200+((300-200)/(120-90))*(T520-90),IF(T520&lt;=250,300+((400-300)/(250-120))*(T520-120),IF(T520&lt;=380,400+((500-400)/(380-250))*(T520-250),500)))))))</f>
        <v>64.1666666666667</v>
      </c>
      <c r="AG520" s="4" t="n">
        <f aca="false">IF(U520="","",IF(U520&lt;=50,(50/50)*U520,IF(U520&lt;=100,50+((100-50)/(100-50))*(U520-50),IF(U520&lt;=250,100+((200-100)/(250-100))*(U520-100),IF(U520&lt;=350,200+((300-200)/(350-250))*(U520-250),IF(U520&lt;=430,300+((400-300)/(430-350))*(U520-350),IF(U520&lt;=600,400+((500-400)/(600-430))*(U520-430),500)))))))</f>
        <v>195.4</v>
      </c>
      <c r="AH520" s="4" t="n">
        <f aca="false">IF(V520="","",IF((V520/1000)&lt;=1,(50/1)*(V520/1000),IF((V520/1000)&lt;=2,50+((100-50)/(2-1))*(V520/1000-1),IF((V520/1000)&lt;=10,100+((200-100)/(10-2))*(V520/1000-2),IF((V520/1000)&lt;=17,200+((300-200)/(17-10))*(V520/1000-10),IF((V520/1000)&lt;=34,300+((400-300)/(34-17))*(V520/1000-17),IF((V520/1000)&lt;=57,400+((500-400)/(57-34))*(V520/1000-34),500)))))))</f>
        <v>10.05</v>
      </c>
      <c r="AI520" s="4" t="n">
        <f aca="false">IF(W520="","",IF(W520&lt;=40,(50/40)*W520,IF(W520&lt;=80,50+((100-50)/(80-40))*(W520-40),IF(W520&lt;=180,100+((200-100)/(180-80))*(W520-80),IF(W520&lt;=280,200+((300-200)/(280-180))*(W520-180),IF(W520&lt;=400,300+((400-300)/(400-280))*(W520-280),IF(W520&lt;=800,400+((500-400)/(800-400))*(W520-400),500)))))))</f>
        <v>5.625</v>
      </c>
      <c r="AJ520" s="4" t="n">
        <f aca="false">IF(X520="","",IF(X520&lt;=40,(50/40)*X520,IF(X520&lt;=80,50+((100-50)/(80-40))*(X520-40),IF(X520&lt;=380,100+((200-100)/(380-80))*(X520-80),IF(X520&lt;=800,200+((300-200)/(800-380))*(X520-380),IF(X520&lt;=1600,300+((400-300)/(1600-800))*(X520-800),IF(X520&lt;=2100,400+((500-400)/(2100-1600))*(X520-1600),500)))))))</f>
        <v>14.375</v>
      </c>
      <c r="AK520" s="4" t="n">
        <f aca="false">IF(Y520="","",IF(Y520&lt;=50,(50/50)*Y520,IF(Y520&lt;=100,50+((100-50)/(100-50))*(Y520-50),IF(Y520&lt;=168,100+((200-100)/(168-100))*(Y520-100),IF(Y520&lt;=208,200+((300-200)/(208-168))*(Y520-168),IF(Y520&lt;=748,300+((400-300)/(748-208))*(Y520-208),IF(Y520&lt;=1000,400+((500-400)/(1000-748))*(Y520-748),500)))))))</f>
        <v>180.882352941176</v>
      </c>
      <c r="AL520" s="4" t="n">
        <f aca="false">ROUND(MAX(AF520,AG520,AH520,AI520,AJ520,AK520),0)</f>
        <v>195</v>
      </c>
      <c r="AM520" s="4" t="str">
        <f aca="false">IF(AL520="","",IF(AL520&lt;=50,"Good",IF(AL520&lt;=100,"Satisfactory",IF(AL520&lt;=200,"Moderate",IF(AL520&lt;=300,"Poor",IF(AL520&lt;=400,"Very Poor","Severe"))))))</f>
        <v>Moderate</v>
      </c>
    </row>
    <row r="521" customFormat="false" ht="15.75" hidden="false" customHeight="false" outlineLevel="0" collapsed="false">
      <c r="A521" s="1" t="s">
        <v>39</v>
      </c>
      <c r="B521" s="1" t="s">
        <v>40</v>
      </c>
      <c r="C521" s="1" t="n">
        <v>28.4595</v>
      </c>
      <c r="D521" s="1" t="n">
        <v>77.0266</v>
      </c>
      <c r="E521" s="5" t="n">
        <v>45922</v>
      </c>
      <c r="F521" s="6" t="s">
        <v>67</v>
      </c>
      <c r="G521" s="1" t="n">
        <v>9</v>
      </c>
      <c r="H521" s="7" t="s">
        <v>42</v>
      </c>
      <c r="I521" s="6" t="s">
        <v>43</v>
      </c>
      <c r="J521" s="7" t="s">
        <v>44</v>
      </c>
      <c r="K521" s="7" t="s">
        <v>65</v>
      </c>
      <c r="L521" s="1" t="n">
        <v>34</v>
      </c>
      <c r="M521" s="1" t="n">
        <v>16.9</v>
      </c>
      <c r="N521" s="1" t="n">
        <v>39.6</v>
      </c>
      <c r="O521" s="1" t="n">
        <v>0</v>
      </c>
      <c r="P521" s="6" t="s">
        <v>43</v>
      </c>
      <c r="Q521" s="6" t="s">
        <v>43</v>
      </c>
      <c r="R521" s="1" t="n">
        <v>1003.4</v>
      </c>
      <c r="S521" s="1" t="n">
        <v>6</v>
      </c>
      <c r="T521" s="1" t="n">
        <v>40.5</v>
      </c>
      <c r="U521" s="1" t="n">
        <v>262.6</v>
      </c>
      <c r="V521" s="1" t="n">
        <v>233</v>
      </c>
      <c r="W521" s="1" t="n">
        <v>7.5</v>
      </c>
      <c r="X521" s="1" t="n">
        <v>10.9</v>
      </c>
      <c r="Y521" s="1" t="n">
        <v>145</v>
      </c>
      <c r="Z521" s="1" t="n">
        <v>434</v>
      </c>
      <c r="AA521" s="1" t="n">
        <v>133</v>
      </c>
      <c r="AB521" s="7" t="s">
        <v>81</v>
      </c>
      <c r="AC521" s="7" t="s">
        <v>82</v>
      </c>
      <c r="AD521" s="7" t="s">
        <v>83</v>
      </c>
      <c r="AE521" s="7" t="s">
        <v>84</v>
      </c>
      <c r="AF521" s="4" t="n">
        <f aca="false">IF(T521="","",IF(T521&lt;=30,(50/30)*T521,IF(T521&lt;=60,50+((100-50)/(60-30))*(T521-30),IF(T521&lt;=90,100+((200-100)/(90-60))*(T521-60),IF(T521&lt;=120,200+((300-200)/(120-90))*(T521-90),IF(T521&lt;=250,300+((400-300)/(250-120))*(T521-120),IF(T521&lt;=380,400+((500-400)/(380-250))*(T521-250),500)))))))</f>
        <v>67.5</v>
      </c>
      <c r="AG521" s="4" t="n">
        <f aca="false">IF(U521="","",IF(U521&lt;=50,(50/50)*U521,IF(U521&lt;=100,50+((100-50)/(100-50))*(U521-50),IF(U521&lt;=250,100+((200-100)/(250-100))*(U521-100),IF(U521&lt;=350,200+((300-200)/(350-250))*(U521-250),IF(U521&lt;=430,300+((400-300)/(430-350))*(U521-350),IF(U521&lt;=600,400+((500-400)/(600-430))*(U521-430),500)))))))</f>
        <v>212.6</v>
      </c>
      <c r="AH521" s="4" t="n">
        <f aca="false">IF(V521="","",IF((V521/1000)&lt;=1,(50/1)*(V521/1000),IF((V521/1000)&lt;=2,50+((100-50)/(2-1))*(V521/1000-1),IF((V521/1000)&lt;=10,100+((200-100)/(10-2))*(V521/1000-2),IF((V521/1000)&lt;=17,200+((300-200)/(17-10))*(V521/1000-10),IF((V521/1000)&lt;=34,300+((400-300)/(34-17))*(V521/1000-17),IF((V521/1000)&lt;=57,400+((500-400)/(57-34))*(V521/1000-34),500)))))))</f>
        <v>11.65</v>
      </c>
      <c r="AI521" s="4" t="n">
        <f aca="false">IF(W521="","",IF(W521&lt;=40,(50/40)*W521,IF(W521&lt;=80,50+((100-50)/(80-40))*(W521-40),IF(W521&lt;=180,100+((200-100)/(180-80))*(W521-80),IF(W521&lt;=280,200+((300-200)/(280-180))*(W521-180),IF(W521&lt;=400,300+((400-300)/(400-280))*(W521-280),IF(W521&lt;=800,400+((500-400)/(800-400))*(W521-400),500)))))))</f>
        <v>9.375</v>
      </c>
      <c r="AJ521" s="4" t="n">
        <f aca="false">IF(X521="","",IF(X521&lt;=40,(50/40)*X521,IF(X521&lt;=80,50+((100-50)/(80-40))*(X521-40),IF(X521&lt;=380,100+((200-100)/(380-80))*(X521-80),IF(X521&lt;=800,200+((300-200)/(800-380))*(X521-380),IF(X521&lt;=1600,300+((400-300)/(1600-800))*(X521-800),IF(X521&lt;=2100,400+((500-400)/(2100-1600))*(X521-1600),500)))))))</f>
        <v>13.625</v>
      </c>
      <c r="AK521" s="4" t="n">
        <f aca="false">IF(Y521="","",IF(Y521&lt;=50,(50/50)*Y521,IF(Y521&lt;=100,50+((100-50)/(100-50))*(Y521-50),IF(Y521&lt;=168,100+((200-100)/(168-100))*(Y521-100),IF(Y521&lt;=208,200+((300-200)/(208-168))*(Y521-168),IF(Y521&lt;=748,300+((400-300)/(748-208))*(Y521-208),IF(Y521&lt;=1000,400+((500-400)/(1000-748))*(Y521-748),500)))))))</f>
        <v>166.176470588235</v>
      </c>
      <c r="AL521" s="4" t="n">
        <f aca="false">ROUND(MAX(AF521,AG521,AH521,AI521,AJ521,AK521),0)</f>
        <v>213</v>
      </c>
      <c r="AM521" s="4" t="str">
        <f aca="false">IF(AL521="","",IF(AL521&lt;=50,"Good",IF(AL521&lt;=100,"Satisfactory",IF(AL521&lt;=200,"Moderate",IF(AL521&lt;=300,"Poor",IF(AL521&lt;=400,"Very Poor","Severe"))))))</f>
        <v>Poor</v>
      </c>
    </row>
    <row r="522" customFormat="false" ht="15.75" hidden="false" customHeight="false" outlineLevel="0" collapsed="false">
      <c r="A522" s="1" t="s">
        <v>39</v>
      </c>
      <c r="B522" s="1" t="s">
        <v>40</v>
      </c>
      <c r="C522" s="1" t="n">
        <v>28.4595</v>
      </c>
      <c r="D522" s="1" t="n">
        <v>77.0266</v>
      </c>
      <c r="E522" s="5" t="n">
        <v>45922</v>
      </c>
      <c r="F522" s="6" t="s">
        <v>68</v>
      </c>
      <c r="G522" s="1" t="n">
        <v>9</v>
      </c>
      <c r="H522" s="7" t="s">
        <v>42</v>
      </c>
      <c r="I522" s="6" t="s">
        <v>43</v>
      </c>
      <c r="J522" s="7" t="s">
        <v>44</v>
      </c>
      <c r="K522" s="7" t="s">
        <v>65</v>
      </c>
      <c r="L522" s="1" t="n">
        <v>37</v>
      </c>
      <c r="M522" s="1" t="n">
        <v>17.9</v>
      </c>
      <c r="N522" s="1" t="n">
        <v>38.5</v>
      </c>
      <c r="O522" s="1" t="n">
        <v>0</v>
      </c>
      <c r="P522" s="6" t="s">
        <v>43</v>
      </c>
      <c r="Q522" s="6" t="s">
        <v>43</v>
      </c>
      <c r="R522" s="1" t="n">
        <v>1003.1</v>
      </c>
      <c r="S522" s="1" t="n">
        <v>1</v>
      </c>
      <c r="T522" s="1" t="n">
        <v>43.2</v>
      </c>
      <c r="U522" s="1" t="n">
        <v>276.6</v>
      </c>
      <c r="V522" s="1" t="n">
        <v>283</v>
      </c>
      <c r="W522" s="1" t="n">
        <v>12.2</v>
      </c>
      <c r="X522" s="1" t="n">
        <v>11</v>
      </c>
      <c r="Y522" s="1" t="n">
        <v>132</v>
      </c>
      <c r="Z522" s="1" t="n">
        <v>461</v>
      </c>
      <c r="AA522" s="1" t="n">
        <v>134</v>
      </c>
      <c r="AB522" s="7" t="s">
        <v>81</v>
      </c>
      <c r="AC522" s="7" t="s">
        <v>82</v>
      </c>
      <c r="AD522" s="7" t="s">
        <v>83</v>
      </c>
      <c r="AE522" s="7" t="s">
        <v>84</v>
      </c>
      <c r="AF522" s="4" t="n">
        <f aca="false">IF(T522="","",IF(T522&lt;=30,(50/30)*T522,IF(T522&lt;=60,50+((100-50)/(60-30))*(T522-30),IF(T522&lt;=90,100+((200-100)/(90-60))*(T522-60),IF(T522&lt;=120,200+((300-200)/(120-90))*(T522-90),IF(T522&lt;=250,300+((400-300)/(250-120))*(T522-120),IF(T522&lt;=380,400+((500-400)/(380-250))*(T522-250),500)))))))</f>
        <v>72</v>
      </c>
      <c r="AG522" s="4" t="n">
        <f aca="false">IF(U522="","",IF(U522&lt;=50,(50/50)*U522,IF(U522&lt;=100,50+((100-50)/(100-50))*(U522-50),IF(U522&lt;=250,100+((200-100)/(250-100))*(U522-100),IF(U522&lt;=350,200+((300-200)/(350-250))*(U522-250),IF(U522&lt;=430,300+((400-300)/(430-350))*(U522-350),IF(U522&lt;=600,400+((500-400)/(600-430))*(U522-430),500)))))))</f>
        <v>226.6</v>
      </c>
      <c r="AH522" s="4" t="n">
        <f aca="false">IF(V522="","",IF((V522/1000)&lt;=1,(50/1)*(V522/1000),IF((V522/1000)&lt;=2,50+((100-50)/(2-1))*(V522/1000-1),IF((V522/1000)&lt;=10,100+((200-100)/(10-2))*(V522/1000-2),IF((V522/1000)&lt;=17,200+((300-200)/(17-10))*(V522/1000-10),IF((V522/1000)&lt;=34,300+((400-300)/(34-17))*(V522/1000-17),IF((V522/1000)&lt;=57,400+((500-400)/(57-34))*(V522/1000-34),500)))))))</f>
        <v>14.15</v>
      </c>
      <c r="AI522" s="4" t="n">
        <f aca="false">IF(W522="","",IF(W522&lt;=40,(50/40)*W522,IF(W522&lt;=80,50+((100-50)/(80-40))*(W522-40),IF(W522&lt;=180,100+((200-100)/(180-80))*(W522-80),IF(W522&lt;=280,200+((300-200)/(280-180))*(W522-180),IF(W522&lt;=400,300+((400-300)/(400-280))*(W522-280),IF(W522&lt;=800,400+((500-400)/(800-400))*(W522-400),500)))))))</f>
        <v>15.25</v>
      </c>
      <c r="AJ522" s="4" t="n">
        <f aca="false">IF(X522="","",IF(X522&lt;=40,(50/40)*X522,IF(X522&lt;=80,50+((100-50)/(80-40))*(X522-40),IF(X522&lt;=380,100+((200-100)/(380-80))*(X522-80),IF(X522&lt;=800,200+((300-200)/(800-380))*(X522-380),IF(X522&lt;=1600,300+((400-300)/(1600-800))*(X522-800),IF(X522&lt;=2100,400+((500-400)/(2100-1600))*(X522-1600),500)))))))</f>
        <v>13.75</v>
      </c>
      <c r="AK522" s="4" t="n">
        <f aca="false">IF(Y522="","",IF(Y522&lt;=50,(50/50)*Y522,IF(Y522&lt;=100,50+((100-50)/(100-50))*(Y522-50),IF(Y522&lt;=168,100+((200-100)/(168-100))*(Y522-100),IF(Y522&lt;=208,200+((300-200)/(208-168))*(Y522-168),IF(Y522&lt;=748,300+((400-300)/(748-208))*(Y522-208),IF(Y522&lt;=1000,400+((500-400)/(1000-748))*(Y522-748),500)))))))</f>
        <v>147.058823529412</v>
      </c>
      <c r="AL522" s="4" t="n">
        <f aca="false">ROUND(MAX(AF522,AG522,AH522,AI522,AJ522,AK522),0)</f>
        <v>227</v>
      </c>
      <c r="AM522" s="4" t="str">
        <f aca="false">IF(AL522="","",IF(AL522&lt;=50,"Good",IF(AL522&lt;=100,"Satisfactory",IF(AL522&lt;=200,"Moderate",IF(AL522&lt;=300,"Poor",IF(AL522&lt;=400,"Very Poor","Severe"))))))</f>
        <v>Poor</v>
      </c>
    </row>
    <row r="523" customFormat="false" ht="15.75" hidden="false" customHeight="false" outlineLevel="0" collapsed="false">
      <c r="A523" s="1" t="s">
        <v>39</v>
      </c>
      <c r="B523" s="1" t="s">
        <v>40</v>
      </c>
      <c r="C523" s="1" t="n">
        <v>28.4595</v>
      </c>
      <c r="D523" s="1" t="n">
        <v>77.0266</v>
      </c>
      <c r="E523" s="5" t="n">
        <v>45922</v>
      </c>
      <c r="F523" s="6" t="s">
        <v>69</v>
      </c>
      <c r="G523" s="1" t="n">
        <v>9</v>
      </c>
      <c r="H523" s="7" t="s">
        <v>42</v>
      </c>
      <c r="I523" s="6" t="s">
        <v>43</v>
      </c>
      <c r="J523" s="7" t="s">
        <v>44</v>
      </c>
      <c r="K523" s="7" t="s">
        <v>65</v>
      </c>
      <c r="L523" s="1" t="n">
        <v>43</v>
      </c>
      <c r="M523" s="1" t="n">
        <v>18.9</v>
      </c>
      <c r="N523" s="1" t="n">
        <v>36</v>
      </c>
      <c r="O523" s="1" t="n">
        <v>0</v>
      </c>
      <c r="P523" s="6" t="s">
        <v>43</v>
      </c>
      <c r="Q523" s="6" t="s">
        <v>43</v>
      </c>
      <c r="R523" s="1" t="n">
        <v>1002.8</v>
      </c>
      <c r="S523" s="1" t="n">
        <v>0</v>
      </c>
      <c r="T523" s="1" t="n">
        <v>61.2</v>
      </c>
      <c r="U523" s="1" t="n">
        <v>420</v>
      </c>
      <c r="V523" s="1" t="n">
        <v>333</v>
      </c>
      <c r="W523" s="1" t="n">
        <v>16.2</v>
      </c>
      <c r="X523" s="1" t="n">
        <v>12.8</v>
      </c>
      <c r="Y523" s="1" t="n">
        <v>117</v>
      </c>
      <c r="Z523" s="1" t="n">
        <v>714</v>
      </c>
      <c r="AA523" s="1" t="n">
        <v>135</v>
      </c>
      <c r="AB523" s="7" t="s">
        <v>81</v>
      </c>
      <c r="AC523" s="7" t="s">
        <v>82</v>
      </c>
      <c r="AD523" s="7" t="s">
        <v>83</v>
      </c>
      <c r="AE523" s="7" t="s">
        <v>84</v>
      </c>
      <c r="AF523" s="4" t="n">
        <f aca="false">IF(T523="","",IF(T523&lt;=30,(50/30)*T523,IF(T523&lt;=60,50+((100-50)/(60-30))*(T523-30),IF(T523&lt;=90,100+((200-100)/(90-60))*(T523-60),IF(T523&lt;=120,200+((300-200)/(120-90))*(T523-90),IF(T523&lt;=250,300+((400-300)/(250-120))*(T523-120),IF(T523&lt;=380,400+((500-400)/(380-250))*(T523-250),500)))))))</f>
        <v>104</v>
      </c>
      <c r="AG523" s="4" t="n">
        <f aca="false">IF(U523="","",IF(U523&lt;=50,(50/50)*U523,IF(U523&lt;=100,50+((100-50)/(100-50))*(U523-50),IF(U523&lt;=250,100+((200-100)/(250-100))*(U523-100),IF(U523&lt;=350,200+((300-200)/(350-250))*(U523-250),IF(U523&lt;=430,300+((400-300)/(430-350))*(U523-350),IF(U523&lt;=600,400+((500-400)/(600-430))*(U523-430),500)))))))</f>
        <v>387.5</v>
      </c>
      <c r="AH523" s="4" t="n">
        <f aca="false">IF(V523="","",IF((V523/1000)&lt;=1,(50/1)*(V523/1000),IF((V523/1000)&lt;=2,50+((100-50)/(2-1))*(V523/1000-1),IF((V523/1000)&lt;=10,100+((200-100)/(10-2))*(V523/1000-2),IF((V523/1000)&lt;=17,200+((300-200)/(17-10))*(V523/1000-10),IF((V523/1000)&lt;=34,300+((400-300)/(34-17))*(V523/1000-17),IF((V523/1000)&lt;=57,400+((500-400)/(57-34))*(V523/1000-34),500)))))))</f>
        <v>16.65</v>
      </c>
      <c r="AI523" s="4" t="n">
        <f aca="false">IF(W523="","",IF(W523&lt;=40,(50/40)*W523,IF(W523&lt;=80,50+((100-50)/(80-40))*(W523-40),IF(W523&lt;=180,100+((200-100)/(180-80))*(W523-80),IF(W523&lt;=280,200+((300-200)/(280-180))*(W523-180),IF(W523&lt;=400,300+((400-300)/(400-280))*(W523-280),IF(W523&lt;=800,400+((500-400)/(800-400))*(W523-400),500)))))))</f>
        <v>20.25</v>
      </c>
      <c r="AJ523" s="4" t="n">
        <f aca="false">IF(X523="","",IF(X523&lt;=40,(50/40)*X523,IF(X523&lt;=80,50+((100-50)/(80-40))*(X523-40),IF(X523&lt;=380,100+((200-100)/(380-80))*(X523-80),IF(X523&lt;=800,200+((300-200)/(800-380))*(X523-380),IF(X523&lt;=1600,300+((400-300)/(1600-800))*(X523-800),IF(X523&lt;=2100,400+((500-400)/(2100-1600))*(X523-1600),500)))))))</f>
        <v>16</v>
      </c>
      <c r="AK523" s="4" t="n">
        <f aca="false">IF(Y523="","",IF(Y523&lt;=50,(50/50)*Y523,IF(Y523&lt;=100,50+((100-50)/(100-50))*(Y523-50),IF(Y523&lt;=168,100+((200-100)/(168-100))*(Y523-100),IF(Y523&lt;=208,200+((300-200)/(208-168))*(Y523-168),IF(Y523&lt;=748,300+((400-300)/(748-208))*(Y523-208),IF(Y523&lt;=1000,400+((500-400)/(1000-748))*(Y523-748),500)))))))</f>
        <v>125</v>
      </c>
      <c r="AL523" s="4" t="n">
        <f aca="false">ROUND(MAX(AF523,AG523,AH523,AI523,AJ523,AK523),0)</f>
        <v>388</v>
      </c>
      <c r="AM523" s="4" t="str">
        <f aca="false">IF(AL523="","",IF(AL523&lt;=50,"Good",IF(AL523&lt;=100,"Satisfactory",IF(AL523&lt;=200,"Moderate",IF(AL523&lt;=300,"Poor",IF(AL523&lt;=400,"Very Poor","Severe"))))))</f>
        <v>Very Poor</v>
      </c>
    </row>
    <row r="524" customFormat="false" ht="15.75" hidden="false" customHeight="false" outlineLevel="0" collapsed="false">
      <c r="A524" s="1" t="s">
        <v>39</v>
      </c>
      <c r="B524" s="1" t="s">
        <v>40</v>
      </c>
      <c r="C524" s="1" t="n">
        <v>28.4595</v>
      </c>
      <c r="D524" s="1" t="n">
        <v>77.0266</v>
      </c>
      <c r="E524" s="5" t="n">
        <v>45922</v>
      </c>
      <c r="F524" s="6" t="s">
        <v>70</v>
      </c>
      <c r="G524" s="1" t="n">
        <v>9</v>
      </c>
      <c r="H524" s="7" t="s">
        <v>42</v>
      </c>
      <c r="I524" s="6" t="s">
        <v>43</v>
      </c>
      <c r="J524" s="7" t="s">
        <v>44</v>
      </c>
      <c r="K524" s="7" t="s">
        <v>71</v>
      </c>
      <c r="L524" s="1" t="n">
        <v>53</v>
      </c>
      <c r="M524" s="1" t="n">
        <v>20.4</v>
      </c>
      <c r="N524" s="1" t="n">
        <v>25.6</v>
      </c>
      <c r="O524" s="1" t="n">
        <v>0</v>
      </c>
      <c r="P524" s="6" t="s">
        <v>43</v>
      </c>
      <c r="Q524" s="6" t="s">
        <v>43</v>
      </c>
      <c r="R524" s="1" t="n">
        <v>1003.6</v>
      </c>
      <c r="S524" s="1" t="n">
        <v>0</v>
      </c>
      <c r="T524" s="1" t="n">
        <v>65.4</v>
      </c>
      <c r="U524" s="1" t="n">
        <v>411.6</v>
      </c>
      <c r="V524" s="1" t="n">
        <v>380</v>
      </c>
      <c r="W524" s="1" t="n">
        <v>20</v>
      </c>
      <c r="X524" s="1" t="n">
        <v>14.6</v>
      </c>
      <c r="Y524" s="1" t="n">
        <v>106</v>
      </c>
      <c r="Z524" s="1" t="n">
        <v>713</v>
      </c>
      <c r="AA524" s="1" t="n">
        <v>136</v>
      </c>
      <c r="AB524" s="7" t="s">
        <v>81</v>
      </c>
      <c r="AC524" s="7" t="s">
        <v>82</v>
      </c>
      <c r="AD524" s="7" t="s">
        <v>83</v>
      </c>
      <c r="AE524" s="7" t="s">
        <v>84</v>
      </c>
      <c r="AF524" s="4" t="n">
        <f aca="false">IF(T524="","",IF(T524&lt;=30,(50/30)*T524,IF(T524&lt;=60,50+((100-50)/(60-30))*(T524-30),IF(T524&lt;=90,100+((200-100)/(90-60))*(T524-60),IF(T524&lt;=120,200+((300-200)/(120-90))*(T524-90),IF(T524&lt;=250,300+((400-300)/(250-120))*(T524-120),IF(T524&lt;=380,400+((500-400)/(380-250))*(T524-250),500)))))))</f>
        <v>118</v>
      </c>
      <c r="AG524" s="4" t="n">
        <f aca="false">IF(U524="","",IF(U524&lt;=50,(50/50)*U524,IF(U524&lt;=100,50+((100-50)/(100-50))*(U524-50),IF(U524&lt;=250,100+((200-100)/(250-100))*(U524-100),IF(U524&lt;=350,200+((300-200)/(350-250))*(U524-250),IF(U524&lt;=430,300+((400-300)/(430-350))*(U524-350),IF(U524&lt;=600,400+((500-400)/(600-430))*(U524-430),500)))))))</f>
        <v>377</v>
      </c>
      <c r="AH524" s="4" t="n">
        <f aca="false">IF(V524="","",IF((V524/1000)&lt;=1,(50/1)*(V524/1000),IF((V524/1000)&lt;=2,50+((100-50)/(2-1))*(V524/1000-1),IF((V524/1000)&lt;=10,100+((200-100)/(10-2))*(V524/1000-2),IF((V524/1000)&lt;=17,200+((300-200)/(17-10))*(V524/1000-10),IF((V524/1000)&lt;=34,300+((400-300)/(34-17))*(V524/1000-17),IF((V524/1000)&lt;=57,400+((500-400)/(57-34))*(V524/1000-34),500)))))))</f>
        <v>19</v>
      </c>
      <c r="AI524" s="4" t="n">
        <f aca="false">IF(W524="","",IF(W524&lt;=40,(50/40)*W524,IF(W524&lt;=80,50+((100-50)/(80-40))*(W524-40),IF(W524&lt;=180,100+((200-100)/(180-80))*(W524-80),IF(W524&lt;=280,200+((300-200)/(280-180))*(W524-180),IF(W524&lt;=400,300+((400-300)/(400-280))*(W524-280),IF(W524&lt;=800,400+((500-400)/(800-400))*(W524-400),500)))))))</f>
        <v>25</v>
      </c>
      <c r="AJ524" s="4" t="n">
        <f aca="false">IF(X524="","",IF(X524&lt;=40,(50/40)*X524,IF(X524&lt;=80,50+((100-50)/(80-40))*(X524-40),IF(X524&lt;=380,100+((200-100)/(380-80))*(X524-80),IF(X524&lt;=800,200+((300-200)/(800-380))*(X524-380),IF(X524&lt;=1600,300+((400-300)/(1600-800))*(X524-800),IF(X524&lt;=2100,400+((500-400)/(2100-1600))*(X524-1600),500)))))))</f>
        <v>18.25</v>
      </c>
      <c r="AK524" s="4" t="n">
        <f aca="false">IF(Y524="","",IF(Y524&lt;=50,(50/50)*Y524,IF(Y524&lt;=100,50+((100-50)/(100-50))*(Y524-50),IF(Y524&lt;=168,100+((200-100)/(168-100))*(Y524-100),IF(Y524&lt;=208,200+((300-200)/(208-168))*(Y524-168),IF(Y524&lt;=748,300+((400-300)/(748-208))*(Y524-208),IF(Y524&lt;=1000,400+((500-400)/(1000-748))*(Y524-748),500)))))))</f>
        <v>108.823529411765</v>
      </c>
      <c r="AL524" s="4" t="n">
        <f aca="false">ROUND(MAX(AF524,AG524,AH524,AI524,AJ524,AK524),0)</f>
        <v>377</v>
      </c>
      <c r="AM524" s="4" t="str">
        <f aca="false">IF(AL524="","",IF(AL524&lt;=50,"Good",IF(AL524&lt;=100,"Satisfactory",IF(AL524&lt;=200,"Moderate",IF(AL524&lt;=300,"Poor",IF(AL524&lt;=400,"Very Poor","Severe"))))))</f>
        <v>Very Poor</v>
      </c>
    </row>
    <row r="525" customFormat="false" ht="15.75" hidden="false" customHeight="false" outlineLevel="0" collapsed="false">
      <c r="A525" s="1" t="s">
        <v>39</v>
      </c>
      <c r="B525" s="1" t="s">
        <v>40</v>
      </c>
      <c r="C525" s="1" t="n">
        <v>28.4595</v>
      </c>
      <c r="D525" s="1" t="n">
        <v>77.0266</v>
      </c>
      <c r="E525" s="5" t="n">
        <v>45922</v>
      </c>
      <c r="F525" s="6" t="s">
        <v>72</v>
      </c>
      <c r="G525" s="1" t="n">
        <v>9</v>
      </c>
      <c r="H525" s="7" t="s">
        <v>42</v>
      </c>
      <c r="I525" s="6" t="s">
        <v>43</v>
      </c>
      <c r="J525" s="7" t="s">
        <v>44</v>
      </c>
      <c r="K525" s="7" t="s">
        <v>71</v>
      </c>
      <c r="L525" s="1" t="n">
        <v>58</v>
      </c>
      <c r="M525" s="1" t="n">
        <v>20.7</v>
      </c>
      <c r="N525" s="1" t="n">
        <v>20.9</v>
      </c>
      <c r="O525" s="1" t="n">
        <v>0</v>
      </c>
      <c r="P525" s="6" t="s">
        <v>43</v>
      </c>
      <c r="Q525" s="6" t="s">
        <v>43</v>
      </c>
      <c r="R525" s="1" t="n">
        <v>1004</v>
      </c>
      <c r="S525" s="1" t="n">
        <v>2</v>
      </c>
      <c r="T525" s="1" t="n">
        <v>68.7</v>
      </c>
      <c r="U525" s="1" t="n">
        <v>416.3</v>
      </c>
      <c r="V525" s="1" t="n">
        <v>428</v>
      </c>
      <c r="W525" s="1" t="n">
        <v>25.3</v>
      </c>
      <c r="X525" s="1" t="n">
        <v>17.1</v>
      </c>
      <c r="Y525" s="1" t="n">
        <v>90</v>
      </c>
      <c r="Z525" s="1" t="n">
        <v>705</v>
      </c>
      <c r="AA525" s="1" t="n">
        <v>138</v>
      </c>
      <c r="AB525" s="7" t="s">
        <v>81</v>
      </c>
      <c r="AC525" s="7" t="s">
        <v>82</v>
      </c>
      <c r="AD525" s="7" t="s">
        <v>83</v>
      </c>
      <c r="AE525" s="7" t="s">
        <v>84</v>
      </c>
      <c r="AF525" s="4" t="n">
        <f aca="false">IF(T525="","",IF(T525&lt;=30,(50/30)*T525,IF(T525&lt;=60,50+((100-50)/(60-30))*(T525-30),IF(T525&lt;=90,100+((200-100)/(90-60))*(T525-60),IF(T525&lt;=120,200+((300-200)/(120-90))*(T525-90),IF(T525&lt;=250,300+((400-300)/(250-120))*(T525-120),IF(T525&lt;=380,400+((500-400)/(380-250))*(T525-250),500)))))))</f>
        <v>129</v>
      </c>
      <c r="AG525" s="4" t="n">
        <f aca="false">IF(U525="","",IF(U525&lt;=50,(50/50)*U525,IF(U525&lt;=100,50+((100-50)/(100-50))*(U525-50),IF(U525&lt;=250,100+((200-100)/(250-100))*(U525-100),IF(U525&lt;=350,200+((300-200)/(350-250))*(U525-250),IF(U525&lt;=430,300+((400-300)/(430-350))*(U525-350),IF(U525&lt;=600,400+((500-400)/(600-430))*(U525-430),500)))))))</f>
        <v>382.875</v>
      </c>
      <c r="AH525" s="4" t="n">
        <f aca="false">IF(V525="","",IF((V525/1000)&lt;=1,(50/1)*(V525/1000),IF((V525/1000)&lt;=2,50+((100-50)/(2-1))*(V525/1000-1),IF((V525/1000)&lt;=10,100+((200-100)/(10-2))*(V525/1000-2),IF((V525/1000)&lt;=17,200+((300-200)/(17-10))*(V525/1000-10),IF((V525/1000)&lt;=34,300+((400-300)/(34-17))*(V525/1000-17),IF((V525/1000)&lt;=57,400+((500-400)/(57-34))*(V525/1000-34),500)))))))</f>
        <v>21.4</v>
      </c>
      <c r="AI525" s="4" t="n">
        <f aca="false">IF(W525="","",IF(W525&lt;=40,(50/40)*W525,IF(W525&lt;=80,50+((100-50)/(80-40))*(W525-40),IF(W525&lt;=180,100+((200-100)/(180-80))*(W525-80),IF(W525&lt;=280,200+((300-200)/(280-180))*(W525-180),IF(W525&lt;=400,300+((400-300)/(400-280))*(W525-280),IF(W525&lt;=800,400+((500-400)/(800-400))*(W525-400),500)))))))</f>
        <v>31.625</v>
      </c>
      <c r="AJ525" s="4" t="n">
        <f aca="false">IF(X525="","",IF(X525&lt;=40,(50/40)*X525,IF(X525&lt;=80,50+((100-50)/(80-40))*(X525-40),IF(X525&lt;=380,100+((200-100)/(380-80))*(X525-80),IF(X525&lt;=800,200+((300-200)/(800-380))*(X525-380),IF(X525&lt;=1600,300+((400-300)/(1600-800))*(X525-800),IF(X525&lt;=2100,400+((500-400)/(2100-1600))*(X525-1600),500)))))))</f>
        <v>21.375</v>
      </c>
      <c r="AK525" s="4" t="n">
        <f aca="false">IF(Y525="","",IF(Y525&lt;=50,(50/50)*Y525,IF(Y525&lt;=100,50+((100-50)/(100-50))*(Y525-50),IF(Y525&lt;=168,100+((200-100)/(168-100))*(Y525-100),IF(Y525&lt;=208,200+((300-200)/(208-168))*(Y525-168),IF(Y525&lt;=748,300+((400-300)/(748-208))*(Y525-208),IF(Y525&lt;=1000,400+((500-400)/(1000-748))*(Y525-748),500)))))))</f>
        <v>90</v>
      </c>
      <c r="AL525" s="4" t="n">
        <f aca="false">ROUND(MAX(AF525,AG525,AH525,AI525,AJ525,AK525),0)</f>
        <v>383</v>
      </c>
      <c r="AM525" s="4" t="str">
        <f aca="false">IF(AL525="","",IF(AL525&lt;=50,"Good",IF(AL525&lt;=100,"Satisfactory",IF(AL525&lt;=200,"Moderate",IF(AL525&lt;=300,"Poor",IF(AL525&lt;=400,"Very Poor","Severe"))))))</f>
        <v>Very Poor</v>
      </c>
    </row>
    <row r="526" customFormat="false" ht="15.75" hidden="false" customHeight="false" outlineLevel="0" collapsed="false">
      <c r="A526" s="1" t="s">
        <v>39</v>
      </c>
      <c r="B526" s="1" t="s">
        <v>40</v>
      </c>
      <c r="C526" s="1" t="n">
        <v>28.4595</v>
      </c>
      <c r="D526" s="1" t="n">
        <v>77.0266</v>
      </c>
      <c r="E526" s="5" t="n">
        <v>45922</v>
      </c>
      <c r="F526" s="6" t="s">
        <v>73</v>
      </c>
      <c r="G526" s="1" t="n">
        <v>9</v>
      </c>
      <c r="H526" s="7" t="s">
        <v>42</v>
      </c>
      <c r="I526" s="6" t="s">
        <v>43</v>
      </c>
      <c r="J526" s="7" t="s">
        <v>44</v>
      </c>
      <c r="K526" s="7" t="s">
        <v>71</v>
      </c>
      <c r="L526" s="1" t="n">
        <v>61</v>
      </c>
      <c r="M526" s="1" t="n">
        <v>20.9</v>
      </c>
      <c r="N526" s="1" t="n">
        <v>19.4</v>
      </c>
      <c r="O526" s="1" t="n">
        <v>0</v>
      </c>
      <c r="P526" s="6" t="s">
        <v>43</v>
      </c>
      <c r="Q526" s="6" t="s">
        <v>43</v>
      </c>
      <c r="R526" s="1" t="n">
        <v>1004.4</v>
      </c>
      <c r="S526" s="1" t="n">
        <v>0</v>
      </c>
      <c r="T526" s="1" t="n">
        <v>70.1</v>
      </c>
      <c r="U526" s="1" t="n">
        <v>414.4</v>
      </c>
      <c r="V526" s="1" t="n">
        <v>462</v>
      </c>
      <c r="W526" s="1" t="n">
        <v>29.8</v>
      </c>
      <c r="X526" s="1" t="n">
        <v>18.8</v>
      </c>
      <c r="Y526" s="1" t="n">
        <v>77</v>
      </c>
      <c r="Z526" s="1" t="n">
        <v>670</v>
      </c>
      <c r="AA526" s="1" t="n">
        <v>140</v>
      </c>
      <c r="AB526" s="7" t="s">
        <v>81</v>
      </c>
      <c r="AC526" s="7" t="s">
        <v>82</v>
      </c>
      <c r="AD526" s="7" t="s">
        <v>83</v>
      </c>
      <c r="AE526" s="7" t="s">
        <v>84</v>
      </c>
      <c r="AF526" s="4" t="n">
        <f aca="false">IF(T526="","",IF(T526&lt;=30,(50/30)*T526,IF(T526&lt;=60,50+((100-50)/(60-30))*(T526-30),IF(T526&lt;=90,100+((200-100)/(90-60))*(T526-60),IF(T526&lt;=120,200+((300-200)/(120-90))*(T526-90),IF(T526&lt;=250,300+((400-300)/(250-120))*(T526-120),IF(T526&lt;=380,400+((500-400)/(380-250))*(T526-250),500)))))))</f>
        <v>133.666666666667</v>
      </c>
      <c r="AG526" s="4" t="n">
        <f aca="false">IF(U526="","",IF(U526&lt;=50,(50/50)*U526,IF(U526&lt;=100,50+((100-50)/(100-50))*(U526-50),IF(U526&lt;=250,100+((200-100)/(250-100))*(U526-100),IF(U526&lt;=350,200+((300-200)/(350-250))*(U526-250),IF(U526&lt;=430,300+((400-300)/(430-350))*(U526-350),IF(U526&lt;=600,400+((500-400)/(600-430))*(U526-430),500)))))))</f>
        <v>380.5</v>
      </c>
      <c r="AH526" s="4" t="n">
        <f aca="false">IF(V526="","",IF((V526/1000)&lt;=1,(50/1)*(V526/1000),IF((V526/1000)&lt;=2,50+((100-50)/(2-1))*(V526/1000-1),IF((V526/1000)&lt;=10,100+((200-100)/(10-2))*(V526/1000-2),IF((V526/1000)&lt;=17,200+((300-200)/(17-10))*(V526/1000-10),IF((V526/1000)&lt;=34,300+((400-300)/(34-17))*(V526/1000-17),IF((V526/1000)&lt;=57,400+((500-400)/(57-34))*(V526/1000-34),500)))))))</f>
        <v>23.1</v>
      </c>
      <c r="AI526" s="4" t="n">
        <f aca="false">IF(W526="","",IF(W526&lt;=40,(50/40)*W526,IF(W526&lt;=80,50+((100-50)/(80-40))*(W526-40),IF(W526&lt;=180,100+((200-100)/(180-80))*(W526-80),IF(W526&lt;=280,200+((300-200)/(280-180))*(W526-180),IF(W526&lt;=400,300+((400-300)/(400-280))*(W526-280),IF(W526&lt;=800,400+((500-400)/(800-400))*(W526-400),500)))))))</f>
        <v>37.25</v>
      </c>
      <c r="AJ526" s="4" t="n">
        <f aca="false">IF(X526="","",IF(X526&lt;=40,(50/40)*X526,IF(X526&lt;=80,50+((100-50)/(80-40))*(X526-40),IF(X526&lt;=380,100+((200-100)/(380-80))*(X526-80),IF(X526&lt;=800,200+((300-200)/(800-380))*(X526-380),IF(X526&lt;=1600,300+((400-300)/(1600-800))*(X526-800),IF(X526&lt;=2100,400+((500-400)/(2100-1600))*(X526-1600),500)))))))</f>
        <v>23.5</v>
      </c>
      <c r="AK526" s="4" t="n">
        <f aca="false">IF(Y526="","",IF(Y526&lt;=50,(50/50)*Y526,IF(Y526&lt;=100,50+((100-50)/(100-50))*(Y526-50),IF(Y526&lt;=168,100+((200-100)/(168-100))*(Y526-100),IF(Y526&lt;=208,200+((300-200)/(208-168))*(Y526-168),IF(Y526&lt;=748,300+((400-300)/(748-208))*(Y526-208),IF(Y526&lt;=1000,400+((500-400)/(1000-748))*(Y526-748),500)))))))</f>
        <v>77</v>
      </c>
      <c r="AL526" s="4" t="n">
        <f aca="false">ROUND(MAX(AF526,AG526,AH526,AI526,AJ526,AK526),0)</f>
        <v>381</v>
      </c>
      <c r="AM526" s="4" t="str">
        <f aca="false">IF(AL526="","",IF(AL526&lt;=50,"Good",IF(AL526&lt;=100,"Satisfactory",IF(AL526&lt;=200,"Moderate",IF(AL526&lt;=300,"Poor",IF(AL526&lt;=400,"Very Poor","Severe"))))))</f>
        <v>Very Poor</v>
      </c>
    </row>
    <row r="527" customFormat="false" ht="15.75" hidden="false" customHeight="false" outlineLevel="0" collapsed="false">
      <c r="A527" s="1" t="s">
        <v>39</v>
      </c>
      <c r="B527" s="1" t="s">
        <v>40</v>
      </c>
      <c r="C527" s="1" t="n">
        <v>28.4595</v>
      </c>
      <c r="D527" s="1" t="n">
        <v>77.0266</v>
      </c>
      <c r="E527" s="5" t="n">
        <v>45922</v>
      </c>
      <c r="F527" s="6" t="s">
        <v>74</v>
      </c>
      <c r="G527" s="1" t="n">
        <v>9</v>
      </c>
      <c r="H527" s="7" t="s">
        <v>42</v>
      </c>
      <c r="I527" s="6" t="s">
        <v>43</v>
      </c>
      <c r="J527" s="7" t="s">
        <v>44</v>
      </c>
      <c r="K527" s="7" t="s">
        <v>75</v>
      </c>
      <c r="L527" s="1" t="n">
        <v>64</v>
      </c>
      <c r="M527" s="1" t="n">
        <v>20.8</v>
      </c>
      <c r="N527" s="1" t="n">
        <v>19.1</v>
      </c>
      <c r="O527" s="1" t="n">
        <v>0</v>
      </c>
      <c r="P527" s="6" t="s">
        <v>43</v>
      </c>
      <c r="Q527" s="6" t="s">
        <v>43</v>
      </c>
      <c r="R527" s="1" t="n">
        <v>1005.2</v>
      </c>
      <c r="S527" s="1" t="n">
        <v>0</v>
      </c>
      <c r="T527" s="1" t="n">
        <v>66.8</v>
      </c>
      <c r="U527" s="1" t="n">
        <v>366.9</v>
      </c>
      <c r="V527" s="1" t="n">
        <v>481</v>
      </c>
      <c r="W527" s="1" t="n">
        <v>32.8</v>
      </c>
      <c r="X527" s="1" t="n">
        <v>19.2</v>
      </c>
      <c r="Y527" s="1" t="n">
        <v>68</v>
      </c>
      <c r="Z527" s="1" t="n">
        <v>583</v>
      </c>
      <c r="AA527" s="1" t="n">
        <v>141</v>
      </c>
      <c r="AB527" s="7" t="s">
        <v>81</v>
      </c>
      <c r="AC527" s="7" t="s">
        <v>82</v>
      </c>
      <c r="AD527" s="7" t="s">
        <v>83</v>
      </c>
      <c r="AE527" s="7" t="s">
        <v>84</v>
      </c>
      <c r="AF527" s="4" t="n">
        <f aca="false">IF(T527="","",IF(T527&lt;=30,(50/30)*T527,IF(T527&lt;=60,50+((100-50)/(60-30))*(T527-30),IF(T527&lt;=90,100+((200-100)/(90-60))*(T527-60),IF(T527&lt;=120,200+((300-200)/(120-90))*(T527-90),IF(T527&lt;=250,300+((400-300)/(250-120))*(T527-120),IF(T527&lt;=380,400+((500-400)/(380-250))*(T527-250),500)))))))</f>
        <v>122.666666666667</v>
      </c>
      <c r="AG527" s="4" t="n">
        <f aca="false">IF(U527="","",IF(U527&lt;=50,(50/50)*U527,IF(U527&lt;=100,50+((100-50)/(100-50))*(U527-50),IF(U527&lt;=250,100+((200-100)/(250-100))*(U527-100),IF(U527&lt;=350,200+((300-200)/(350-250))*(U527-250),IF(U527&lt;=430,300+((400-300)/(430-350))*(U527-350),IF(U527&lt;=600,400+((500-400)/(600-430))*(U527-430),500)))))))</f>
        <v>321.125</v>
      </c>
      <c r="AH527" s="4" t="n">
        <f aca="false">IF(V527="","",IF((V527/1000)&lt;=1,(50/1)*(V527/1000),IF((V527/1000)&lt;=2,50+((100-50)/(2-1))*(V527/1000-1),IF((V527/1000)&lt;=10,100+((200-100)/(10-2))*(V527/1000-2),IF((V527/1000)&lt;=17,200+((300-200)/(17-10))*(V527/1000-10),IF((V527/1000)&lt;=34,300+((400-300)/(34-17))*(V527/1000-17),IF((V527/1000)&lt;=57,400+((500-400)/(57-34))*(V527/1000-34),500)))))))</f>
        <v>24.05</v>
      </c>
      <c r="AI527" s="4" t="n">
        <f aca="false">IF(W527="","",IF(W527&lt;=40,(50/40)*W527,IF(W527&lt;=80,50+((100-50)/(80-40))*(W527-40),IF(W527&lt;=180,100+((200-100)/(180-80))*(W527-80),IF(W527&lt;=280,200+((300-200)/(280-180))*(W527-180),IF(W527&lt;=400,300+((400-300)/(400-280))*(W527-280),IF(W527&lt;=800,400+((500-400)/(800-400))*(W527-400),500)))))))</f>
        <v>41</v>
      </c>
      <c r="AJ527" s="4" t="n">
        <f aca="false">IF(X527="","",IF(X527&lt;=40,(50/40)*X527,IF(X527&lt;=80,50+((100-50)/(80-40))*(X527-40),IF(X527&lt;=380,100+((200-100)/(380-80))*(X527-80),IF(X527&lt;=800,200+((300-200)/(800-380))*(X527-380),IF(X527&lt;=1600,300+((400-300)/(1600-800))*(X527-800),IF(X527&lt;=2100,400+((500-400)/(2100-1600))*(X527-1600),500)))))))</f>
        <v>24</v>
      </c>
      <c r="AK527" s="4" t="n">
        <f aca="false">IF(Y527="","",IF(Y527&lt;=50,(50/50)*Y527,IF(Y527&lt;=100,50+((100-50)/(100-50))*(Y527-50),IF(Y527&lt;=168,100+((200-100)/(168-100))*(Y527-100),IF(Y527&lt;=208,200+((300-200)/(208-168))*(Y527-168),IF(Y527&lt;=748,300+((400-300)/(748-208))*(Y527-208),IF(Y527&lt;=1000,400+((500-400)/(1000-748))*(Y527-748),500)))))))</f>
        <v>68</v>
      </c>
      <c r="AL527" s="4" t="n">
        <f aca="false">ROUND(MAX(AF527,AG527,AH527,AI527,AJ527,AK527),0)</f>
        <v>321</v>
      </c>
      <c r="AM527" s="4" t="str">
        <f aca="false">IF(AL527="","",IF(AL527&lt;=50,"Good",IF(AL527&lt;=100,"Satisfactory",IF(AL527&lt;=200,"Moderate",IF(AL527&lt;=300,"Poor",IF(AL527&lt;=400,"Very Poor","Severe"))))))</f>
        <v>Very Poor</v>
      </c>
    </row>
    <row r="528" customFormat="false" ht="15.75" hidden="false" customHeight="false" outlineLevel="0" collapsed="false">
      <c r="A528" s="1" t="s">
        <v>39</v>
      </c>
      <c r="B528" s="1" t="s">
        <v>40</v>
      </c>
      <c r="C528" s="1" t="n">
        <v>28.4595</v>
      </c>
      <c r="D528" s="1" t="n">
        <v>77.0266</v>
      </c>
      <c r="E528" s="5" t="n">
        <v>45922</v>
      </c>
      <c r="F528" s="6" t="s">
        <v>76</v>
      </c>
      <c r="G528" s="1" t="n">
        <v>9</v>
      </c>
      <c r="H528" s="7" t="s">
        <v>42</v>
      </c>
      <c r="I528" s="6" t="s">
        <v>43</v>
      </c>
      <c r="J528" s="7" t="s">
        <v>44</v>
      </c>
      <c r="K528" s="7" t="s">
        <v>75</v>
      </c>
      <c r="L528" s="1" t="n">
        <v>61</v>
      </c>
      <c r="M528" s="1" t="n">
        <v>20</v>
      </c>
      <c r="N528" s="1" t="n">
        <v>19.8</v>
      </c>
      <c r="O528" s="1" t="n">
        <v>0</v>
      </c>
      <c r="P528" s="6" t="s">
        <v>43</v>
      </c>
      <c r="Q528" s="6" t="s">
        <v>43</v>
      </c>
      <c r="R528" s="1" t="n">
        <v>1005.3</v>
      </c>
      <c r="S528" s="1" t="n">
        <v>0</v>
      </c>
      <c r="T528" s="1" t="n">
        <v>62.6</v>
      </c>
      <c r="U528" s="1" t="n">
        <v>303.6</v>
      </c>
      <c r="V528" s="1" t="n">
        <v>487</v>
      </c>
      <c r="W528" s="1" t="n">
        <v>35</v>
      </c>
      <c r="X528" s="1" t="n">
        <v>19</v>
      </c>
      <c r="Y528" s="1" t="n">
        <v>61</v>
      </c>
      <c r="Z528" s="1" t="n">
        <v>468</v>
      </c>
      <c r="AA528" s="1" t="n">
        <v>143</v>
      </c>
      <c r="AB528" s="7" t="s">
        <v>81</v>
      </c>
      <c r="AC528" s="7" t="s">
        <v>82</v>
      </c>
      <c r="AD528" s="7" t="s">
        <v>83</v>
      </c>
      <c r="AE528" s="7" t="s">
        <v>84</v>
      </c>
      <c r="AF528" s="4" t="n">
        <f aca="false">IF(T528="","",IF(T528&lt;=30,(50/30)*T528,IF(T528&lt;=60,50+((100-50)/(60-30))*(T528-30),IF(T528&lt;=90,100+((200-100)/(90-60))*(T528-60),IF(T528&lt;=120,200+((300-200)/(120-90))*(T528-90),IF(T528&lt;=250,300+((400-300)/(250-120))*(T528-120),IF(T528&lt;=380,400+((500-400)/(380-250))*(T528-250),500)))))))</f>
        <v>108.666666666667</v>
      </c>
      <c r="AG528" s="4" t="n">
        <f aca="false">IF(U528="","",IF(U528&lt;=50,(50/50)*U528,IF(U528&lt;=100,50+((100-50)/(100-50))*(U528-50),IF(U528&lt;=250,100+((200-100)/(250-100))*(U528-100),IF(U528&lt;=350,200+((300-200)/(350-250))*(U528-250),IF(U528&lt;=430,300+((400-300)/(430-350))*(U528-350),IF(U528&lt;=600,400+((500-400)/(600-430))*(U528-430),500)))))))</f>
        <v>253.6</v>
      </c>
      <c r="AH528" s="4" t="n">
        <f aca="false">IF(V528="","",IF((V528/1000)&lt;=1,(50/1)*(V528/1000),IF((V528/1000)&lt;=2,50+((100-50)/(2-1))*(V528/1000-1),IF((V528/1000)&lt;=10,100+((200-100)/(10-2))*(V528/1000-2),IF((V528/1000)&lt;=17,200+((300-200)/(17-10))*(V528/1000-10),IF((V528/1000)&lt;=34,300+((400-300)/(34-17))*(V528/1000-17),IF((V528/1000)&lt;=57,400+((500-400)/(57-34))*(V528/1000-34),500)))))))</f>
        <v>24.35</v>
      </c>
      <c r="AI528" s="4" t="n">
        <f aca="false">IF(W528="","",IF(W528&lt;=40,(50/40)*W528,IF(W528&lt;=80,50+((100-50)/(80-40))*(W528-40),IF(W528&lt;=180,100+((200-100)/(180-80))*(W528-80),IF(W528&lt;=280,200+((300-200)/(280-180))*(W528-180),IF(W528&lt;=400,300+((400-300)/(400-280))*(W528-280),IF(W528&lt;=800,400+((500-400)/(800-400))*(W528-400),500)))))))</f>
        <v>43.75</v>
      </c>
      <c r="AJ528" s="4" t="n">
        <f aca="false">IF(X528="","",IF(X528&lt;=40,(50/40)*X528,IF(X528&lt;=80,50+((100-50)/(80-40))*(X528-40),IF(X528&lt;=380,100+((200-100)/(380-80))*(X528-80),IF(X528&lt;=800,200+((300-200)/(800-380))*(X528-380),IF(X528&lt;=1600,300+((400-300)/(1600-800))*(X528-800),IF(X528&lt;=2100,400+((500-400)/(2100-1600))*(X528-1600),500)))))))</f>
        <v>23.75</v>
      </c>
      <c r="AK528" s="4" t="n">
        <f aca="false">IF(Y528="","",IF(Y528&lt;=50,(50/50)*Y528,IF(Y528&lt;=100,50+((100-50)/(100-50))*(Y528-50),IF(Y528&lt;=168,100+((200-100)/(168-100))*(Y528-100),IF(Y528&lt;=208,200+((300-200)/(208-168))*(Y528-168),IF(Y528&lt;=748,300+((400-300)/(748-208))*(Y528-208),IF(Y528&lt;=1000,400+((500-400)/(1000-748))*(Y528-748),500)))))))</f>
        <v>61</v>
      </c>
      <c r="AL528" s="4" t="n">
        <f aca="false">ROUND(MAX(AF528,AG528,AH528,AI528,AJ528,AK528),0)</f>
        <v>254</v>
      </c>
      <c r="AM528" s="4" t="str">
        <f aca="false">IF(AL528="","",IF(AL528&lt;=50,"Good",IF(AL528&lt;=100,"Satisfactory",IF(AL528&lt;=200,"Moderate",IF(AL528&lt;=300,"Poor",IF(AL528&lt;=400,"Very Poor","Severe"))))))</f>
        <v>Poor</v>
      </c>
    </row>
    <row r="529" customFormat="false" ht="15.75" hidden="false" customHeight="false" outlineLevel="0" collapsed="false">
      <c r="A529" s="1" t="s">
        <v>39</v>
      </c>
      <c r="B529" s="1" t="s">
        <v>40</v>
      </c>
      <c r="C529" s="1" t="n">
        <v>28.4595</v>
      </c>
      <c r="D529" s="1" t="n">
        <v>77.0266</v>
      </c>
      <c r="E529" s="5" t="n">
        <v>45922</v>
      </c>
      <c r="F529" s="6" t="s">
        <v>77</v>
      </c>
      <c r="G529" s="1" t="n">
        <v>9</v>
      </c>
      <c r="H529" s="7" t="s">
        <v>42</v>
      </c>
      <c r="I529" s="6" t="s">
        <v>43</v>
      </c>
      <c r="J529" s="7" t="s">
        <v>44</v>
      </c>
      <c r="K529" s="7" t="s">
        <v>75</v>
      </c>
      <c r="L529" s="1" t="n">
        <v>61</v>
      </c>
      <c r="M529" s="1" t="n">
        <v>19.5</v>
      </c>
      <c r="N529" s="1" t="n">
        <v>20.2</v>
      </c>
      <c r="O529" s="1" t="n">
        <v>0</v>
      </c>
      <c r="P529" s="6" t="s">
        <v>43</v>
      </c>
      <c r="Q529" s="6" t="s">
        <v>43</v>
      </c>
      <c r="R529" s="1" t="n">
        <v>1005.4</v>
      </c>
      <c r="S529" s="1" t="n">
        <v>0</v>
      </c>
      <c r="T529" s="1" t="n">
        <v>59.4</v>
      </c>
      <c r="U529" s="1" t="n">
        <v>252.4</v>
      </c>
      <c r="V529" s="1" t="n">
        <v>477</v>
      </c>
      <c r="W529" s="1" t="n">
        <v>36.5</v>
      </c>
      <c r="X529" s="1" t="n">
        <v>18.3</v>
      </c>
      <c r="Y529" s="1" t="n">
        <v>55</v>
      </c>
      <c r="Z529" s="1" t="n">
        <v>371</v>
      </c>
      <c r="AA529" s="1" t="n">
        <v>143</v>
      </c>
      <c r="AB529" s="7" t="s">
        <v>81</v>
      </c>
      <c r="AC529" s="7" t="s">
        <v>82</v>
      </c>
      <c r="AD529" s="7" t="s">
        <v>83</v>
      </c>
      <c r="AE529" s="7" t="s">
        <v>84</v>
      </c>
      <c r="AF529" s="4" t="n">
        <f aca="false">IF(T529="","",IF(T529&lt;=30,(50/30)*T529,IF(T529&lt;=60,50+((100-50)/(60-30))*(T529-30),IF(T529&lt;=90,100+((200-100)/(90-60))*(T529-60),IF(T529&lt;=120,200+((300-200)/(120-90))*(T529-90),IF(T529&lt;=250,300+((400-300)/(250-120))*(T529-120),IF(T529&lt;=380,400+((500-400)/(380-250))*(T529-250),500)))))))</f>
        <v>99</v>
      </c>
      <c r="AG529" s="4" t="n">
        <f aca="false">IF(U529="","",IF(U529&lt;=50,(50/50)*U529,IF(U529&lt;=100,50+((100-50)/(100-50))*(U529-50),IF(U529&lt;=250,100+((200-100)/(250-100))*(U529-100),IF(U529&lt;=350,200+((300-200)/(350-250))*(U529-250),IF(U529&lt;=430,300+((400-300)/(430-350))*(U529-350),IF(U529&lt;=600,400+((500-400)/(600-430))*(U529-430),500)))))))</f>
        <v>202.4</v>
      </c>
      <c r="AH529" s="4" t="n">
        <f aca="false">IF(V529="","",IF((V529/1000)&lt;=1,(50/1)*(V529/1000),IF((V529/1000)&lt;=2,50+((100-50)/(2-1))*(V529/1000-1),IF((V529/1000)&lt;=10,100+((200-100)/(10-2))*(V529/1000-2),IF((V529/1000)&lt;=17,200+((300-200)/(17-10))*(V529/1000-10),IF((V529/1000)&lt;=34,300+((400-300)/(34-17))*(V529/1000-17),IF((V529/1000)&lt;=57,400+((500-400)/(57-34))*(V529/1000-34),500)))))))</f>
        <v>23.85</v>
      </c>
      <c r="AI529" s="4" t="n">
        <f aca="false">IF(W529="","",IF(W529&lt;=40,(50/40)*W529,IF(W529&lt;=80,50+((100-50)/(80-40))*(W529-40),IF(W529&lt;=180,100+((200-100)/(180-80))*(W529-80),IF(W529&lt;=280,200+((300-200)/(280-180))*(W529-180),IF(W529&lt;=400,300+((400-300)/(400-280))*(W529-280),IF(W529&lt;=800,400+((500-400)/(800-400))*(W529-400),500)))))))</f>
        <v>45.625</v>
      </c>
      <c r="AJ529" s="4" t="n">
        <f aca="false">IF(X529="","",IF(X529&lt;=40,(50/40)*X529,IF(X529&lt;=80,50+((100-50)/(80-40))*(X529-40),IF(X529&lt;=380,100+((200-100)/(380-80))*(X529-80),IF(X529&lt;=800,200+((300-200)/(800-380))*(X529-380),IF(X529&lt;=1600,300+((400-300)/(1600-800))*(X529-800),IF(X529&lt;=2100,400+((500-400)/(2100-1600))*(X529-1600),500)))))))</f>
        <v>22.875</v>
      </c>
      <c r="AK529" s="4" t="n">
        <f aca="false">IF(Y529="","",IF(Y529&lt;=50,(50/50)*Y529,IF(Y529&lt;=100,50+((100-50)/(100-50))*(Y529-50),IF(Y529&lt;=168,100+((200-100)/(168-100))*(Y529-100),IF(Y529&lt;=208,200+((300-200)/(208-168))*(Y529-168),IF(Y529&lt;=748,300+((400-300)/(748-208))*(Y529-208),IF(Y529&lt;=1000,400+((500-400)/(1000-748))*(Y529-748),500)))))))</f>
        <v>55</v>
      </c>
      <c r="AL529" s="4" t="n">
        <f aca="false">ROUND(MAX(AF529,AG529,AH529,AI529,AJ529,AK529),0)</f>
        <v>202</v>
      </c>
      <c r="AM529" s="4" t="str">
        <f aca="false">IF(AL529="","",IF(AL529&lt;=50,"Good",IF(AL529&lt;=100,"Satisfactory",IF(AL529&lt;=200,"Moderate",IF(AL529&lt;=300,"Poor",IF(AL529&lt;=400,"Very Poor","Severe"))))))</f>
        <v>Poor</v>
      </c>
    </row>
    <row r="530" customFormat="false" ht="15.75" hidden="false" customHeight="false" outlineLevel="0" collapsed="false">
      <c r="A530" s="1" t="s">
        <v>39</v>
      </c>
      <c r="B530" s="1" t="s">
        <v>40</v>
      </c>
      <c r="C530" s="1" t="n">
        <v>28.4595</v>
      </c>
      <c r="D530" s="1" t="n">
        <v>77.0266</v>
      </c>
      <c r="E530" s="5" t="n">
        <v>45923</v>
      </c>
      <c r="F530" s="6" t="s">
        <v>41</v>
      </c>
      <c r="G530" s="1" t="n">
        <v>9</v>
      </c>
      <c r="H530" s="7" t="s">
        <v>78</v>
      </c>
      <c r="I530" s="6" t="s">
        <v>43</v>
      </c>
      <c r="J530" s="7" t="s">
        <v>44</v>
      </c>
      <c r="K530" s="7" t="s">
        <v>45</v>
      </c>
      <c r="L530" s="1" t="n">
        <v>68</v>
      </c>
      <c r="M530" s="1" t="n">
        <v>19.8</v>
      </c>
      <c r="N530" s="1" t="n">
        <v>15.8</v>
      </c>
      <c r="O530" s="1" t="n">
        <v>0</v>
      </c>
      <c r="P530" s="6" t="s">
        <v>43</v>
      </c>
      <c r="Q530" s="6" t="s">
        <v>43</v>
      </c>
      <c r="R530" s="1" t="n">
        <v>1005.5</v>
      </c>
      <c r="S530" s="1" t="n">
        <v>0</v>
      </c>
      <c r="T530" s="1" t="n">
        <v>56.8</v>
      </c>
      <c r="U530" s="1" t="n">
        <v>217.5</v>
      </c>
      <c r="V530" s="1" t="n">
        <v>441</v>
      </c>
      <c r="W530" s="1" t="n">
        <v>37.1</v>
      </c>
      <c r="X530" s="1" t="n">
        <v>17.2</v>
      </c>
      <c r="Y530" s="1" t="n">
        <v>49</v>
      </c>
      <c r="Z530" s="1" t="n">
        <v>306</v>
      </c>
      <c r="AA530" s="1" t="n">
        <v>143</v>
      </c>
      <c r="AB530" s="7" t="s">
        <v>81</v>
      </c>
      <c r="AC530" s="7" t="s">
        <v>82</v>
      </c>
      <c r="AD530" s="7" t="s">
        <v>83</v>
      </c>
      <c r="AE530" s="7" t="s">
        <v>84</v>
      </c>
      <c r="AF530" s="4" t="n">
        <f aca="false">IF(T530="","",IF(T530&lt;=30,(50/30)*T530,IF(T530&lt;=60,50+((100-50)/(60-30))*(T530-30),IF(T530&lt;=90,100+((200-100)/(90-60))*(T530-60),IF(T530&lt;=120,200+((300-200)/(120-90))*(T530-90),IF(T530&lt;=250,300+((400-300)/(250-120))*(T530-120),IF(T530&lt;=380,400+((500-400)/(380-250))*(T530-250),500)))))))</f>
        <v>94.6666666666667</v>
      </c>
      <c r="AG530" s="4" t="n">
        <f aca="false">IF(U530="","",IF(U530&lt;=50,(50/50)*U530,IF(U530&lt;=100,50+((100-50)/(100-50))*(U530-50),IF(U530&lt;=250,100+((200-100)/(250-100))*(U530-100),IF(U530&lt;=350,200+((300-200)/(350-250))*(U530-250),IF(U530&lt;=430,300+((400-300)/(430-350))*(U530-350),IF(U530&lt;=600,400+((500-400)/(600-430))*(U530-430),500)))))))</f>
        <v>178.333333333333</v>
      </c>
      <c r="AH530" s="4" t="n">
        <f aca="false">IF(V530="","",IF((V530/1000)&lt;=1,(50/1)*(V530/1000),IF((V530/1000)&lt;=2,50+((100-50)/(2-1))*(V530/1000-1),IF((V530/1000)&lt;=10,100+((200-100)/(10-2))*(V530/1000-2),IF((V530/1000)&lt;=17,200+((300-200)/(17-10))*(V530/1000-10),IF((V530/1000)&lt;=34,300+((400-300)/(34-17))*(V530/1000-17),IF((V530/1000)&lt;=57,400+((500-400)/(57-34))*(V530/1000-34),500)))))))</f>
        <v>22.05</v>
      </c>
      <c r="AI530" s="4" t="n">
        <f aca="false">IF(W530="","",IF(W530&lt;=40,(50/40)*W530,IF(W530&lt;=80,50+((100-50)/(80-40))*(W530-40),IF(W530&lt;=180,100+((200-100)/(180-80))*(W530-80),IF(W530&lt;=280,200+((300-200)/(280-180))*(W530-180),IF(W530&lt;=400,300+((400-300)/(400-280))*(W530-280),IF(W530&lt;=800,400+((500-400)/(800-400))*(W530-400),500)))))))</f>
        <v>46.375</v>
      </c>
      <c r="AJ530" s="4" t="n">
        <f aca="false">IF(X530="","",IF(X530&lt;=40,(50/40)*X530,IF(X530&lt;=80,50+((100-50)/(80-40))*(X530-40),IF(X530&lt;=380,100+((200-100)/(380-80))*(X530-80),IF(X530&lt;=800,200+((300-200)/(800-380))*(X530-380),IF(X530&lt;=1600,300+((400-300)/(1600-800))*(X530-800),IF(X530&lt;=2100,400+((500-400)/(2100-1600))*(X530-1600),500)))))))</f>
        <v>21.5</v>
      </c>
      <c r="AK530" s="4" t="n">
        <f aca="false">IF(Y530="","",IF(Y530&lt;=50,(50/50)*Y530,IF(Y530&lt;=100,50+((100-50)/(100-50))*(Y530-50),IF(Y530&lt;=168,100+((200-100)/(168-100))*(Y530-100),IF(Y530&lt;=208,200+((300-200)/(208-168))*(Y530-168),IF(Y530&lt;=748,300+((400-300)/(748-208))*(Y530-208),IF(Y530&lt;=1000,400+((500-400)/(1000-748))*(Y530-748),500)))))))</f>
        <v>49</v>
      </c>
      <c r="AL530" s="4" t="n">
        <f aca="false">ROUND(MAX(AF530,AG530,AH530,AI530,AJ530,AK530),0)</f>
        <v>178</v>
      </c>
      <c r="AM530" s="4" t="str">
        <f aca="false">IF(AL530="","",IF(AL530&lt;=50,"Good",IF(AL530&lt;=100,"Satisfactory",IF(AL530&lt;=200,"Moderate",IF(AL530&lt;=300,"Poor",IF(AL530&lt;=400,"Very Poor","Severe"))))))</f>
        <v>Moderate</v>
      </c>
    </row>
    <row r="531" customFormat="false" ht="15.75" hidden="false" customHeight="false" outlineLevel="0" collapsed="false">
      <c r="A531" s="1" t="s">
        <v>39</v>
      </c>
      <c r="B531" s="1" t="s">
        <v>40</v>
      </c>
      <c r="C531" s="1" t="n">
        <v>28.4595</v>
      </c>
      <c r="D531" s="1" t="n">
        <v>77.0266</v>
      </c>
      <c r="E531" s="5" t="n">
        <v>45923</v>
      </c>
      <c r="F531" s="6" t="s">
        <v>49</v>
      </c>
      <c r="G531" s="1" t="n">
        <v>9</v>
      </c>
      <c r="H531" s="7" t="s">
        <v>78</v>
      </c>
      <c r="I531" s="6" t="s">
        <v>43</v>
      </c>
      <c r="J531" s="7" t="s">
        <v>44</v>
      </c>
      <c r="K531" s="7" t="s">
        <v>45</v>
      </c>
      <c r="L531" s="1" t="n">
        <v>71</v>
      </c>
      <c r="M531" s="1" t="n">
        <v>19.8</v>
      </c>
      <c r="N531" s="1" t="n">
        <v>15.8</v>
      </c>
      <c r="O531" s="1" t="n">
        <v>0</v>
      </c>
      <c r="P531" s="6" t="s">
        <v>43</v>
      </c>
      <c r="Q531" s="6" t="s">
        <v>43</v>
      </c>
      <c r="R531" s="1" t="n">
        <v>1005.2</v>
      </c>
      <c r="S531" s="1" t="n">
        <v>0</v>
      </c>
      <c r="T531" s="1" t="n">
        <v>54.5</v>
      </c>
      <c r="U531" s="1" t="n">
        <v>190</v>
      </c>
      <c r="V531" s="1" t="n">
        <v>389</v>
      </c>
      <c r="W531" s="1" t="n">
        <v>36.9</v>
      </c>
      <c r="X531" s="1" t="n">
        <v>15.7</v>
      </c>
      <c r="Y531" s="1" t="n">
        <v>43</v>
      </c>
      <c r="Z531" s="1" t="n">
        <v>259</v>
      </c>
      <c r="AA531" s="1" t="n">
        <v>143</v>
      </c>
      <c r="AB531" s="7" t="s">
        <v>81</v>
      </c>
      <c r="AC531" s="7" t="s">
        <v>82</v>
      </c>
      <c r="AD531" s="7" t="s">
        <v>83</v>
      </c>
      <c r="AE531" s="7" t="s">
        <v>84</v>
      </c>
      <c r="AF531" s="4" t="n">
        <f aca="false">IF(T531="","",IF(T531&lt;=30,(50/30)*T531,IF(T531&lt;=60,50+((100-50)/(60-30))*(T531-30),IF(T531&lt;=90,100+((200-100)/(90-60))*(T531-60),IF(T531&lt;=120,200+((300-200)/(120-90))*(T531-90),IF(T531&lt;=250,300+((400-300)/(250-120))*(T531-120),IF(T531&lt;=380,400+((500-400)/(380-250))*(T531-250),500)))))))</f>
        <v>90.8333333333333</v>
      </c>
      <c r="AG531" s="4" t="n">
        <f aca="false">IF(U531="","",IF(U531&lt;=50,(50/50)*U531,IF(U531&lt;=100,50+((100-50)/(100-50))*(U531-50),IF(U531&lt;=250,100+((200-100)/(250-100))*(U531-100),IF(U531&lt;=350,200+((300-200)/(350-250))*(U531-250),IF(U531&lt;=430,300+((400-300)/(430-350))*(U531-350),IF(U531&lt;=600,400+((500-400)/(600-430))*(U531-430),500)))))))</f>
        <v>160</v>
      </c>
      <c r="AH531" s="4" t="n">
        <f aca="false">IF(V531="","",IF((V531/1000)&lt;=1,(50/1)*(V531/1000),IF((V531/1000)&lt;=2,50+((100-50)/(2-1))*(V531/1000-1),IF((V531/1000)&lt;=10,100+((200-100)/(10-2))*(V531/1000-2),IF((V531/1000)&lt;=17,200+((300-200)/(17-10))*(V531/1000-10),IF((V531/1000)&lt;=34,300+((400-300)/(34-17))*(V531/1000-17),IF((V531/1000)&lt;=57,400+((500-400)/(57-34))*(V531/1000-34),500)))))))</f>
        <v>19.45</v>
      </c>
      <c r="AI531" s="4" t="n">
        <f aca="false">IF(W531="","",IF(W531&lt;=40,(50/40)*W531,IF(W531&lt;=80,50+((100-50)/(80-40))*(W531-40),IF(W531&lt;=180,100+((200-100)/(180-80))*(W531-80),IF(W531&lt;=280,200+((300-200)/(280-180))*(W531-180),IF(W531&lt;=400,300+((400-300)/(400-280))*(W531-280),IF(W531&lt;=800,400+((500-400)/(800-400))*(W531-400),500)))))))</f>
        <v>46.125</v>
      </c>
      <c r="AJ531" s="4" t="n">
        <f aca="false">IF(X531="","",IF(X531&lt;=40,(50/40)*X531,IF(X531&lt;=80,50+((100-50)/(80-40))*(X531-40),IF(X531&lt;=380,100+((200-100)/(380-80))*(X531-80),IF(X531&lt;=800,200+((300-200)/(800-380))*(X531-380),IF(X531&lt;=1600,300+((400-300)/(1600-800))*(X531-800),IF(X531&lt;=2100,400+((500-400)/(2100-1600))*(X531-1600),500)))))))</f>
        <v>19.625</v>
      </c>
      <c r="AK531" s="4" t="n">
        <f aca="false">IF(Y531="","",IF(Y531&lt;=50,(50/50)*Y531,IF(Y531&lt;=100,50+((100-50)/(100-50))*(Y531-50),IF(Y531&lt;=168,100+((200-100)/(168-100))*(Y531-100),IF(Y531&lt;=208,200+((300-200)/(208-168))*(Y531-168),IF(Y531&lt;=748,300+((400-300)/(748-208))*(Y531-208),IF(Y531&lt;=1000,400+((500-400)/(1000-748))*(Y531-748),500)))))))</f>
        <v>43</v>
      </c>
      <c r="AL531" s="4" t="n">
        <f aca="false">ROUND(MAX(AF531,AG531,AH531,AI531,AJ531,AK531),0)</f>
        <v>160</v>
      </c>
      <c r="AM531" s="4" t="str">
        <f aca="false">IF(AL531="","",IF(AL531&lt;=50,"Good",IF(AL531&lt;=100,"Satisfactory",IF(AL531&lt;=200,"Moderate",IF(AL531&lt;=300,"Poor",IF(AL531&lt;=400,"Very Poor","Severe"))))))</f>
        <v>Moderate</v>
      </c>
    </row>
    <row r="532" customFormat="false" ht="15.75" hidden="false" customHeight="false" outlineLevel="0" collapsed="false">
      <c r="A532" s="1" t="s">
        <v>39</v>
      </c>
      <c r="B532" s="1" t="s">
        <v>40</v>
      </c>
      <c r="C532" s="1" t="n">
        <v>28.4595</v>
      </c>
      <c r="D532" s="1" t="n">
        <v>77.0266</v>
      </c>
      <c r="E532" s="5" t="n">
        <v>45923</v>
      </c>
      <c r="F532" s="6" t="s">
        <v>51</v>
      </c>
      <c r="G532" s="1" t="n">
        <v>9</v>
      </c>
      <c r="H532" s="7" t="s">
        <v>78</v>
      </c>
      <c r="I532" s="6" t="s">
        <v>43</v>
      </c>
      <c r="J532" s="7" t="s">
        <v>44</v>
      </c>
      <c r="K532" s="7" t="s">
        <v>45</v>
      </c>
      <c r="L532" s="1" t="n">
        <v>73</v>
      </c>
      <c r="M532" s="1" t="n">
        <v>19.9</v>
      </c>
      <c r="N532" s="1" t="n">
        <v>12.2</v>
      </c>
      <c r="O532" s="1" t="n">
        <v>0</v>
      </c>
      <c r="P532" s="6" t="s">
        <v>43</v>
      </c>
      <c r="Q532" s="6" t="s">
        <v>43</v>
      </c>
      <c r="R532" s="1" t="n">
        <v>1005.2</v>
      </c>
      <c r="S532" s="1" t="n">
        <v>0</v>
      </c>
      <c r="T532" s="1" t="n">
        <v>52.2</v>
      </c>
      <c r="U532" s="1" t="n">
        <v>173.2</v>
      </c>
      <c r="V532" s="1" t="n">
        <v>353</v>
      </c>
      <c r="W532" s="1" t="n">
        <v>36.2</v>
      </c>
      <c r="X532" s="1" t="n">
        <v>14.5</v>
      </c>
      <c r="Y532" s="1" t="n">
        <v>39</v>
      </c>
      <c r="Z532" s="1" t="n">
        <v>230</v>
      </c>
      <c r="AA532" s="1" t="n">
        <v>142</v>
      </c>
      <c r="AB532" s="7" t="s">
        <v>81</v>
      </c>
      <c r="AC532" s="7" t="s">
        <v>82</v>
      </c>
      <c r="AD532" s="7" t="s">
        <v>83</v>
      </c>
      <c r="AE532" s="7" t="s">
        <v>84</v>
      </c>
      <c r="AF532" s="4" t="n">
        <f aca="false">IF(T532="","",IF(T532&lt;=30,(50/30)*T532,IF(T532&lt;=60,50+((100-50)/(60-30))*(T532-30),IF(T532&lt;=90,100+((200-100)/(90-60))*(T532-60),IF(T532&lt;=120,200+((300-200)/(120-90))*(T532-90),IF(T532&lt;=250,300+((400-300)/(250-120))*(T532-120),IF(T532&lt;=380,400+((500-400)/(380-250))*(T532-250),500)))))))</f>
        <v>87</v>
      </c>
      <c r="AG532" s="4" t="n">
        <f aca="false">IF(U532="","",IF(U532&lt;=50,(50/50)*U532,IF(U532&lt;=100,50+((100-50)/(100-50))*(U532-50),IF(U532&lt;=250,100+((200-100)/(250-100))*(U532-100),IF(U532&lt;=350,200+((300-200)/(350-250))*(U532-250),IF(U532&lt;=430,300+((400-300)/(430-350))*(U532-350),IF(U532&lt;=600,400+((500-400)/(600-430))*(U532-430),500)))))))</f>
        <v>148.8</v>
      </c>
      <c r="AH532" s="4" t="n">
        <f aca="false">IF(V532="","",IF((V532/1000)&lt;=1,(50/1)*(V532/1000),IF((V532/1000)&lt;=2,50+((100-50)/(2-1))*(V532/1000-1),IF((V532/1000)&lt;=10,100+((200-100)/(10-2))*(V532/1000-2),IF((V532/1000)&lt;=17,200+((300-200)/(17-10))*(V532/1000-10),IF((V532/1000)&lt;=34,300+((400-300)/(34-17))*(V532/1000-17),IF((V532/1000)&lt;=57,400+((500-400)/(57-34))*(V532/1000-34),500)))))))</f>
        <v>17.65</v>
      </c>
      <c r="AI532" s="4" t="n">
        <f aca="false">IF(W532="","",IF(W532&lt;=40,(50/40)*W532,IF(W532&lt;=80,50+((100-50)/(80-40))*(W532-40),IF(W532&lt;=180,100+((200-100)/(180-80))*(W532-80),IF(W532&lt;=280,200+((300-200)/(280-180))*(W532-180),IF(W532&lt;=400,300+((400-300)/(400-280))*(W532-280),IF(W532&lt;=800,400+((500-400)/(800-400))*(W532-400),500)))))))</f>
        <v>45.25</v>
      </c>
      <c r="AJ532" s="4" t="n">
        <f aca="false">IF(X532="","",IF(X532&lt;=40,(50/40)*X532,IF(X532&lt;=80,50+((100-50)/(80-40))*(X532-40),IF(X532&lt;=380,100+((200-100)/(380-80))*(X532-80),IF(X532&lt;=800,200+((300-200)/(800-380))*(X532-380),IF(X532&lt;=1600,300+((400-300)/(1600-800))*(X532-800),IF(X532&lt;=2100,400+((500-400)/(2100-1600))*(X532-1600),500)))))))</f>
        <v>18.125</v>
      </c>
      <c r="AK532" s="4" t="n">
        <f aca="false">IF(Y532="","",IF(Y532&lt;=50,(50/50)*Y532,IF(Y532&lt;=100,50+((100-50)/(100-50))*(Y532-50),IF(Y532&lt;=168,100+((200-100)/(168-100))*(Y532-100),IF(Y532&lt;=208,200+((300-200)/(208-168))*(Y532-168),IF(Y532&lt;=748,300+((400-300)/(748-208))*(Y532-208),IF(Y532&lt;=1000,400+((500-400)/(1000-748))*(Y532-748),500)))))))</f>
        <v>39</v>
      </c>
      <c r="AL532" s="4" t="n">
        <f aca="false">ROUND(MAX(AF532,AG532,AH532,AI532,AJ532,AK532),0)</f>
        <v>149</v>
      </c>
      <c r="AM532" s="4" t="str">
        <f aca="false">IF(AL532="","",IF(AL532&lt;=50,"Good",IF(AL532&lt;=100,"Satisfactory",IF(AL532&lt;=200,"Moderate",IF(AL532&lt;=300,"Poor",IF(AL532&lt;=400,"Very Poor","Severe"))))))</f>
        <v>Moderate</v>
      </c>
    </row>
    <row r="533" customFormat="false" ht="15.75" hidden="false" customHeight="false" outlineLevel="0" collapsed="false">
      <c r="A533" s="1" t="s">
        <v>39</v>
      </c>
      <c r="B533" s="1" t="s">
        <v>40</v>
      </c>
      <c r="C533" s="1" t="n">
        <v>28.4595</v>
      </c>
      <c r="D533" s="1" t="n">
        <v>77.0266</v>
      </c>
      <c r="E533" s="5" t="n">
        <v>45923</v>
      </c>
      <c r="F533" s="6" t="s">
        <v>52</v>
      </c>
      <c r="G533" s="1" t="n">
        <v>9</v>
      </c>
      <c r="H533" s="7" t="s">
        <v>78</v>
      </c>
      <c r="I533" s="6" t="s">
        <v>43</v>
      </c>
      <c r="J533" s="7" t="s">
        <v>44</v>
      </c>
      <c r="K533" s="7" t="s">
        <v>45</v>
      </c>
      <c r="L533" s="1" t="n">
        <v>75</v>
      </c>
      <c r="M533" s="1" t="n">
        <v>19.8</v>
      </c>
      <c r="N533" s="1" t="n">
        <v>12.6</v>
      </c>
      <c r="O533" s="1" t="n">
        <v>0</v>
      </c>
      <c r="P533" s="6" t="s">
        <v>43</v>
      </c>
      <c r="Q533" s="6" t="s">
        <v>43</v>
      </c>
      <c r="R533" s="1" t="n">
        <v>1005.1</v>
      </c>
      <c r="S533" s="1" t="n">
        <v>0</v>
      </c>
      <c r="T533" s="1" t="n">
        <v>50.6</v>
      </c>
      <c r="U533" s="1" t="n">
        <v>173.2</v>
      </c>
      <c r="V533" s="1" t="n">
        <v>346</v>
      </c>
      <c r="W533" s="1" t="n">
        <v>34.6</v>
      </c>
      <c r="X533" s="1" t="n">
        <v>13.6</v>
      </c>
      <c r="Y533" s="1" t="n">
        <v>36</v>
      </c>
      <c r="Z533" s="1" t="n">
        <v>224</v>
      </c>
      <c r="AA533" s="1" t="n">
        <v>142</v>
      </c>
      <c r="AB533" s="7" t="s">
        <v>81</v>
      </c>
      <c r="AC533" s="7" t="s">
        <v>82</v>
      </c>
      <c r="AD533" s="7" t="s">
        <v>83</v>
      </c>
      <c r="AE533" s="7" t="s">
        <v>84</v>
      </c>
      <c r="AF533" s="4" t="n">
        <f aca="false">IF(T533="","",IF(T533&lt;=30,(50/30)*T533,IF(T533&lt;=60,50+((100-50)/(60-30))*(T533-30),IF(T533&lt;=90,100+((200-100)/(90-60))*(T533-60),IF(T533&lt;=120,200+((300-200)/(120-90))*(T533-90),IF(T533&lt;=250,300+((400-300)/(250-120))*(T533-120),IF(T533&lt;=380,400+((500-400)/(380-250))*(T533-250),500)))))))</f>
        <v>84.3333333333333</v>
      </c>
      <c r="AG533" s="4" t="n">
        <f aca="false">IF(U533="","",IF(U533&lt;=50,(50/50)*U533,IF(U533&lt;=100,50+((100-50)/(100-50))*(U533-50),IF(U533&lt;=250,100+((200-100)/(250-100))*(U533-100),IF(U533&lt;=350,200+((300-200)/(350-250))*(U533-250),IF(U533&lt;=430,300+((400-300)/(430-350))*(U533-350),IF(U533&lt;=600,400+((500-400)/(600-430))*(U533-430),500)))))))</f>
        <v>148.8</v>
      </c>
      <c r="AH533" s="4" t="n">
        <f aca="false">IF(V533="","",IF((V533/1000)&lt;=1,(50/1)*(V533/1000),IF((V533/1000)&lt;=2,50+((100-50)/(2-1))*(V533/1000-1),IF((V533/1000)&lt;=10,100+((200-100)/(10-2))*(V533/1000-2),IF((V533/1000)&lt;=17,200+((300-200)/(17-10))*(V533/1000-10),IF((V533/1000)&lt;=34,300+((400-300)/(34-17))*(V533/1000-17),IF((V533/1000)&lt;=57,400+((500-400)/(57-34))*(V533/1000-34),500)))))))</f>
        <v>17.3</v>
      </c>
      <c r="AI533" s="4" t="n">
        <f aca="false">IF(W533="","",IF(W533&lt;=40,(50/40)*W533,IF(W533&lt;=80,50+((100-50)/(80-40))*(W533-40),IF(W533&lt;=180,100+((200-100)/(180-80))*(W533-80),IF(W533&lt;=280,200+((300-200)/(280-180))*(W533-180),IF(W533&lt;=400,300+((400-300)/(400-280))*(W533-280),IF(W533&lt;=800,400+((500-400)/(800-400))*(W533-400),500)))))))</f>
        <v>43.25</v>
      </c>
      <c r="AJ533" s="4" t="n">
        <f aca="false">IF(X533="","",IF(X533&lt;=40,(50/40)*X533,IF(X533&lt;=80,50+((100-50)/(80-40))*(X533-40),IF(X533&lt;=380,100+((200-100)/(380-80))*(X533-80),IF(X533&lt;=800,200+((300-200)/(800-380))*(X533-380),IF(X533&lt;=1600,300+((400-300)/(1600-800))*(X533-800),IF(X533&lt;=2100,400+((500-400)/(2100-1600))*(X533-1600),500)))))))</f>
        <v>17</v>
      </c>
      <c r="AK533" s="4" t="n">
        <f aca="false">IF(Y533="","",IF(Y533&lt;=50,(50/50)*Y533,IF(Y533&lt;=100,50+((100-50)/(100-50))*(Y533-50),IF(Y533&lt;=168,100+((200-100)/(168-100))*(Y533-100),IF(Y533&lt;=208,200+((300-200)/(208-168))*(Y533-168),IF(Y533&lt;=748,300+((400-300)/(748-208))*(Y533-208),IF(Y533&lt;=1000,400+((500-400)/(1000-748))*(Y533-748),500)))))))</f>
        <v>36</v>
      </c>
      <c r="AL533" s="4" t="n">
        <f aca="false">ROUND(MAX(AF533,AG533,AH533,AI533,AJ533,AK533),0)</f>
        <v>149</v>
      </c>
      <c r="AM533" s="4" t="str">
        <f aca="false">IF(AL533="","",IF(AL533&lt;=50,"Good",IF(AL533&lt;=100,"Satisfactory",IF(AL533&lt;=200,"Moderate",IF(AL533&lt;=300,"Poor",IF(AL533&lt;=400,"Very Poor","Severe"))))))</f>
        <v>Moderate</v>
      </c>
    </row>
    <row r="534" customFormat="false" ht="15.75" hidden="false" customHeight="false" outlineLevel="0" collapsed="false">
      <c r="A534" s="1" t="s">
        <v>39</v>
      </c>
      <c r="B534" s="1" t="s">
        <v>40</v>
      </c>
      <c r="C534" s="1" t="n">
        <v>28.4595</v>
      </c>
      <c r="D534" s="1" t="n">
        <v>77.0266</v>
      </c>
      <c r="E534" s="5" t="n">
        <v>45923</v>
      </c>
      <c r="F534" s="6" t="s">
        <v>53</v>
      </c>
      <c r="G534" s="1" t="n">
        <v>9</v>
      </c>
      <c r="H534" s="7" t="s">
        <v>78</v>
      </c>
      <c r="I534" s="6" t="s">
        <v>43</v>
      </c>
      <c r="J534" s="7" t="s">
        <v>44</v>
      </c>
      <c r="K534" s="7" t="s">
        <v>45</v>
      </c>
      <c r="L534" s="1" t="n">
        <v>76</v>
      </c>
      <c r="M534" s="1" t="n">
        <v>19.7</v>
      </c>
      <c r="N534" s="1" t="n">
        <v>12.6</v>
      </c>
      <c r="O534" s="1" t="n">
        <v>0</v>
      </c>
      <c r="P534" s="6" t="s">
        <v>43</v>
      </c>
      <c r="Q534" s="6" t="s">
        <v>43</v>
      </c>
      <c r="R534" s="1" t="n">
        <v>1005.2</v>
      </c>
      <c r="S534" s="1" t="n">
        <v>0</v>
      </c>
      <c r="T534" s="1" t="n">
        <v>49.4</v>
      </c>
      <c r="U534" s="1" t="n">
        <v>177.4</v>
      </c>
      <c r="V534" s="1" t="n">
        <v>356</v>
      </c>
      <c r="W534" s="1" t="n">
        <v>32.3</v>
      </c>
      <c r="X534" s="1" t="n">
        <v>12.9</v>
      </c>
      <c r="Y534" s="1" t="n">
        <v>35</v>
      </c>
      <c r="Z534" s="1" t="n">
        <v>238</v>
      </c>
      <c r="AA534" s="1" t="n">
        <v>141</v>
      </c>
      <c r="AB534" s="7" t="s">
        <v>81</v>
      </c>
      <c r="AC534" s="7" t="s">
        <v>82</v>
      </c>
      <c r="AD534" s="7" t="s">
        <v>83</v>
      </c>
      <c r="AE534" s="7" t="s">
        <v>84</v>
      </c>
      <c r="AF534" s="4" t="n">
        <f aca="false">IF(T534="","",IF(T534&lt;=30,(50/30)*T534,IF(T534&lt;=60,50+((100-50)/(60-30))*(T534-30),IF(T534&lt;=90,100+((200-100)/(90-60))*(T534-60),IF(T534&lt;=120,200+((300-200)/(120-90))*(T534-90),IF(T534&lt;=250,300+((400-300)/(250-120))*(T534-120),IF(T534&lt;=380,400+((500-400)/(380-250))*(T534-250),500)))))))</f>
        <v>82.3333333333333</v>
      </c>
      <c r="AG534" s="4" t="n">
        <f aca="false">IF(U534="","",IF(U534&lt;=50,(50/50)*U534,IF(U534&lt;=100,50+((100-50)/(100-50))*(U534-50),IF(U534&lt;=250,100+((200-100)/(250-100))*(U534-100),IF(U534&lt;=350,200+((300-200)/(350-250))*(U534-250),IF(U534&lt;=430,300+((400-300)/(430-350))*(U534-350),IF(U534&lt;=600,400+((500-400)/(600-430))*(U534-430),500)))))))</f>
        <v>151.6</v>
      </c>
      <c r="AH534" s="4" t="n">
        <f aca="false">IF(V534="","",IF((V534/1000)&lt;=1,(50/1)*(V534/1000),IF((V534/1000)&lt;=2,50+((100-50)/(2-1))*(V534/1000-1),IF((V534/1000)&lt;=10,100+((200-100)/(10-2))*(V534/1000-2),IF((V534/1000)&lt;=17,200+((300-200)/(17-10))*(V534/1000-10),IF((V534/1000)&lt;=34,300+((400-300)/(34-17))*(V534/1000-17),IF((V534/1000)&lt;=57,400+((500-400)/(57-34))*(V534/1000-34),500)))))))</f>
        <v>17.8</v>
      </c>
      <c r="AI534" s="4" t="n">
        <f aca="false">IF(W534="","",IF(W534&lt;=40,(50/40)*W534,IF(W534&lt;=80,50+((100-50)/(80-40))*(W534-40),IF(W534&lt;=180,100+((200-100)/(180-80))*(W534-80),IF(W534&lt;=280,200+((300-200)/(280-180))*(W534-180),IF(W534&lt;=400,300+((400-300)/(400-280))*(W534-280),IF(W534&lt;=800,400+((500-400)/(800-400))*(W534-400),500)))))))</f>
        <v>40.375</v>
      </c>
      <c r="AJ534" s="4" t="n">
        <f aca="false">IF(X534="","",IF(X534&lt;=40,(50/40)*X534,IF(X534&lt;=80,50+((100-50)/(80-40))*(X534-40),IF(X534&lt;=380,100+((200-100)/(380-80))*(X534-80),IF(X534&lt;=800,200+((300-200)/(800-380))*(X534-380),IF(X534&lt;=1600,300+((400-300)/(1600-800))*(X534-800),IF(X534&lt;=2100,400+((500-400)/(2100-1600))*(X534-1600),500)))))))</f>
        <v>16.125</v>
      </c>
      <c r="AK534" s="4" t="n">
        <f aca="false">IF(Y534="","",IF(Y534&lt;=50,(50/50)*Y534,IF(Y534&lt;=100,50+((100-50)/(100-50))*(Y534-50),IF(Y534&lt;=168,100+((200-100)/(168-100))*(Y534-100),IF(Y534&lt;=208,200+((300-200)/(208-168))*(Y534-168),IF(Y534&lt;=748,300+((400-300)/(748-208))*(Y534-208),IF(Y534&lt;=1000,400+((500-400)/(1000-748))*(Y534-748),500)))))))</f>
        <v>35</v>
      </c>
      <c r="AL534" s="4" t="n">
        <f aca="false">ROUND(MAX(AF534,AG534,AH534,AI534,AJ534,AK534),0)</f>
        <v>152</v>
      </c>
      <c r="AM534" s="4" t="str">
        <f aca="false">IF(AL534="","",IF(AL534&lt;=50,"Good",IF(AL534&lt;=100,"Satisfactory",IF(AL534&lt;=200,"Moderate",IF(AL534&lt;=300,"Poor",IF(AL534&lt;=400,"Very Poor","Severe"))))))</f>
        <v>Moderate</v>
      </c>
    </row>
    <row r="535" customFormat="false" ht="15.75" hidden="false" customHeight="false" outlineLevel="0" collapsed="false">
      <c r="A535" s="1" t="s">
        <v>39</v>
      </c>
      <c r="B535" s="1" t="s">
        <v>40</v>
      </c>
      <c r="C535" s="1" t="n">
        <v>28.4595</v>
      </c>
      <c r="D535" s="1" t="n">
        <v>77.0266</v>
      </c>
      <c r="E535" s="5" t="n">
        <v>45923</v>
      </c>
      <c r="F535" s="6" t="s">
        <v>54</v>
      </c>
      <c r="G535" s="1" t="n">
        <v>9</v>
      </c>
      <c r="H535" s="7" t="s">
        <v>78</v>
      </c>
      <c r="I535" s="6" t="s">
        <v>43</v>
      </c>
      <c r="J535" s="7" t="s">
        <v>44</v>
      </c>
      <c r="K535" s="7" t="s">
        <v>45</v>
      </c>
      <c r="L535" s="1" t="n">
        <v>76</v>
      </c>
      <c r="M535" s="1" t="n">
        <v>19.5</v>
      </c>
      <c r="N535" s="1" t="n">
        <v>14.4</v>
      </c>
      <c r="O535" s="1" t="n">
        <v>0</v>
      </c>
      <c r="P535" s="6" t="s">
        <v>43</v>
      </c>
      <c r="Q535" s="6" t="s">
        <v>43</v>
      </c>
      <c r="R535" s="1" t="n">
        <v>1005.6</v>
      </c>
      <c r="S535" s="1" t="n">
        <v>0</v>
      </c>
      <c r="T535" s="1" t="n">
        <v>43.3</v>
      </c>
      <c r="U535" s="1" t="n">
        <v>195.6</v>
      </c>
      <c r="V535" s="1" t="n">
        <v>376</v>
      </c>
      <c r="W535" s="1" t="n">
        <v>21.7</v>
      </c>
      <c r="X535" s="1" t="n">
        <v>10.8</v>
      </c>
      <c r="Y535" s="1" t="n">
        <v>52</v>
      </c>
      <c r="Z535" s="1" t="n">
        <v>291</v>
      </c>
      <c r="AA535" s="1" t="n">
        <v>141</v>
      </c>
      <c r="AB535" s="7" t="s">
        <v>81</v>
      </c>
      <c r="AC535" s="7" t="s">
        <v>82</v>
      </c>
      <c r="AD535" s="7" t="s">
        <v>83</v>
      </c>
      <c r="AE535" s="7" t="s">
        <v>84</v>
      </c>
      <c r="AF535" s="4" t="n">
        <f aca="false">IF(T535="","",IF(T535&lt;=30,(50/30)*T535,IF(T535&lt;=60,50+((100-50)/(60-30))*(T535-30),IF(T535&lt;=90,100+((200-100)/(90-60))*(T535-60),IF(T535&lt;=120,200+((300-200)/(120-90))*(T535-90),IF(T535&lt;=250,300+((400-300)/(250-120))*(T535-120),IF(T535&lt;=380,400+((500-400)/(380-250))*(T535-250),500)))))))</f>
        <v>72.1666666666667</v>
      </c>
      <c r="AG535" s="4" t="n">
        <f aca="false">IF(U535="","",IF(U535&lt;=50,(50/50)*U535,IF(U535&lt;=100,50+((100-50)/(100-50))*(U535-50),IF(U535&lt;=250,100+((200-100)/(250-100))*(U535-100),IF(U535&lt;=350,200+((300-200)/(350-250))*(U535-250),IF(U535&lt;=430,300+((400-300)/(430-350))*(U535-350),IF(U535&lt;=600,400+((500-400)/(600-430))*(U535-430),500)))))))</f>
        <v>163.733333333333</v>
      </c>
      <c r="AH535" s="4" t="n">
        <f aca="false">IF(V535="","",IF((V535/1000)&lt;=1,(50/1)*(V535/1000),IF((V535/1000)&lt;=2,50+((100-50)/(2-1))*(V535/1000-1),IF((V535/1000)&lt;=10,100+((200-100)/(10-2))*(V535/1000-2),IF((V535/1000)&lt;=17,200+((300-200)/(17-10))*(V535/1000-10),IF((V535/1000)&lt;=34,300+((400-300)/(34-17))*(V535/1000-17),IF((V535/1000)&lt;=57,400+((500-400)/(57-34))*(V535/1000-34),500)))))))</f>
        <v>18.8</v>
      </c>
      <c r="AI535" s="4" t="n">
        <f aca="false">IF(W535="","",IF(W535&lt;=40,(50/40)*W535,IF(W535&lt;=80,50+((100-50)/(80-40))*(W535-40),IF(W535&lt;=180,100+((200-100)/(180-80))*(W535-80),IF(W535&lt;=280,200+((300-200)/(280-180))*(W535-180),IF(W535&lt;=400,300+((400-300)/(400-280))*(W535-280),IF(W535&lt;=800,400+((500-400)/(800-400))*(W535-400),500)))))))</f>
        <v>27.125</v>
      </c>
      <c r="AJ535" s="4" t="n">
        <f aca="false">IF(X535="","",IF(X535&lt;=40,(50/40)*X535,IF(X535&lt;=80,50+((100-50)/(80-40))*(X535-40),IF(X535&lt;=380,100+((200-100)/(380-80))*(X535-80),IF(X535&lt;=800,200+((300-200)/(800-380))*(X535-380),IF(X535&lt;=1600,300+((400-300)/(1600-800))*(X535-800),IF(X535&lt;=2100,400+((500-400)/(2100-1600))*(X535-1600),500)))))))</f>
        <v>13.5</v>
      </c>
      <c r="AK535" s="4" t="n">
        <f aca="false">IF(Y535="","",IF(Y535&lt;=50,(50/50)*Y535,IF(Y535&lt;=100,50+((100-50)/(100-50))*(Y535-50),IF(Y535&lt;=168,100+((200-100)/(168-100))*(Y535-100),IF(Y535&lt;=208,200+((300-200)/(208-168))*(Y535-168),IF(Y535&lt;=748,300+((400-300)/(748-208))*(Y535-208),IF(Y535&lt;=1000,400+((500-400)/(1000-748))*(Y535-748),500)))))))</f>
        <v>52</v>
      </c>
      <c r="AL535" s="4" t="n">
        <f aca="false">ROUND(MAX(AF535,AG535,AH535,AI535,AJ535,AK535),0)</f>
        <v>164</v>
      </c>
      <c r="AM535" s="4" t="str">
        <f aca="false">IF(AL535="","",IF(AL535&lt;=50,"Good",IF(AL535&lt;=100,"Satisfactory",IF(AL535&lt;=200,"Moderate",IF(AL535&lt;=300,"Poor",IF(AL535&lt;=400,"Very Poor","Severe"))))))</f>
        <v>Moderate</v>
      </c>
    </row>
    <row r="536" customFormat="false" ht="15.75" hidden="false" customHeight="false" outlineLevel="0" collapsed="false">
      <c r="A536" s="1" t="s">
        <v>39</v>
      </c>
      <c r="B536" s="1" t="s">
        <v>40</v>
      </c>
      <c r="C536" s="1" t="n">
        <v>28.4595</v>
      </c>
      <c r="D536" s="1" t="n">
        <v>77.0266</v>
      </c>
      <c r="E536" s="5" t="n">
        <v>45923</v>
      </c>
      <c r="F536" s="6" t="s">
        <v>55</v>
      </c>
      <c r="G536" s="1" t="n">
        <v>9</v>
      </c>
      <c r="H536" s="7" t="s">
        <v>78</v>
      </c>
      <c r="I536" s="6" t="s">
        <v>43</v>
      </c>
      <c r="J536" s="7" t="s">
        <v>44</v>
      </c>
      <c r="K536" s="7" t="s">
        <v>56</v>
      </c>
      <c r="L536" s="1" t="n">
        <v>76</v>
      </c>
      <c r="M536" s="1" t="n">
        <v>20.5</v>
      </c>
      <c r="N536" s="1" t="n">
        <v>17.6</v>
      </c>
      <c r="O536" s="1" t="n">
        <v>0</v>
      </c>
      <c r="P536" s="6" t="s">
        <v>43</v>
      </c>
      <c r="Q536" s="6" t="s">
        <v>43</v>
      </c>
      <c r="R536" s="1" t="n">
        <v>1006.3</v>
      </c>
      <c r="S536" s="1" t="n">
        <v>0</v>
      </c>
      <c r="T536" s="1" t="n">
        <v>46.6</v>
      </c>
      <c r="U536" s="1" t="n">
        <v>196</v>
      </c>
      <c r="V536" s="1" t="n">
        <v>423</v>
      </c>
      <c r="W536" s="1" t="n">
        <v>24.4</v>
      </c>
      <c r="X536" s="1" t="n">
        <v>12</v>
      </c>
      <c r="Y536" s="1" t="n">
        <v>52</v>
      </c>
      <c r="Z536" s="1" t="n">
        <v>305</v>
      </c>
      <c r="AA536" s="1" t="n">
        <v>143</v>
      </c>
      <c r="AB536" s="7" t="s">
        <v>81</v>
      </c>
      <c r="AC536" s="7" t="s">
        <v>82</v>
      </c>
      <c r="AD536" s="7" t="s">
        <v>83</v>
      </c>
      <c r="AE536" s="7" t="s">
        <v>84</v>
      </c>
      <c r="AF536" s="4" t="n">
        <f aca="false">IF(T536="","",IF(T536&lt;=30,(50/30)*T536,IF(T536&lt;=60,50+((100-50)/(60-30))*(T536-30),IF(T536&lt;=90,100+((200-100)/(90-60))*(T536-60),IF(T536&lt;=120,200+((300-200)/(120-90))*(T536-90),IF(T536&lt;=250,300+((400-300)/(250-120))*(T536-120),IF(T536&lt;=380,400+((500-400)/(380-250))*(T536-250),500)))))))</f>
        <v>77.6666666666667</v>
      </c>
      <c r="AG536" s="4" t="n">
        <f aca="false">IF(U536="","",IF(U536&lt;=50,(50/50)*U536,IF(U536&lt;=100,50+((100-50)/(100-50))*(U536-50),IF(U536&lt;=250,100+((200-100)/(250-100))*(U536-100),IF(U536&lt;=350,200+((300-200)/(350-250))*(U536-250),IF(U536&lt;=430,300+((400-300)/(430-350))*(U536-350),IF(U536&lt;=600,400+((500-400)/(600-430))*(U536-430),500)))))))</f>
        <v>164</v>
      </c>
      <c r="AH536" s="4" t="n">
        <f aca="false">IF(V536="","",IF((V536/1000)&lt;=1,(50/1)*(V536/1000),IF((V536/1000)&lt;=2,50+((100-50)/(2-1))*(V536/1000-1),IF((V536/1000)&lt;=10,100+((200-100)/(10-2))*(V536/1000-2),IF((V536/1000)&lt;=17,200+((300-200)/(17-10))*(V536/1000-10),IF((V536/1000)&lt;=34,300+((400-300)/(34-17))*(V536/1000-17),IF((V536/1000)&lt;=57,400+((500-400)/(57-34))*(V536/1000-34),500)))))))</f>
        <v>21.15</v>
      </c>
      <c r="AI536" s="4" t="n">
        <f aca="false">IF(W536="","",IF(W536&lt;=40,(50/40)*W536,IF(W536&lt;=80,50+((100-50)/(80-40))*(W536-40),IF(W536&lt;=180,100+((200-100)/(180-80))*(W536-80),IF(W536&lt;=280,200+((300-200)/(280-180))*(W536-180),IF(W536&lt;=400,300+((400-300)/(400-280))*(W536-280),IF(W536&lt;=800,400+((500-400)/(800-400))*(W536-400),500)))))))</f>
        <v>30.5</v>
      </c>
      <c r="AJ536" s="4" t="n">
        <f aca="false">IF(X536="","",IF(X536&lt;=40,(50/40)*X536,IF(X536&lt;=80,50+((100-50)/(80-40))*(X536-40),IF(X536&lt;=380,100+((200-100)/(380-80))*(X536-80),IF(X536&lt;=800,200+((300-200)/(800-380))*(X536-380),IF(X536&lt;=1600,300+((400-300)/(1600-800))*(X536-800),IF(X536&lt;=2100,400+((500-400)/(2100-1600))*(X536-1600),500)))))))</f>
        <v>15</v>
      </c>
      <c r="AK536" s="4" t="n">
        <f aca="false">IF(Y536="","",IF(Y536&lt;=50,(50/50)*Y536,IF(Y536&lt;=100,50+((100-50)/(100-50))*(Y536-50),IF(Y536&lt;=168,100+((200-100)/(168-100))*(Y536-100),IF(Y536&lt;=208,200+((300-200)/(208-168))*(Y536-168),IF(Y536&lt;=748,300+((400-300)/(748-208))*(Y536-208),IF(Y536&lt;=1000,400+((500-400)/(1000-748))*(Y536-748),500)))))))</f>
        <v>52</v>
      </c>
      <c r="AL536" s="4" t="n">
        <f aca="false">ROUND(MAX(AF536,AG536,AH536,AI536,AJ536,AK536),0)</f>
        <v>164</v>
      </c>
      <c r="AM536" s="4" t="str">
        <f aca="false">IF(AL536="","",IF(AL536&lt;=50,"Good",IF(AL536&lt;=100,"Satisfactory",IF(AL536&lt;=200,"Moderate",IF(AL536&lt;=300,"Poor",IF(AL536&lt;=400,"Very Poor","Severe"))))))</f>
        <v>Moderate</v>
      </c>
    </row>
    <row r="537" customFormat="false" ht="15.75" hidden="false" customHeight="false" outlineLevel="0" collapsed="false">
      <c r="A537" s="1" t="s">
        <v>39</v>
      </c>
      <c r="B537" s="1" t="s">
        <v>40</v>
      </c>
      <c r="C537" s="1" t="n">
        <v>28.4595</v>
      </c>
      <c r="D537" s="1" t="n">
        <v>77.0266</v>
      </c>
      <c r="E537" s="5" t="n">
        <v>45923</v>
      </c>
      <c r="F537" s="6" t="s">
        <v>57</v>
      </c>
      <c r="G537" s="1" t="n">
        <v>9</v>
      </c>
      <c r="H537" s="7" t="s">
        <v>78</v>
      </c>
      <c r="I537" s="6" t="s">
        <v>43</v>
      </c>
      <c r="J537" s="7" t="s">
        <v>44</v>
      </c>
      <c r="K537" s="7" t="s">
        <v>56</v>
      </c>
      <c r="L537" s="1" t="n">
        <v>70</v>
      </c>
      <c r="M537" s="1" t="n">
        <v>20.3</v>
      </c>
      <c r="N537" s="1" t="n">
        <v>18.4</v>
      </c>
      <c r="O537" s="1" t="n">
        <v>0</v>
      </c>
      <c r="P537" s="6" t="s">
        <v>43</v>
      </c>
      <c r="Q537" s="6" t="s">
        <v>43</v>
      </c>
      <c r="R537" s="1" t="n">
        <v>1006.7</v>
      </c>
      <c r="S537" s="1" t="n">
        <v>0</v>
      </c>
      <c r="T537" s="1" t="n">
        <v>52.6</v>
      </c>
      <c r="U537" s="1" t="n">
        <v>233.8</v>
      </c>
      <c r="V537" s="1" t="n">
        <v>479</v>
      </c>
      <c r="W537" s="1" t="n">
        <v>27.9</v>
      </c>
      <c r="X537" s="1" t="n">
        <v>13.7</v>
      </c>
      <c r="Y537" s="1" t="n">
        <v>55</v>
      </c>
      <c r="Z537" s="1" t="n">
        <v>325</v>
      </c>
      <c r="AA537" s="1" t="n">
        <v>144</v>
      </c>
      <c r="AB537" s="7" t="s">
        <v>81</v>
      </c>
      <c r="AC537" s="7" t="s">
        <v>82</v>
      </c>
      <c r="AD537" s="7" t="s">
        <v>83</v>
      </c>
      <c r="AE537" s="7" t="s">
        <v>84</v>
      </c>
      <c r="AF537" s="4" t="n">
        <f aca="false">IF(T537="","",IF(T537&lt;=30,(50/30)*T537,IF(T537&lt;=60,50+((100-50)/(60-30))*(T537-30),IF(T537&lt;=90,100+((200-100)/(90-60))*(T537-60),IF(T537&lt;=120,200+((300-200)/(120-90))*(T537-90),IF(T537&lt;=250,300+((400-300)/(250-120))*(T537-120),IF(T537&lt;=380,400+((500-400)/(380-250))*(T537-250),500)))))))</f>
        <v>87.6666666666667</v>
      </c>
      <c r="AG537" s="4" t="n">
        <f aca="false">IF(U537="","",IF(U537&lt;=50,(50/50)*U537,IF(U537&lt;=100,50+((100-50)/(100-50))*(U537-50),IF(U537&lt;=250,100+((200-100)/(250-100))*(U537-100),IF(U537&lt;=350,200+((300-200)/(350-250))*(U537-250),IF(U537&lt;=430,300+((400-300)/(430-350))*(U537-350),IF(U537&lt;=600,400+((500-400)/(600-430))*(U537-430),500)))))))</f>
        <v>189.2</v>
      </c>
      <c r="AH537" s="4" t="n">
        <f aca="false">IF(V537="","",IF((V537/1000)&lt;=1,(50/1)*(V537/1000),IF((V537/1000)&lt;=2,50+((100-50)/(2-1))*(V537/1000-1),IF((V537/1000)&lt;=10,100+((200-100)/(10-2))*(V537/1000-2),IF((V537/1000)&lt;=17,200+((300-200)/(17-10))*(V537/1000-10),IF((V537/1000)&lt;=34,300+((400-300)/(34-17))*(V537/1000-17),IF((V537/1000)&lt;=57,400+((500-400)/(57-34))*(V537/1000-34),500)))))))</f>
        <v>23.95</v>
      </c>
      <c r="AI537" s="4" t="n">
        <f aca="false">IF(W537="","",IF(W537&lt;=40,(50/40)*W537,IF(W537&lt;=80,50+((100-50)/(80-40))*(W537-40),IF(W537&lt;=180,100+((200-100)/(180-80))*(W537-80),IF(W537&lt;=280,200+((300-200)/(280-180))*(W537-180),IF(W537&lt;=400,300+((400-300)/(400-280))*(W537-280),IF(W537&lt;=800,400+((500-400)/(800-400))*(W537-400),500)))))))</f>
        <v>34.875</v>
      </c>
      <c r="AJ537" s="4" t="n">
        <f aca="false">IF(X537="","",IF(X537&lt;=40,(50/40)*X537,IF(X537&lt;=80,50+((100-50)/(80-40))*(X537-40),IF(X537&lt;=380,100+((200-100)/(380-80))*(X537-80),IF(X537&lt;=800,200+((300-200)/(800-380))*(X537-380),IF(X537&lt;=1600,300+((400-300)/(1600-800))*(X537-800),IF(X537&lt;=2100,400+((500-400)/(2100-1600))*(X537-1600),500)))))))</f>
        <v>17.125</v>
      </c>
      <c r="AK537" s="4" t="n">
        <f aca="false">IF(Y537="","",IF(Y537&lt;=50,(50/50)*Y537,IF(Y537&lt;=100,50+((100-50)/(100-50))*(Y537-50),IF(Y537&lt;=168,100+((200-100)/(168-100))*(Y537-100),IF(Y537&lt;=208,200+((300-200)/(208-168))*(Y537-168),IF(Y537&lt;=748,300+((400-300)/(748-208))*(Y537-208),IF(Y537&lt;=1000,400+((500-400)/(1000-748))*(Y537-748),500)))))))</f>
        <v>55</v>
      </c>
      <c r="AL537" s="4" t="n">
        <f aca="false">ROUND(MAX(AF537,AG537,AH537,AI537,AJ537,AK537),0)</f>
        <v>189</v>
      </c>
      <c r="AM537" s="4" t="str">
        <f aca="false">IF(AL537="","",IF(AL537&lt;=50,"Good",IF(AL537&lt;=100,"Satisfactory",IF(AL537&lt;=200,"Moderate",IF(AL537&lt;=300,"Poor",IF(AL537&lt;=400,"Very Poor","Severe"))))))</f>
        <v>Moderate</v>
      </c>
    </row>
    <row r="538" customFormat="false" ht="15.75" hidden="false" customHeight="false" outlineLevel="0" collapsed="false">
      <c r="A538" s="1" t="s">
        <v>39</v>
      </c>
      <c r="B538" s="1" t="s">
        <v>40</v>
      </c>
      <c r="C538" s="1" t="n">
        <v>28.4595</v>
      </c>
      <c r="D538" s="1" t="n">
        <v>77.0266</v>
      </c>
      <c r="E538" s="5" t="n">
        <v>45923</v>
      </c>
      <c r="F538" s="6" t="s">
        <v>58</v>
      </c>
      <c r="G538" s="1" t="n">
        <v>9</v>
      </c>
      <c r="H538" s="7" t="s">
        <v>78</v>
      </c>
      <c r="I538" s="6" t="s">
        <v>43</v>
      </c>
      <c r="J538" s="7" t="s">
        <v>44</v>
      </c>
      <c r="K538" s="7" t="s">
        <v>56</v>
      </c>
      <c r="L538" s="1" t="n">
        <v>63</v>
      </c>
      <c r="M538" s="1" t="n">
        <v>20.6</v>
      </c>
      <c r="N538" s="1" t="n">
        <v>22.7</v>
      </c>
      <c r="O538" s="1" t="n">
        <v>0</v>
      </c>
      <c r="P538" s="6" t="s">
        <v>43</v>
      </c>
      <c r="Q538" s="6" t="s">
        <v>43</v>
      </c>
      <c r="R538" s="1" t="n">
        <v>1007.1</v>
      </c>
      <c r="S538" s="1" t="n">
        <v>0</v>
      </c>
      <c r="T538" s="1" t="n">
        <v>54.7</v>
      </c>
      <c r="U538" s="1" t="n">
        <v>236.1</v>
      </c>
      <c r="V538" s="1" t="n">
        <v>492</v>
      </c>
      <c r="W538" s="1" t="n">
        <v>28.2</v>
      </c>
      <c r="X538" s="1" t="n">
        <v>14.9</v>
      </c>
      <c r="Y538" s="1" t="n">
        <v>66</v>
      </c>
      <c r="Z538" s="1" t="n">
        <v>350</v>
      </c>
      <c r="AA538" s="1" t="n">
        <v>147</v>
      </c>
      <c r="AB538" s="7" t="s">
        <v>81</v>
      </c>
      <c r="AC538" s="7" t="s">
        <v>82</v>
      </c>
      <c r="AD538" s="7" t="s">
        <v>83</v>
      </c>
      <c r="AE538" s="7" t="s">
        <v>84</v>
      </c>
      <c r="AF538" s="4" t="n">
        <f aca="false">IF(T538="","",IF(T538&lt;=30,(50/30)*T538,IF(T538&lt;=60,50+((100-50)/(60-30))*(T538-30),IF(T538&lt;=90,100+((200-100)/(90-60))*(T538-60),IF(T538&lt;=120,200+((300-200)/(120-90))*(T538-90),IF(T538&lt;=250,300+((400-300)/(250-120))*(T538-120),IF(T538&lt;=380,400+((500-400)/(380-250))*(T538-250),500)))))))</f>
        <v>91.1666666666667</v>
      </c>
      <c r="AG538" s="4" t="n">
        <f aca="false">IF(U538="","",IF(U538&lt;=50,(50/50)*U538,IF(U538&lt;=100,50+((100-50)/(100-50))*(U538-50),IF(U538&lt;=250,100+((200-100)/(250-100))*(U538-100),IF(U538&lt;=350,200+((300-200)/(350-250))*(U538-250),IF(U538&lt;=430,300+((400-300)/(430-350))*(U538-350),IF(U538&lt;=600,400+((500-400)/(600-430))*(U538-430),500)))))))</f>
        <v>190.733333333333</v>
      </c>
      <c r="AH538" s="4" t="n">
        <f aca="false">IF(V538="","",IF((V538/1000)&lt;=1,(50/1)*(V538/1000),IF((V538/1000)&lt;=2,50+((100-50)/(2-1))*(V538/1000-1),IF((V538/1000)&lt;=10,100+((200-100)/(10-2))*(V538/1000-2),IF((V538/1000)&lt;=17,200+((300-200)/(17-10))*(V538/1000-10),IF((V538/1000)&lt;=34,300+((400-300)/(34-17))*(V538/1000-17),IF((V538/1000)&lt;=57,400+((500-400)/(57-34))*(V538/1000-34),500)))))))</f>
        <v>24.6</v>
      </c>
      <c r="AI538" s="4" t="n">
        <f aca="false">IF(W538="","",IF(W538&lt;=40,(50/40)*W538,IF(W538&lt;=80,50+((100-50)/(80-40))*(W538-40),IF(W538&lt;=180,100+((200-100)/(180-80))*(W538-80),IF(W538&lt;=280,200+((300-200)/(280-180))*(W538-180),IF(W538&lt;=400,300+((400-300)/(400-280))*(W538-280),IF(W538&lt;=800,400+((500-400)/(800-400))*(W538-400),500)))))))</f>
        <v>35.25</v>
      </c>
      <c r="AJ538" s="4" t="n">
        <f aca="false">IF(X538="","",IF(X538&lt;=40,(50/40)*X538,IF(X538&lt;=80,50+((100-50)/(80-40))*(X538-40),IF(X538&lt;=380,100+((200-100)/(380-80))*(X538-80),IF(X538&lt;=800,200+((300-200)/(800-380))*(X538-380),IF(X538&lt;=1600,300+((400-300)/(1600-800))*(X538-800),IF(X538&lt;=2100,400+((500-400)/(2100-1600))*(X538-1600),500)))))))</f>
        <v>18.625</v>
      </c>
      <c r="AK538" s="4" t="n">
        <f aca="false">IF(Y538="","",IF(Y538&lt;=50,(50/50)*Y538,IF(Y538&lt;=100,50+((100-50)/(100-50))*(Y538-50),IF(Y538&lt;=168,100+((200-100)/(168-100))*(Y538-100),IF(Y538&lt;=208,200+((300-200)/(208-168))*(Y538-168),IF(Y538&lt;=748,300+((400-300)/(748-208))*(Y538-208),IF(Y538&lt;=1000,400+((500-400)/(1000-748))*(Y538-748),500)))))))</f>
        <v>66</v>
      </c>
      <c r="AL538" s="4" t="n">
        <f aca="false">ROUND(MAX(AF538,AG538,AH538,AI538,AJ538,AK538),0)</f>
        <v>191</v>
      </c>
      <c r="AM538" s="4" t="str">
        <f aca="false">IF(AL538="","",IF(AL538&lt;=50,"Good",IF(AL538&lt;=100,"Satisfactory",IF(AL538&lt;=200,"Moderate",IF(AL538&lt;=300,"Poor",IF(AL538&lt;=400,"Very Poor","Severe"))))))</f>
        <v>Moderate</v>
      </c>
    </row>
    <row r="539" customFormat="false" ht="15.75" hidden="false" customHeight="false" outlineLevel="0" collapsed="false">
      <c r="A539" s="1" t="s">
        <v>39</v>
      </c>
      <c r="B539" s="1" t="s">
        <v>40</v>
      </c>
      <c r="C539" s="1" t="n">
        <v>28.4595</v>
      </c>
      <c r="D539" s="1" t="n">
        <v>77.0266</v>
      </c>
      <c r="E539" s="5" t="n">
        <v>45923</v>
      </c>
      <c r="F539" s="6" t="s">
        <v>59</v>
      </c>
      <c r="G539" s="1" t="n">
        <v>9</v>
      </c>
      <c r="H539" s="7" t="s">
        <v>78</v>
      </c>
      <c r="I539" s="6" t="s">
        <v>43</v>
      </c>
      <c r="J539" s="7" t="s">
        <v>44</v>
      </c>
      <c r="K539" s="7" t="s">
        <v>60</v>
      </c>
      <c r="L539" s="1" t="n">
        <v>59</v>
      </c>
      <c r="M539" s="1" t="n">
        <v>22</v>
      </c>
      <c r="N539" s="1" t="n">
        <v>31</v>
      </c>
      <c r="O539" s="1" t="n">
        <v>0</v>
      </c>
      <c r="P539" s="6" t="s">
        <v>43</v>
      </c>
      <c r="Q539" s="6" t="s">
        <v>43</v>
      </c>
      <c r="R539" s="1" t="n">
        <v>1007.1</v>
      </c>
      <c r="S539" s="1" t="n">
        <v>0</v>
      </c>
      <c r="T539" s="1" t="n">
        <v>52</v>
      </c>
      <c r="U539" s="1" t="n">
        <v>236.1</v>
      </c>
      <c r="V539" s="1" t="n">
        <v>418</v>
      </c>
      <c r="W539" s="1" t="n">
        <v>22.4</v>
      </c>
      <c r="X539" s="1" t="n">
        <v>15.2</v>
      </c>
      <c r="Y539" s="1" t="n">
        <v>97</v>
      </c>
      <c r="Z539" s="1" t="n">
        <v>379</v>
      </c>
      <c r="AA539" s="1" t="n">
        <v>150</v>
      </c>
      <c r="AB539" s="7" t="s">
        <v>81</v>
      </c>
      <c r="AC539" s="7" t="s">
        <v>82</v>
      </c>
      <c r="AD539" s="7" t="s">
        <v>83</v>
      </c>
      <c r="AE539" s="7" t="s">
        <v>84</v>
      </c>
      <c r="AF539" s="4" t="n">
        <f aca="false">IF(T539="","",IF(T539&lt;=30,(50/30)*T539,IF(T539&lt;=60,50+((100-50)/(60-30))*(T539-30),IF(T539&lt;=90,100+((200-100)/(90-60))*(T539-60),IF(T539&lt;=120,200+((300-200)/(120-90))*(T539-90),IF(T539&lt;=250,300+((400-300)/(250-120))*(T539-120),IF(T539&lt;=380,400+((500-400)/(380-250))*(T539-250),500)))))))</f>
        <v>86.6666666666667</v>
      </c>
      <c r="AG539" s="4" t="n">
        <f aca="false">IF(U539="","",IF(U539&lt;=50,(50/50)*U539,IF(U539&lt;=100,50+((100-50)/(100-50))*(U539-50),IF(U539&lt;=250,100+((200-100)/(250-100))*(U539-100),IF(U539&lt;=350,200+((300-200)/(350-250))*(U539-250),IF(U539&lt;=430,300+((400-300)/(430-350))*(U539-350),IF(U539&lt;=600,400+((500-400)/(600-430))*(U539-430),500)))))))</f>
        <v>190.733333333333</v>
      </c>
      <c r="AH539" s="4" t="n">
        <f aca="false">IF(V539="","",IF((V539/1000)&lt;=1,(50/1)*(V539/1000),IF((V539/1000)&lt;=2,50+((100-50)/(2-1))*(V539/1000-1),IF((V539/1000)&lt;=10,100+((200-100)/(10-2))*(V539/1000-2),IF((V539/1000)&lt;=17,200+((300-200)/(17-10))*(V539/1000-10),IF((V539/1000)&lt;=34,300+((400-300)/(34-17))*(V539/1000-17),IF((V539/1000)&lt;=57,400+((500-400)/(57-34))*(V539/1000-34),500)))))))</f>
        <v>20.9</v>
      </c>
      <c r="AI539" s="4" t="n">
        <f aca="false">IF(W539="","",IF(W539&lt;=40,(50/40)*W539,IF(W539&lt;=80,50+((100-50)/(80-40))*(W539-40),IF(W539&lt;=180,100+((200-100)/(180-80))*(W539-80),IF(W539&lt;=280,200+((300-200)/(280-180))*(W539-180),IF(W539&lt;=400,300+((400-300)/(400-280))*(W539-280),IF(W539&lt;=800,400+((500-400)/(800-400))*(W539-400),500)))))))</f>
        <v>28</v>
      </c>
      <c r="AJ539" s="4" t="n">
        <f aca="false">IF(X539="","",IF(X539&lt;=40,(50/40)*X539,IF(X539&lt;=80,50+((100-50)/(80-40))*(X539-40),IF(X539&lt;=380,100+((200-100)/(380-80))*(X539-80),IF(X539&lt;=800,200+((300-200)/(800-380))*(X539-380),IF(X539&lt;=1600,300+((400-300)/(1600-800))*(X539-800),IF(X539&lt;=2100,400+((500-400)/(2100-1600))*(X539-1600),500)))))))</f>
        <v>19</v>
      </c>
      <c r="AK539" s="4" t="n">
        <f aca="false">IF(Y539="","",IF(Y539&lt;=50,(50/50)*Y539,IF(Y539&lt;=100,50+((100-50)/(100-50))*(Y539-50),IF(Y539&lt;=168,100+((200-100)/(168-100))*(Y539-100),IF(Y539&lt;=208,200+((300-200)/(208-168))*(Y539-168),IF(Y539&lt;=748,300+((400-300)/(748-208))*(Y539-208),IF(Y539&lt;=1000,400+((500-400)/(1000-748))*(Y539-748),500)))))))</f>
        <v>97</v>
      </c>
      <c r="AL539" s="4" t="n">
        <f aca="false">ROUND(MAX(AF539,AG539,AH539,AI539,AJ539,AK539),0)</f>
        <v>191</v>
      </c>
      <c r="AM539" s="4" t="str">
        <f aca="false">IF(AL539="","",IF(AL539&lt;=50,"Good",IF(AL539&lt;=100,"Satisfactory",IF(AL539&lt;=200,"Moderate",IF(AL539&lt;=300,"Poor",IF(AL539&lt;=400,"Very Poor","Severe"))))))</f>
        <v>Moderate</v>
      </c>
    </row>
    <row r="540" customFormat="false" ht="15.75" hidden="false" customHeight="false" outlineLevel="0" collapsed="false">
      <c r="A540" s="1" t="s">
        <v>39</v>
      </c>
      <c r="B540" s="1" t="s">
        <v>40</v>
      </c>
      <c r="C540" s="1" t="n">
        <v>28.4595</v>
      </c>
      <c r="D540" s="1" t="n">
        <v>77.0266</v>
      </c>
      <c r="E540" s="5" t="n">
        <v>45923</v>
      </c>
      <c r="F540" s="6" t="s">
        <v>61</v>
      </c>
      <c r="G540" s="1" t="n">
        <v>9</v>
      </c>
      <c r="H540" s="7" t="s">
        <v>78</v>
      </c>
      <c r="I540" s="6" t="s">
        <v>43</v>
      </c>
      <c r="J540" s="7" t="s">
        <v>44</v>
      </c>
      <c r="K540" s="7" t="s">
        <v>60</v>
      </c>
      <c r="L540" s="1" t="n">
        <v>53</v>
      </c>
      <c r="M540" s="1" t="n">
        <v>21.9</v>
      </c>
      <c r="N540" s="1" t="n">
        <v>38.9</v>
      </c>
      <c r="O540" s="1" t="n">
        <v>0</v>
      </c>
      <c r="P540" s="6" t="s">
        <v>43</v>
      </c>
      <c r="Q540" s="6" t="s">
        <v>43</v>
      </c>
      <c r="R540" s="1" t="n">
        <v>1006.9</v>
      </c>
      <c r="S540" s="1" t="n">
        <v>0</v>
      </c>
      <c r="T540" s="1" t="n">
        <v>49.5</v>
      </c>
      <c r="U540" s="1" t="n">
        <v>252.4</v>
      </c>
      <c r="V540" s="1" t="n">
        <v>299</v>
      </c>
      <c r="W540" s="1" t="n">
        <v>13.5</v>
      </c>
      <c r="X540" s="1" t="n">
        <v>15</v>
      </c>
      <c r="Y540" s="1" t="n">
        <v>137</v>
      </c>
      <c r="Z540" s="1" t="n">
        <v>412</v>
      </c>
      <c r="AA540" s="1" t="n">
        <v>152</v>
      </c>
      <c r="AB540" s="7" t="s">
        <v>81</v>
      </c>
      <c r="AC540" s="7" t="s">
        <v>48</v>
      </c>
      <c r="AD540" s="6" t="s">
        <v>43</v>
      </c>
      <c r="AE540" s="6" t="s">
        <v>43</v>
      </c>
      <c r="AF540" s="4" t="n">
        <f aca="false">IF(T540="","",IF(T540&lt;=30,(50/30)*T540,IF(T540&lt;=60,50+((100-50)/(60-30))*(T540-30),IF(T540&lt;=90,100+((200-100)/(90-60))*(T540-60),IF(T540&lt;=120,200+((300-200)/(120-90))*(T540-90),IF(T540&lt;=250,300+((400-300)/(250-120))*(T540-120),IF(T540&lt;=380,400+((500-400)/(380-250))*(T540-250),500)))))))</f>
        <v>82.5</v>
      </c>
      <c r="AG540" s="4" t="n">
        <f aca="false">IF(U540="","",IF(U540&lt;=50,(50/50)*U540,IF(U540&lt;=100,50+((100-50)/(100-50))*(U540-50),IF(U540&lt;=250,100+((200-100)/(250-100))*(U540-100),IF(U540&lt;=350,200+((300-200)/(350-250))*(U540-250),IF(U540&lt;=430,300+((400-300)/(430-350))*(U540-350),IF(U540&lt;=600,400+((500-400)/(600-430))*(U540-430),500)))))))</f>
        <v>202.4</v>
      </c>
      <c r="AH540" s="4" t="n">
        <f aca="false">IF(V540="","",IF((V540/1000)&lt;=1,(50/1)*(V540/1000),IF((V540/1000)&lt;=2,50+((100-50)/(2-1))*(V540/1000-1),IF((V540/1000)&lt;=10,100+((200-100)/(10-2))*(V540/1000-2),IF((V540/1000)&lt;=17,200+((300-200)/(17-10))*(V540/1000-10),IF((V540/1000)&lt;=34,300+((400-300)/(34-17))*(V540/1000-17),IF((V540/1000)&lt;=57,400+((500-400)/(57-34))*(V540/1000-34),500)))))))</f>
        <v>14.95</v>
      </c>
      <c r="AI540" s="4" t="n">
        <f aca="false">IF(W540="","",IF(W540&lt;=40,(50/40)*W540,IF(W540&lt;=80,50+((100-50)/(80-40))*(W540-40),IF(W540&lt;=180,100+((200-100)/(180-80))*(W540-80),IF(W540&lt;=280,200+((300-200)/(280-180))*(W540-180),IF(W540&lt;=400,300+((400-300)/(400-280))*(W540-280),IF(W540&lt;=800,400+((500-400)/(800-400))*(W540-400),500)))))))</f>
        <v>16.875</v>
      </c>
      <c r="AJ540" s="4" t="n">
        <f aca="false">IF(X540="","",IF(X540&lt;=40,(50/40)*X540,IF(X540&lt;=80,50+((100-50)/(80-40))*(X540-40),IF(X540&lt;=380,100+((200-100)/(380-80))*(X540-80),IF(X540&lt;=800,200+((300-200)/(800-380))*(X540-380),IF(X540&lt;=1600,300+((400-300)/(1600-800))*(X540-800),IF(X540&lt;=2100,400+((500-400)/(2100-1600))*(X540-1600),500)))))))</f>
        <v>18.75</v>
      </c>
      <c r="AK540" s="4" t="n">
        <f aca="false">IF(Y540="","",IF(Y540&lt;=50,(50/50)*Y540,IF(Y540&lt;=100,50+((100-50)/(100-50))*(Y540-50),IF(Y540&lt;=168,100+((200-100)/(168-100))*(Y540-100),IF(Y540&lt;=208,200+((300-200)/(208-168))*(Y540-168),IF(Y540&lt;=748,300+((400-300)/(748-208))*(Y540-208),IF(Y540&lt;=1000,400+((500-400)/(1000-748))*(Y540-748),500)))))))</f>
        <v>154.411764705882</v>
      </c>
      <c r="AL540" s="4" t="n">
        <f aca="false">ROUND(MAX(AF540,AG540,AH540,AI540,AJ540,AK540),0)</f>
        <v>202</v>
      </c>
      <c r="AM540" s="4" t="str">
        <f aca="false">IF(AL540="","",IF(AL540&lt;=50,"Good",IF(AL540&lt;=100,"Satisfactory",IF(AL540&lt;=200,"Moderate",IF(AL540&lt;=300,"Poor",IF(AL540&lt;=400,"Very Poor","Severe"))))))</f>
        <v>Poor</v>
      </c>
    </row>
    <row r="541" customFormat="false" ht="15.75" hidden="false" customHeight="false" outlineLevel="0" collapsed="false">
      <c r="A541" s="1" t="s">
        <v>39</v>
      </c>
      <c r="B541" s="1" t="s">
        <v>40</v>
      </c>
      <c r="C541" s="1" t="n">
        <v>28.4595</v>
      </c>
      <c r="D541" s="1" t="n">
        <v>77.0266</v>
      </c>
      <c r="E541" s="5" t="n">
        <v>45923</v>
      </c>
      <c r="F541" s="6" t="s">
        <v>62</v>
      </c>
      <c r="G541" s="1" t="n">
        <v>9</v>
      </c>
      <c r="H541" s="7" t="s">
        <v>78</v>
      </c>
      <c r="I541" s="6" t="s">
        <v>43</v>
      </c>
      <c r="J541" s="7" t="s">
        <v>44</v>
      </c>
      <c r="K541" s="7" t="s">
        <v>60</v>
      </c>
      <c r="L541" s="1" t="n">
        <v>45</v>
      </c>
      <c r="M541" s="1" t="n">
        <v>20.7</v>
      </c>
      <c r="N541" s="1" t="n">
        <v>43.9</v>
      </c>
      <c r="O541" s="1" t="n">
        <v>0</v>
      </c>
      <c r="P541" s="6" t="s">
        <v>43</v>
      </c>
      <c r="Q541" s="6" t="s">
        <v>43</v>
      </c>
      <c r="R541" s="1" t="n">
        <v>1006.3</v>
      </c>
      <c r="S541" s="1" t="n">
        <v>22</v>
      </c>
      <c r="T541" s="1" t="n">
        <v>46.9</v>
      </c>
      <c r="U541" s="1" t="n">
        <v>273.8</v>
      </c>
      <c r="V541" s="1" t="n">
        <v>210</v>
      </c>
      <c r="W541" s="1" t="n">
        <v>6.7</v>
      </c>
      <c r="X541" s="1" t="n">
        <v>14.6</v>
      </c>
      <c r="Y541" s="1" t="n">
        <v>165</v>
      </c>
      <c r="Z541" s="1" t="n">
        <v>445</v>
      </c>
      <c r="AA541" s="1" t="n">
        <v>154</v>
      </c>
      <c r="AB541" s="7" t="s">
        <v>81</v>
      </c>
      <c r="AC541" s="7" t="s">
        <v>48</v>
      </c>
      <c r="AD541" s="6" t="s">
        <v>43</v>
      </c>
      <c r="AE541" s="6" t="s">
        <v>43</v>
      </c>
      <c r="AF541" s="4" t="n">
        <f aca="false">IF(T541="","",IF(T541&lt;=30,(50/30)*T541,IF(T541&lt;=60,50+((100-50)/(60-30))*(T541-30),IF(T541&lt;=90,100+((200-100)/(90-60))*(T541-60),IF(T541&lt;=120,200+((300-200)/(120-90))*(T541-90),IF(T541&lt;=250,300+((400-300)/(250-120))*(T541-120),IF(T541&lt;=380,400+((500-400)/(380-250))*(T541-250),500)))))))</f>
        <v>78.1666666666667</v>
      </c>
      <c r="AG541" s="4" t="n">
        <f aca="false">IF(U541="","",IF(U541&lt;=50,(50/50)*U541,IF(U541&lt;=100,50+((100-50)/(100-50))*(U541-50),IF(U541&lt;=250,100+((200-100)/(250-100))*(U541-100),IF(U541&lt;=350,200+((300-200)/(350-250))*(U541-250),IF(U541&lt;=430,300+((400-300)/(430-350))*(U541-350),IF(U541&lt;=600,400+((500-400)/(600-430))*(U541-430),500)))))))</f>
        <v>223.8</v>
      </c>
      <c r="AH541" s="4" t="n">
        <f aca="false">IF(V541="","",IF((V541/1000)&lt;=1,(50/1)*(V541/1000),IF((V541/1000)&lt;=2,50+((100-50)/(2-1))*(V541/1000-1),IF((V541/1000)&lt;=10,100+((200-100)/(10-2))*(V541/1000-2),IF((V541/1000)&lt;=17,200+((300-200)/(17-10))*(V541/1000-10),IF((V541/1000)&lt;=34,300+((400-300)/(34-17))*(V541/1000-17),IF((V541/1000)&lt;=57,400+((500-400)/(57-34))*(V541/1000-34),500)))))))</f>
        <v>10.5</v>
      </c>
      <c r="AI541" s="4" t="n">
        <f aca="false">IF(W541="","",IF(W541&lt;=40,(50/40)*W541,IF(W541&lt;=80,50+((100-50)/(80-40))*(W541-40),IF(W541&lt;=180,100+((200-100)/(180-80))*(W541-80),IF(W541&lt;=280,200+((300-200)/(280-180))*(W541-180),IF(W541&lt;=400,300+((400-300)/(400-280))*(W541-280),IF(W541&lt;=800,400+((500-400)/(800-400))*(W541-400),500)))))))</f>
        <v>8.375</v>
      </c>
      <c r="AJ541" s="4" t="n">
        <f aca="false">IF(X541="","",IF(X541&lt;=40,(50/40)*X541,IF(X541&lt;=80,50+((100-50)/(80-40))*(X541-40),IF(X541&lt;=380,100+((200-100)/(380-80))*(X541-80),IF(X541&lt;=800,200+((300-200)/(800-380))*(X541-380),IF(X541&lt;=1600,300+((400-300)/(1600-800))*(X541-800),IF(X541&lt;=2100,400+((500-400)/(2100-1600))*(X541-1600),500)))))))</f>
        <v>18.25</v>
      </c>
      <c r="AK541" s="4" t="n">
        <f aca="false">IF(Y541="","",IF(Y541&lt;=50,(50/50)*Y541,IF(Y541&lt;=100,50+((100-50)/(100-50))*(Y541-50),IF(Y541&lt;=168,100+((200-100)/(168-100))*(Y541-100),IF(Y541&lt;=208,200+((300-200)/(208-168))*(Y541-168),IF(Y541&lt;=748,300+((400-300)/(748-208))*(Y541-208),IF(Y541&lt;=1000,400+((500-400)/(1000-748))*(Y541-748),500)))))))</f>
        <v>195.588235294118</v>
      </c>
      <c r="AL541" s="4" t="n">
        <f aca="false">ROUND(MAX(AF541,AG541,AH541,AI541,AJ541,AK541),0)</f>
        <v>224</v>
      </c>
      <c r="AM541" s="4" t="str">
        <f aca="false">IF(AL541="","",IF(AL541&lt;=50,"Good",IF(AL541&lt;=100,"Satisfactory",IF(AL541&lt;=200,"Moderate",IF(AL541&lt;=300,"Poor",IF(AL541&lt;=400,"Very Poor","Severe"))))))</f>
        <v>Poor</v>
      </c>
    </row>
    <row r="542" customFormat="false" ht="15.75" hidden="false" customHeight="false" outlineLevel="0" collapsed="false">
      <c r="A542" s="1" t="s">
        <v>39</v>
      </c>
      <c r="B542" s="1" t="s">
        <v>40</v>
      </c>
      <c r="C542" s="1" t="n">
        <v>28.4595</v>
      </c>
      <c r="D542" s="1" t="n">
        <v>77.0266</v>
      </c>
      <c r="E542" s="5" t="n">
        <v>45923</v>
      </c>
      <c r="F542" s="6" t="s">
        <v>63</v>
      </c>
      <c r="G542" s="1" t="n">
        <v>9</v>
      </c>
      <c r="H542" s="7" t="s">
        <v>78</v>
      </c>
      <c r="I542" s="6" t="s">
        <v>43</v>
      </c>
      <c r="J542" s="7" t="s">
        <v>44</v>
      </c>
      <c r="K542" s="7" t="s">
        <v>60</v>
      </c>
      <c r="L542" s="1" t="n">
        <v>40</v>
      </c>
      <c r="M542" s="1" t="n">
        <v>19.2</v>
      </c>
      <c r="N542" s="1" t="n">
        <v>44.6</v>
      </c>
      <c r="O542" s="1" t="n">
        <v>0</v>
      </c>
      <c r="P542" s="6" t="s">
        <v>43</v>
      </c>
      <c r="Q542" s="6" t="s">
        <v>43</v>
      </c>
      <c r="R542" s="1" t="n">
        <v>1005.5</v>
      </c>
      <c r="S542" s="1" t="n">
        <v>13</v>
      </c>
      <c r="T542" s="1" t="n">
        <v>44.6</v>
      </c>
      <c r="U542" s="1" t="n">
        <v>295.2</v>
      </c>
      <c r="V542" s="1" t="n">
        <v>178</v>
      </c>
      <c r="W542" s="1" t="n">
        <v>4</v>
      </c>
      <c r="X542" s="1" t="n">
        <v>13.9</v>
      </c>
      <c r="Y542" s="1" t="n">
        <v>171</v>
      </c>
      <c r="Z542" s="1" t="n">
        <v>480</v>
      </c>
      <c r="AA542" s="1" t="n">
        <v>155</v>
      </c>
      <c r="AB542" s="7" t="s">
        <v>81</v>
      </c>
      <c r="AC542" s="7" t="s">
        <v>48</v>
      </c>
      <c r="AD542" s="6" t="s">
        <v>43</v>
      </c>
      <c r="AE542" s="6" t="s">
        <v>43</v>
      </c>
      <c r="AF542" s="4" t="n">
        <f aca="false">IF(T542="","",IF(T542&lt;=30,(50/30)*T542,IF(T542&lt;=60,50+((100-50)/(60-30))*(T542-30),IF(T542&lt;=90,100+((200-100)/(90-60))*(T542-60),IF(T542&lt;=120,200+((300-200)/(120-90))*(T542-90),IF(T542&lt;=250,300+((400-300)/(250-120))*(T542-120),IF(T542&lt;=380,400+((500-400)/(380-250))*(T542-250),500)))))))</f>
        <v>74.3333333333333</v>
      </c>
      <c r="AG542" s="4" t="n">
        <f aca="false">IF(U542="","",IF(U542&lt;=50,(50/50)*U542,IF(U542&lt;=100,50+((100-50)/(100-50))*(U542-50),IF(U542&lt;=250,100+((200-100)/(250-100))*(U542-100),IF(U542&lt;=350,200+((300-200)/(350-250))*(U542-250),IF(U542&lt;=430,300+((400-300)/(430-350))*(U542-350),IF(U542&lt;=600,400+((500-400)/(600-430))*(U542-430),500)))))))</f>
        <v>245.2</v>
      </c>
      <c r="AH542" s="4" t="n">
        <f aca="false">IF(V542="","",IF((V542/1000)&lt;=1,(50/1)*(V542/1000),IF((V542/1000)&lt;=2,50+((100-50)/(2-1))*(V542/1000-1),IF((V542/1000)&lt;=10,100+((200-100)/(10-2))*(V542/1000-2),IF((V542/1000)&lt;=17,200+((300-200)/(17-10))*(V542/1000-10),IF((V542/1000)&lt;=34,300+((400-300)/(34-17))*(V542/1000-17),IF((V542/1000)&lt;=57,400+((500-400)/(57-34))*(V542/1000-34),500)))))))</f>
        <v>8.9</v>
      </c>
      <c r="AI542" s="4" t="n">
        <f aca="false">IF(W542="","",IF(W542&lt;=40,(50/40)*W542,IF(W542&lt;=80,50+((100-50)/(80-40))*(W542-40),IF(W542&lt;=180,100+((200-100)/(180-80))*(W542-80),IF(W542&lt;=280,200+((300-200)/(280-180))*(W542-180),IF(W542&lt;=400,300+((400-300)/(400-280))*(W542-280),IF(W542&lt;=800,400+((500-400)/(800-400))*(W542-400),500)))))))</f>
        <v>5</v>
      </c>
      <c r="AJ542" s="4" t="n">
        <f aca="false">IF(X542="","",IF(X542&lt;=40,(50/40)*X542,IF(X542&lt;=80,50+((100-50)/(80-40))*(X542-40),IF(X542&lt;=380,100+((200-100)/(380-80))*(X542-80),IF(X542&lt;=800,200+((300-200)/(800-380))*(X542-380),IF(X542&lt;=1600,300+((400-300)/(1600-800))*(X542-800),IF(X542&lt;=2100,400+((500-400)/(2100-1600))*(X542-1600),500)))))))</f>
        <v>17.375</v>
      </c>
      <c r="AK542" s="4" t="n">
        <f aca="false">IF(Y542="","",IF(Y542&lt;=50,(50/50)*Y542,IF(Y542&lt;=100,50+((100-50)/(100-50))*(Y542-50),IF(Y542&lt;=168,100+((200-100)/(168-100))*(Y542-100),IF(Y542&lt;=208,200+((300-200)/(208-168))*(Y542-168),IF(Y542&lt;=748,300+((400-300)/(748-208))*(Y542-208),IF(Y542&lt;=1000,400+((500-400)/(1000-748))*(Y542-748),500)))))))</f>
        <v>207.5</v>
      </c>
      <c r="AL542" s="4" t="n">
        <f aca="false">ROUND(MAX(AF542,AG542,AH542,AI542,AJ542,AK542),0)</f>
        <v>245</v>
      </c>
      <c r="AM542" s="4" t="str">
        <f aca="false">IF(AL542="","",IF(AL542&lt;=50,"Good",IF(AL542&lt;=100,"Satisfactory",IF(AL542&lt;=200,"Moderate",IF(AL542&lt;=300,"Poor",IF(AL542&lt;=400,"Very Poor","Severe"))))))</f>
        <v>Poor</v>
      </c>
    </row>
    <row r="543" customFormat="false" ht="15.75" hidden="false" customHeight="false" outlineLevel="0" collapsed="false">
      <c r="A543" s="1" t="s">
        <v>39</v>
      </c>
      <c r="B543" s="1" t="s">
        <v>40</v>
      </c>
      <c r="C543" s="1" t="n">
        <v>28.4595</v>
      </c>
      <c r="D543" s="1" t="n">
        <v>77.0266</v>
      </c>
      <c r="E543" s="5" t="n">
        <v>45923</v>
      </c>
      <c r="F543" s="6" t="s">
        <v>64</v>
      </c>
      <c r="G543" s="1" t="n">
        <v>9</v>
      </c>
      <c r="H543" s="7" t="s">
        <v>78</v>
      </c>
      <c r="I543" s="6" t="s">
        <v>43</v>
      </c>
      <c r="J543" s="7" t="s">
        <v>44</v>
      </c>
      <c r="K543" s="7" t="s">
        <v>65</v>
      </c>
      <c r="L543" s="1" t="n">
        <v>37</v>
      </c>
      <c r="M543" s="1" t="n">
        <v>18.3</v>
      </c>
      <c r="N543" s="1" t="n">
        <v>44.3</v>
      </c>
      <c r="O543" s="1" t="n">
        <v>0</v>
      </c>
      <c r="P543" s="6" t="s">
        <v>43</v>
      </c>
      <c r="Q543" s="6" t="s">
        <v>43</v>
      </c>
      <c r="R543" s="1" t="n">
        <v>1004.4</v>
      </c>
      <c r="S543" s="1" t="n">
        <v>7</v>
      </c>
      <c r="T543" s="1" t="n">
        <v>44.2</v>
      </c>
      <c r="U543" s="1" t="n">
        <v>308.3</v>
      </c>
      <c r="V543" s="1" t="n">
        <v>175</v>
      </c>
      <c r="W543" s="1" t="n">
        <v>3.4</v>
      </c>
      <c r="X543" s="1" t="n">
        <v>12.9</v>
      </c>
      <c r="Y543" s="1" t="n">
        <v>165</v>
      </c>
      <c r="Z543" s="1" t="n">
        <v>514</v>
      </c>
      <c r="AA543" s="1" t="n">
        <v>157</v>
      </c>
      <c r="AB543" s="7" t="s">
        <v>81</v>
      </c>
      <c r="AC543" s="7" t="s">
        <v>48</v>
      </c>
      <c r="AD543" s="6" t="s">
        <v>43</v>
      </c>
      <c r="AE543" s="6" t="s">
        <v>43</v>
      </c>
      <c r="AF543" s="4" t="n">
        <f aca="false">IF(T543="","",IF(T543&lt;=30,(50/30)*T543,IF(T543&lt;=60,50+((100-50)/(60-30))*(T543-30),IF(T543&lt;=90,100+((200-100)/(90-60))*(T543-60),IF(T543&lt;=120,200+((300-200)/(120-90))*(T543-90),IF(T543&lt;=250,300+((400-300)/(250-120))*(T543-120),IF(T543&lt;=380,400+((500-400)/(380-250))*(T543-250),500)))))))</f>
        <v>73.6666666666667</v>
      </c>
      <c r="AG543" s="4" t="n">
        <f aca="false">IF(U543="","",IF(U543&lt;=50,(50/50)*U543,IF(U543&lt;=100,50+((100-50)/(100-50))*(U543-50),IF(U543&lt;=250,100+((200-100)/(250-100))*(U543-100),IF(U543&lt;=350,200+((300-200)/(350-250))*(U543-250),IF(U543&lt;=430,300+((400-300)/(430-350))*(U543-350),IF(U543&lt;=600,400+((500-400)/(600-430))*(U543-430),500)))))))</f>
        <v>258.3</v>
      </c>
      <c r="AH543" s="4" t="n">
        <f aca="false">IF(V543="","",IF((V543/1000)&lt;=1,(50/1)*(V543/1000),IF((V543/1000)&lt;=2,50+((100-50)/(2-1))*(V543/1000-1),IF((V543/1000)&lt;=10,100+((200-100)/(10-2))*(V543/1000-2),IF((V543/1000)&lt;=17,200+((300-200)/(17-10))*(V543/1000-10),IF((V543/1000)&lt;=34,300+((400-300)/(34-17))*(V543/1000-17),IF((V543/1000)&lt;=57,400+((500-400)/(57-34))*(V543/1000-34),500)))))))</f>
        <v>8.75</v>
      </c>
      <c r="AI543" s="4" t="n">
        <f aca="false">IF(W543="","",IF(W543&lt;=40,(50/40)*W543,IF(W543&lt;=80,50+((100-50)/(80-40))*(W543-40),IF(W543&lt;=180,100+((200-100)/(180-80))*(W543-80),IF(W543&lt;=280,200+((300-200)/(280-180))*(W543-180),IF(W543&lt;=400,300+((400-300)/(400-280))*(W543-280),IF(W543&lt;=800,400+((500-400)/(800-400))*(W543-400),500)))))))</f>
        <v>4.25</v>
      </c>
      <c r="AJ543" s="4" t="n">
        <f aca="false">IF(X543="","",IF(X543&lt;=40,(50/40)*X543,IF(X543&lt;=80,50+((100-50)/(80-40))*(X543-40),IF(X543&lt;=380,100+((200-100)/(380-80))*(X543-80),IF(X543&lt;=800,200+((300-200)/(800-380))*(X543-380),IF(X543&lt;=1600,300+((400-300)/(1600-800))*(X543-800),IF(X543&lt;=2100,400+((500-400)/(2100-1600))*(X543-1600),500)))))))</f>
        <v>16.125</v>
      </c>
      <c r="AK543" s="4" t="n">
        <f aca="false">IF(Y543="","",IF(Y543&lt;=50,(50/50)*Y543,IF(Y543&lt;=100,50+((100-50)/(100-50))*(Y543-50),IF(Y543&lt;=168,100+((200-100)/(168-100))*(Y543-100),IF(Y543&lt;=208,200+((300-200)/(208-168))*(Y543-168),IF(Y543&lt;=748,300+((400-300)/(748-208))*(Y543-208),IF(Y543&lt;=1000,400+((500-400)/(1000-748))*(Y543-748),500)))))))</f>
        <v>195.588235294118</v>
      </c>
      <c r="AL543" s="4" t="n">
        <f aca="false">ROUND(MAX(AF543,AG543,AH543,AI543,AJ543,AK543),0)</f>
        <v>258</v>
      </c>
      <c r="AM543" s="4" t="str">
        <f aca="false">IF(AL543="","",IF(AL543&lt;=50,"Good",IF(AL543&lt;=100,"Satisfactory",IF(AL543&lt;=200,"Moderate",IF(AL543&lt;=300,"Poor",IF(AL543&lt;=400,"Very Poor","Severe"))))))</f>
        <v>Poor</v>
      </c>
    </row>
    <row r="544" customFormat="false" ht="15.75" hidden="false" customHeight="false" outlineLevel="0" collapsed="false">
      <c r="A544" s="1" t="s">
        <v>39</v>
      </c>
      <c r="B544" s="1" t="s">
        <v>40</v>
      </c>
      <c r="C544" s="1" t="n">
        <v>28.4595</v>
      </c>
      <c r="D544" s="1" t="n">
        <v>77.0266</v>
      </c>
      <c r="E544" s="5" t="n">
        <v>45923</v>
      </c>
      <c r="F544" s="6" t="s">
        <v>66</v>
      </c>
      <c r="G544" s="1" t="n">
        <v>9</v>
      </c>
      <c r="H544" s="7" t="s">
        <v>78</v>
      </c>
      <c r="I544" s="6" t="s">
        <v>43</v>
      </c>
      <c r="J544" s="7" t="s">
        <v>44</v>
      </c>
      <c r="K544" s="7" t="s">
        <v>65</v>
      </c>
      <c r="L544" s="1" t="n">
        <v>35</v>
      </c>
      <c r="M544" s="1" t="n">
        <v>17.7</v>
      </c>
      <c r="N544" s="1" t="n">
        <v>43.6</v>
      </c>
      <c r="O544" s="1" t="n">
        <v>0</v>
      </c>
      <c r="P544" s="6" t="s">
        <v>43</v>
      </c>
      <c r="Q544" s="6" t="s">
        <v>43</v>
      </c>
      <c r="R544" s="1" t="n">
        <v>1003.2</v>
      </c>
      <c r="S544" s="1" t="n">
        <v>2</v>
      </c>
      <c r="T544" s="1" t="n">
        <v>44.8</v>
      </c>
      <c r="U544" s="1" t="n">
        <v>317.6</v>
      </c>
      <c r="V544" s="1" t="n">
        <v>189</v>
      </c>
      <c r="W544" s="1" t="n">
        <v>4.5</v>
      </c>
      <c r="X544" s="1" t="n">
        <v>12.2</v>
      </c>
      <c r="Y544" s="1" t="n">
        <v>156</v>
      </c>
      <c r="Z544" s="1" t="n">
        <v>541</v>
      </c>
      <c r="AA544" s="1" t="n">
        <v>159</v>
      </c>
      <c r="AB544" s="7" t="s">
        <v>81</v>
      </c>
      <c r="AC544" s="7" t="s">
        <v>48</v>
      </c>
      <c r="AD544" s="6" t="s">
        <v>43</v>
      </c>
      <c r="AE544" s="6" t="s">
        <v>43</v>
      </c>
      <c r="AF544" s="4" t="n">
        <f aca="false">IF(T544="","",IF(T544&lt;=30,(50/30)*T544,IF(T544&lt;=60,50+((100-50)/(60-30))*(T544-30),IF(T544&lt;=90,100+((200-100)/(90-60))*(T544-60),IF(T544&lt;=120,200+((300-200)/(120-90))*(T544-90),IF(T544&lt;=250,300+((400-300)/(250-120))*(T544-120),IF(T544&lt;=380,400+((500-400)/(380-250))*(T544-250),500)))))))</f>
        <v>74.6666666666667</v>
      </c>
      <c r="AG544" s="4" t="n">
        <f aca="false">IF(U544="","",IF(U544&lt;=50,(50/50)*U544,IF(U544&lt;=100,50+((100-50)/(100-50))*(U544-50),IF(U544&lt;=250,100+((200-100)/(250-100))*(U544-100),IF(U544&lt;=350,200+((300-200)/(350-250))*(U544-250),IF(U544&lt;=430,300+((400-300)/(430-350))*(U544-350),IF(U544&lt;=600,400+((500-400)/(600-430))*(U544-430),500)))))))</f>
        <v>267.6</v>
      </c>
      <c r="AH544" s="4" t="n">
        <f aca="false">IF(V544="","",IF((V544/1000)&lt;=1,(50/1)*(V544/1000),IF((V544/1000)&lt;=2,50+((100-50)/(2-1))*(V544/1000-1),IF((V544/1000)&lt;=10,100+((200-100)/(10-2))*(V544/1000-2),IF((V544/1000)&lt;=17,200+((300-200)/(17-10))*(V544/1000-10),IF((V544/1000)&lt;=34,300+((400-300)/(34-17))*(V544/1000-17),IF((V544/1000)&lt;=57,400+((500-400)/(57-34))*(V544/1000-34),500)))))))</f>
        <v>9.45</v>
      </c>
      <c r="AI544" s="4" t="n">
        <f aca="false">IF(W544="","",IF(W544&lt;=40,(50/40)*W544,IF(W544&lt;=80,50+((100-50)/(80-40))*(W544-40),IF(W544&lt;=180,100+((200-100)/(180-80))*(W544-80),IF(W544&lt;=280,200+((300-200)/(280-180))*(W544-180),IF(W544&lt;=400,300+((400-300)/(400-280))*(W544-280),IF(W544&lt;=800,400+((500-400)/(800-400))*(W544-400),500)))))))</f>
        <v>5.625</v>
      </c>
      <c r="AJ544" s="4" t="n">
        <f aca="false">IF(X544="","",IF(X544&lt;=40,(50/40)*X544,IF(X544&lt;=80,50+((100-50)/(80-40))*(X544-40),IF(X544&lt;=380,100+((200-100)/(380-80))*(X544-80),IF(X544&lt;=800,200+((300-200)/(800-380))*(X544-380),IF(X544&lt;=1600,300+((400-300)/(1600-800))*(X544-800),IF(X544&lt;=2100,400+((500-400)/(2100-1600))*(X544-1600),500)))))))</f>
        <v>15.25</v>
      </c>
      <c r="AK544" s="4" t="n">
        <f aca="false">IF(Y544="","",IF(Y544&lt;=50,(50/50)*Y544,IF(Y544&lt;=100,50+((100-50)/(100-50))*(Y544-50),IF(Y544&lt;=168,100+((200-100)/(168-100))*(Y544-100),IF(Y544&lt;=208,200+((300-200)/(208-168))*(Y544-168),IF(Y544&lt;=748,300+((400-300)/(748-208))*(Y544-208),IF(Y544&lt;=1000,400+((500-400)/(1000-748))*(Y544-748),500)))))))</f>
        <v>182.352941176471</v>
      </c>
      <c r="AL544" s="4" t="n">
        <f aca="false">ROUND(MAX(AF544,AG544,AH544,AI544,AJ544,AK544),0)</f>
        <v>268</v>
      </c>
      <c r="AM544" s="4" t="str">
        <f aca="false">IF(AL544="","",IF(AL544&lt;=50,"Good",IF(AL544&lt;=100,"Satisfactory",IF(AL544&lt;=200,"Moderate",IF(AL544&lt;=300,"Poor",IF(AL544&lt;=400,"Very Poor","Severe"))))))</f>
        <v>Poor</v>
      </c>
    </row>
    <row r="545" customFormat="false" ht="15.75" hidden="false" customHeight="false" outlineLevel="0" collapsed="false">
      <c r="A545" s="1" t="s">
        <v>39</v>
      </c>
      <c r="B545" s="1" t="s">
        <v>40</v>
      </c>
      <c r="C545" s="1" t="n">
        <v>28.4595</v>
      </c>
      <c r="D545" s="1" t="n">
        <v>77.0266</v>
      </c>
      <c r="E545" s="5" t="n">
        <v>45923</v>
      </c>
      <c r="F545" s="6" t="s">
        <v>67</v>
      </c>
      <c r="G545" s="1" t="n">
        <v>9</v>
      </c>
      <c r="H545" s="7" t="s">
        <v>78</v>
      </c>
      <c r="I545" s="6" t="s">
        <v>43</v>
      </c>
      <c r="J545" s="7" t="s">
        <v>44</v>
      </c>
      <c r="K545" s="7" t="s">
        <v>65</v>
      </c>
      <c r="L545" s="1" t="n">
        <v>36</v>
      </c>
      <c r="M545" s="1" t="n">
        <v>17.7</v>
      </c>
      <c r="N545" s="1" t="n">
        <v>41.8</v>
      </c>
      <c r="O545" s="1" t="n">
        <v>0</v>
      </c>
      <c r="P545" s="6" t="s">
        <v>43</v>
      </c>
      <c r="Q545" s="6" t="s">
        <v>43</v>
      </c>
      <c r="R545" s="1" t="n">
        <v>1002.6</v>
      </c>
      <c r="S545" s="1" t="n">
        <v>1</v>
      </c>
      <c r="T545" s="1" t="n">
        <v>46.3</v>
      </c>
      <c r="U545" s="1" t="n">
        <v>333.4</v>
      </c>
      <c r="V545" s="1" t="n">
        <v>214</v>
      </c>
      <c r="W545" s="1" t="n">
        <v>7.1</v>
      </c>
      <c r="X545" s="1" t="n">
        <v>11.6</v>
      </c>
      <c r="Y545" s="1" t="n">
        <v>146</v>
      </c>
      <c r="Z545" s="1" t="n">
        <v>562</v>
      </c>
      <c r="AA545" s="1" t="n">
        <v>160</v>
      </c>
      <c r="AB545" s="7" t="s">
        <v>81</v>
      </c>
      <c r="AC545" s="7" t="s">
        <v>48</v>
      </c>
      <c r="AD545" s="6" t="s">
        <v>43</v>
      </c>
      <c r="AE545" s="6" t="s">
        <v>43</v>
      </c>
      <c r="AF545" s="4" t="n">
        <f aca="false">IF(T545="","",IF(T545&lt;=30,(50/30)*T545,IF(T545&lt;=60,50+((100-50)/(60-30))*(T545-30),IF(T545&lt;=90,100+((200-100)/(90-60))*(T545-60),IF(T545&lt;=120,200+((300-200)/(120-90))*(T545-90),IF(T545&lt;=250,300+((400-300)/(250-120))*(T545-120),IF(T545&lt;=380,400+((500-400)/(380-250))*(T545-250),500)))))))</f>
        <v>77.1666666666667</v>
      </c>
      <c r="AG545" s="4" t="n">
        <f aca="false">IF(U545="","",IF(U545&lt;=50,(50/50)*U545,IF(U545&lt;=100,50+((100-50)/(100-50))*(U545-50),IF(U545&lt;=250,100+((200-100)/(250-100))*(U545-100),IF(U545&lt;=350,200+((300-200)/(350-250))*(U545-250),IF(U545&lt;=430,300+((400-300)/(430-350))*(U545-350),IF(U545&lt;=600,400+((500-400)/(600-430))*(U545-430),500)))))))</f>
        <v>283.4</v>
      </c>
      <c r="AH545" s="4" t="n">
        <f aca="false">IF(V545="","",IF((V545/1000)&lt;=1,(50/1)*(V545/1000),IF((V545/1000)&lt;=2,50+((100-50)/(2-1))*(V545/1000-1),IF((V545/1000)&lt;=10,100+((200-100)/(10-2))*(V545/1000-2),IF((V545/1000)&lt;=17,200+((300-200)/(17-10))*(V545/1000-10),IF((V545/1000)&lt;=34,300+((400-300)/(34-17))*(V545/1000-17),IF((V545/1000)&lt;=57,400+((500-400)/(57-34))*(V545/1000-34),500)))))))</f>
        <v>10.7</v>
      </c>
      <c r="AI545" s="4" t="n">
        <f aca="false">IF(W545="","",IF(W545&lt;=40,(50/40)*W545,IF(W545&lt;=80,50+((100-50)/(80-40))*(W545-40),IF(W545&lt;=180,100+((200-100)/(180-80))*(W545-80),IF(W545&lt;=280,200+((300-200)/(280-180))*(W545-180),IF(W545&lt;=400,300+((400-300)/(400-280))*(W545-280),IF(W545&lt;=800,400+((500-400)/(800-400))*(W545-400),500)))))))</f>
        <v>8.875</v>
      </c>
      <c r="AJ545" s="4" t="n">
        <f aca="false">IF(X545="","",IF(X545&lt;=40,(50/40)*X545,IF(X545&lt;=80,50+((100-50)/(80-40))*(X545-40),IF(X545&lt;=380,100+((200-100)/(380-80))*(X545-80),IF(X545&lt;=800,200+((300-200)/(800-380))*(X545-380),IF(X545&lt;=1600,300+((400-300)/(1600-800))*(X545-800),IF(X545&lt;=2100,400+((500-400)/(2100-1600))*(X545-1600),500)))))))</f>
        <v>14.5</v>
      </c>
      <c r="AK545" s="4" t="n">
        <f aca="false">IF(Y545="","",IF(Y545&lt;=50,(50/50)*Y545,IF(Y545&lt;=100,50+((100-50)/(100-50))*(Y545-50),IF(Y545&lt;=168,100+((200-100)/(168-100))*(Y545-100),IF(Y545&lt;=208,200+((300-200)/(208-168))*(Y545-168),IF(Y545&lt;=748,300+((400-300)/(748-208))*(Y545-208),IF(Y545&lt;=1000,400+((500-400)/(1000-748))*(Y545-748),500)))))))</f>
        <v>167.647058823529</v>
      </c>
      <c r="AL545" s="4" t="n">
        <f aca="false">ROUND(MAX(AF545,AG545,AH545,AI545,AJ545,AK545),0)</f>
        <v>283</v>
      </c>
      <c r="AM545" s="4" t="str">
        <f aca="false">IF(AL545="","",IF(AL545&lt;=50,"Good",IF(AL545&lt;=100,"Satisfactory",IF(AL545&lt;=200,"Moderate",IF(AL545&lt;=300,"Poor",IF(AL545&lt;=400,"Very Poor","Severe"))))))</f>
        <v>Poor</v>
      </c>
    </row>
    <row r="546" customFormat="false" ht="15.75" hidden="false" customHeight="false" outlineLevel="0" collapsed="false">
      <c r="A546" s="1" t="s">
        <v>39</v>
      </c>
      <c r="B546" s="1" t="s">
        <v>40</v>
      </c>
      <c r="C546" s="1" t="n">
        <v>28.4595</v>
      </c>
      <c r="D546" s="1" t="n">
        <v>77.0266</v>
      </c>
      <c r="E546" s="5" t="n">
        <v>45923</v>
      </c>
      <c r="F546" s="6" t="s">
        <v>68</v>
      </c>
      <c r="G546" s="1" t="n">
        <v>9</v>
      </c>
      <c r="H546" s="7" t="s">
        <v>78</v>
      </c>
      <c r="I546" s="6" t="s">
        <v>43</v>
      </c>
      <c r="J546" s="7" t="s">
        <v>44</v>
      </c>
      <c r="K546" s="7" t="s">
        <v>65</v>
      </c>
      <c r="L546" s="1" t="n">
        <v>37</v>
      </c>
      <c r="M546" s="1" t="n">
        <v>17.5</v>
      </c>
      <c r="N546" s="1" t="n">
        <v>41</v>
      </c>
      <c r="O546" s="1" t="n">
        <v>0</v>
      </c>
      <c r="P546" s="6" t="s">
        <v>43</v>
      </c>
      <c r="Q546" s="6" t="s">
        <v>43</v>
      </c>
      <c r="R546" s="1" t="n">
        <v>1002.1</v>
      </c>
      <c r="S546" s="1" t="n">
        <v>0</v>
      </c>
      <c r="T546" s="1" t="n">
        <v>48.5</v>
      </c>
      <c r="U546" s="1" t="n">
        <v>341.8</v>
      </c>
      <c r="V546" s="1" t="n">
        <v>255</v>
      </c>
      <c r="W546" s="1" t="n">
        <v>11.4</v>
      </c>
      <c r="X546" s="1" t="n">
        <v>11.3</v>
      </c>
      <c r="Y546" s="1" t="n">
        <v>133</v>
      </c>
      <c r="Z546" s="1" t="n">
        <v>575</v>
      </c>
      <c r="AA546" s="1" t="n">
        <v>162</v>
      </c>
      <c r="AB546" s="7" t="s">
        <v>81</v>
      </c>
      <c r="AC546" s="7" t="s">
        <v>48</v>
      </c>
      <c r="AD546" s="6" t="s">
        <v>43</v>
      </c>
      <c r="AE546" s="6" t="s">
        <v>43</v>
      </c>
      <c r="AF546" s="4" t="n">
        <f aca="false">IF(T546="","",IF(T546&lt;=30,(50/30)*T546,IF(T546&lt;=60,50+((100-50)/(60-30))*(T546-30),IF(T546&lt;=90,100+((200-100)/(90-60))*(T546-60),IF(T546&lt;=120,200+((300-200)/(120-90))*(T546-90),IF(T546&lt;=250,300+((400-300)/(250-120))*(T546-120),IF(T546&lt;=380,400+((500-400)/(380-250))*(T546-250),500)))))))</f>
        <v>80.8333333333333</v>
      </c>
      <c r="AG546" s="4" t="n">
        <f aca="false">IF(U546="","",IF(U546&lt;=50,(50/50)*U546,IF(U546&lt;=100,50+((100-50)/(100-50))*(U546-50),IF(U546&lt;=250,100+((200-100)/(250-100))*(U546-100),IF(U546&lt;=350,200+((300-200)/(350-250))*(U546-250),IF(U546&lt;=430,300+((400-300)/(430-350))*(U546-350),IF(U546&lt;=600,400+((500-400)/(600-430))*(U546-430),500)))))))</f>
        <v>291.8</v>
      </c>
      <c r="AH546" s="4" t="n">
        <f aca="false">IF(V546="","",IF((V546/1000)&lt;=1,(50/1)*(V546/1000),IF((V546/1000)&lt;=2,50+((100-50)/(2-1))*(V546/1000-1),IF((V546/1000)&lt;=10,100+((200-100)/(10-2))*(V546/1000-2),IF((V546/1000)&lt;=17,200+((300-200)/(17-10))*(V546/1000-10),IF((V546/1000)&lt;=34,300+((400-300)/(34-17))*(V546/1000-17),IF((V546/1000)&lt;=57,400+((500-400)/(57-34))*(V546/1000-34),500)))))))</f>
        <v>12.75</v>
      </c>
      <c r="AI546" s="4" t="n">
        <f aca="false">IF(W546="","",IF(W546&lt;=40,(50/40)*W546,IF(W546&lt;=80,50+((100-50)/(80-40))*(W546-40),IF(W546&lt;=180,100+((200-100)/(180-80))*(W546-80),IF(W546&lt;=280,200+((300-200)/(280-180))*(W546-180),IF(W546&lt;=400,300+((400-300)/(400-280))*(W546-280),IF(W546&lt;=800,400+((500-400)/(800-400))*(W546-400),500)))))))</f>
        <v>14.25</v>
      </c>
      <c r="AJ546" s="4" t="n">
        <f aca="false">IF(X546="","",IF(X546&lt;=40,(50/40)*X546,IF(X546&lt;=80,50+((100-50)/(80-40))*(X546-40),IF(X546&lt;=380,100+((200-100)/(380-80))*(X546-80),IF(X546&lt;=800,200+((300-200)/(800-380))*(X546-380),IF(X546&lt;=1600,300+((400-300)/(1600-800))*(X546-800),IF(X546&lt;=2100,400+((500-400)/(2100-1600))*(X546-1600),500)))))))</f>
        <v>14.125</v>
      </c>
      <c r="AK546" s="4" t="n">
        <f aca="false">IF(Y546="","",IF(Y546&lt;=50,(50/50)*Y546,IF(Y546&lt;=100,50+((100-50)/(100-50))*(Y546-50),IF(Y546&lt;=168,100+((200-100)/(168-100))*(Y546-100),IF(Y546&lt;=208,200+((300-200)/(208-168))*(Y546-168),IF(Y546&lt;=748,300+((400-300)/(748-208))*(Y546-208),IF(Y546&lt;=1000,400+((500-400)/(1000-748))*(Y546-748),500)))))))</f>
        <v>148.529411764706</v>
      </c>
      <c r="AL546" s="4" t="n">
        <f aca="false">ROUND(MAX(AF546,AG546,AH546,AI546,AJ546,AK546),0)</f>
        <v>292</v>
      </c>
      <c r="AM546" s="4" t="str">
        <f aca="false">IF(AL546="","",IF(AL546&lt;=50,"Good",IF(AL546&lt;=100,"Satisfactory",IF(AL546&lt;=200,"Moderate",IF(AL546&lt;=300,"Poor",IF(AL546&lt;=400,"Very Poor","Severe"))))))</f>
        <v>Poor</v>
      </c>
    </row>
    <row r="547" customFormat="false" ht="15.75" hidden="false" customHeight="false" outlineLevel="0" collapsed="false">
      <c r="A547" s="1" t="s">
        <v>39</v>
      </c>
      <c r="B547" s="1" t="s">
        <v>40</v>
      </c>
      <c r="C547" s="1" t="n">
        <v>28.4595</v>
      </c>
      <c r="D547" s="1" t="n">
        <v>77.0266</v>
      </c>
      <c r="E547" s="5" t="n">
        <v>45923</v>
      </c>
      <c r="F547" s="6" t="s">
        <v>69</v>
      </c>
      <c r="G547" s="1" t="n">
        <v>9</v>
      </c>
      <c r="H547" s="7" t="s">
        <v>78</v>
      </c>
      <c r="I547" s="6" t="s">
        <v>43</v>
      </c>
      <c r="J547" s="7" t="s">
        <v>44</v>
      </c>
      <c r="K547" s="7" t="s">
        <v>65</v>
      </c>
      <c r="L547" s="1" t="n">
        <v>42</v>
      </c>
      <c r="M547" s="1" t="n">
        <v>18.4</v>
      </c>
      <c r="N547" s="1" t="n">
        <v>37.1</v>
      </c>
      <c r="O547" s="1" t="n">
        <v>0</v>
      </c>
      <c r="P547" s="6" t="s">
        <v>43</v>
      </c>
      <c r="Q547" s="6" t="s">
        <v>43</v>
      </c>
      <c r="R547" s="1" t="n">
        <v>1002.1</v>
      </c>
      <c r="S547" s="1" t="n">
        <v>0</v>
      </c>
      <c r="T547" s="1" t="n">
        <v>56.1</v>
      </c>
      <c r="U547" s="1" t="n">
        <v>400.5</v>
      </c>
      <c r="V547" s="1" t="n">
        <v>317</v>
      </c>
      <c r="W547" s="1" t="n">
        <v>17.2</v>
      </c>
      <c r="X547" s="1" t="n">
        <v>13.1</v>
      </c>
      <c r="Y547" s="1" t="n">
        <v>115</v>
      </c>
      <c r="Z547" s="1" t="n">
        <v>679</v>
      </c>
      <c r="AA547" s="1" t="n">
        <v>163</v>
      </c>
      <c r="AB547" s="7" t="s">
        <v>81</v>
      </c>
      <c r="AC547" s="7" t="s">
        <v>48</v>
      </c>
      <c r="AD547" s="6" t="s">
        <v>43</v>
      </c>
      <c r="AE547" s="6" t="s">
        <v>43</v>
      </c>
      <c r="AF547" s="4" t="n">
        <f aca="false">IF(T547="","",IF(T547&lt;=30,(50/30)*T547,IF(T547&lt;=60,50+((100-50)/(60-30))*(T547-30),IF(T547&lt;=90,100+((200-100)/(90-60))*(T547-60),IF(T547&lt;=120,200+((300-200)/(120-90))*(T547-90),IF(T547&lt;=250,300+((400-300)/(250-120))*(T547-120),IF(T547&lt;=380,400+((500-400)/(380-250))*(T547-250),500)))))))</f>
        <v>93.5</v>
      </c>
      <c r="AG547" s="4" t="n">
        <f aca="false">IF(U547="","",IF(U547&lt;=50,(50/50)*U547,IF(U547&lt;=100,50+((100-50)/(100-50))*(U547-50),IF(U547&lt;=250,100+((200-100)/(250-100))*(U547-100),IF(U547&lt;=350,200+((300-200)/(350-250))*(U547-250),IF(U547&lt;=430,300+((400-300)/(430-350))*(U547-350),IF(U547&lt;=600,400+((500-400)/(600-430))*(U547-430),500)))))))</f>
        <v>363.125</v>
      </c>
      <c r="AH547" s="4" t="n">
        <f aca="false">IF(V547="","",IF((V547/1000)&lt;=1,(50/1)*(V547/1000),IF((V547/1000)&lt;=2,50+((100-50)/(2-1))*(V547/1000-1),IF((V547/1000)&lt;=10,100+((200-100)/(10-2))*(V547/1000-2),IF((V547/1000)&lt;=17,200+((300-200)/(17-10))*(V547/1000-10),IF((V547/1000)&lt;=34,300+((400-300)/(34-17))*(V547/1000-17),IF((V547/1000)&lt;=57,400+((500-400)/(57-34))*(V547/1000-34),500)))))))</f>
        <v>15.85</v>
      </c>
      <c r="AI547" s="4" t="n">
        <f aca="false">IF(W547="","",IF(W547&lt;=40,(50/40)*W547,IF(W547&lt;=80,50+((100-50)/(80-40))*(W547-40),IF(W547&lt;=180,100+((200-100)/(180-80))*(W547-80),IF(W547&lt;=280,200+((300-200)/(280-180))*(W547-180),IF(W547&lt;=400,300+((400-300)/(400-280))*(W547-280),IF(W547&lt;=800,400+((500-400)/(800-400))*(W547-400),500)))))))</f>
        <v>21.5</v>
      </c>
      <c r="AJ547" s="4" t="n">
        <f aca="false">IF(X547="","",IF(X547&lt;=40,(50/40)*X547,IF(X547&lt;=80,50+((100-50)/(80-40))*(X547-40),IF(X547&lt;=380,100+((200-100)/(380-80))*(X547-80),IF(X547&lt;=800,200+((300-200)/(800-380))*(X547-380),IF(X547&lt;=1600,300+((400-300)/(1600-800))*(X547-800),IF(X547&lt;=2100,400+((500-400)/(2100-1600))*(X547-1600),500)))))))</f>
        <v>16.375</v>
      </c>
      <c r="AK547" s="4" t="n">
        <f aca="false">IF(Y547="","",IF(Y547&lt;=50,(50/50)*Y547,IF(Y547&lt;=100,50+((100-50)/(100-50))*(Y547-50),IF(Y547&lt;=168,100+((200-100)/(168-100))*(Y547-100),IF(Y547&lt;=208,200+((300-200)/(208-168))*(Y547-168),IF(Y547&lt;=748,300+((400-300)/(748-208))*(Y547-208),IF(Y547&lt;=1000,400+((500-400)/(1000-748))*(Y547-748),500)))))))</f>
        <v>122.058823529412</v>
      </c>
      <c r="AL547" s="4" t="n">
        <f aca="false">ROUND(MAX(AF547,AG547,AH547,AI547,AJ547,AK547),0)</f>
        <v>363</v>
      </c>
      <c r="AM547" s="4" t="str">
        <f aca="false">IF(AL547="","",IF(AL547&lt;=50,"Good",IF(AL547&lt;=100,"Satisfactory",IF(AL547&lt;=200,"Moderate",IF(AL547&lt;=300,"Poor",IF(AL547&lt;=400,"Very Poor","Severe"))))))</f>
        <v>Very Poor</v>
      </c>
    </row>
    <row r="548" customFormat="false" ht="15.75" hidden="false" customHeight="false" outlineLevel="0" collapsed="false">
      <c r="A548" s="1" t="s">
        <v>39</v>
      </c>
      <c r="B548" s="1" t="s">
        <v>40</v>
      </c>
      <c r="C548" s="1" t="n">
        <v>28.4595</v>
      </c>
      <c r="D548" s="1" t="n">
        <v>77.0266</v>
      </c>
      <c r="E548" s="5" t="n">
        <v>45923</v>
      </c>
      <c r="F548" s="6" t="s">
        <v>70</v>
      </c>
      <c r="G548" s="1" t="n">
        <v>9</v>
      </c>
      <c r="H548" s="7" t="s">
        <v>78</v>
      </c>
      <c r="I548" s="6" t="s">
        <v>43</v>
      </c>
      <c r="J548" s="7" t="s">
        <v>44</v>
      </c>
      <c r="K548" s="7" t="s">
        <v>71</v>
      </c>
      <c r="L548" s="1" t="n">
        <v>46</v>
      </c>
      <c r="M548" s="1" t="n">
        <v>18.5</v>
      </c>
      <c r="N548" s="1" t="n">
        <v>28.8</v>
      </c>
      <c r="O548" s="1" t="n">
        <v>0</v>
      </c>
      <c r="P548" s="6" t="s">
        <v>43</v>
      </c>
      <c r="Q548" s="6" t="s">
        <v>43</v>
      </c>
      <c r="R548" s="1" t="n">
        <v>1003</v>
      </c>
      <c r="S548" s="1" t="n">
        <v>0</v>
      </c>
      <c r="T548" s="1" t="n">
        <v>58.8</v>
      </c>
      <c r="U548" s="1" t="n">
        <v>364.1</v>
      </c>
      <c r="V548" s="1" t="n">
        <v>422</v>
      </c>
      <c r="W548" s="1" t="n">
        <v>23.5</v>
      </c>
      <c r="X548" s="1" t="n">
        <v>15.5</v>
      </c>
      <c r="Y548" s="1" t="n">
        <v>101</v>
      </c>
      <c r="Z548" s="1" t="n">
        <v>618</v>
      </c>
      <c r="AA548" s="1" t="n">
        <v>162</v>
      </c>
      <c r="AB548" s="7" t="s">
        <v>81</v>
      </c>
      <c r="AC548" s="7" t="s">
        <v>48</v>
      </c>
      <c r="AD548" s="6" t="s">
        <v>43</v>
      </c>
      <c r="AE548" s="6" t="s">
        <v>43</v>
      </c>
      <c r="AF548" s="4" t="n">
        <f aca="false">IF(T548="","",IF(T548&lt;=30,(50/30)*T548,IF(T548&lt;=60,50+((100-50)/(60-30))*(T548-30),IF(T548&lt;=90,100+((200-100)/(90-60))*(T548-60),IF(T548&lt;=120,200+((300-200)/(120-90))*(T548-90),IF(T548&lt;=250,300+((400-300)/(250-120))*(T548-120),IF(T548&lt;=380,400+((500-400)/(380-250))*(T548-250),500)))))))</f>
        <v>98</v>
      </c>
      <c r="AG548" s="4" t="n">
        <f aca="false">IF(U548="","",IF(U548&lt;=50,(50/50)*U548,IF(U548&lt;=100,50+((100-50)/(100-50))*(U548-50),IF(U548&lt;=250,100+((200-100)/(250-100))*(U548-100),IF(U548&lt;=350,200+((300-200)/(350-250))*(U548-250),IF(U548&lt;=430,300+((400-300)/(430-350))*(U548-350),IF(U548&lt;=600,400+((500-400)/(600-430))*(U548-430),500)))))))</f>
        <v>317.625</v>
      </c>
      <c r="AH548" s="4" t="n">
        <f aca="false">IF(V548="","",IF((V548/1000)&lt;=1,(50/1)*(V548/1000),IF((V548/1000)&lt;=2,50+((100-50)/(2-1))*(V548/1000-1),IF((V548/1000)&lt;=10,100+((200-100)/(10-2))*(V548/1000-2),IF((V548/1000)&lt;=17,200+((300-200)/(17-10))*(V548/1000-10),IF((V548/1000)&lt;=34,300+((400-300)/(34-17))*(V548/1000-17),IF((V548/1000)&lt;=57,400+((500-400)/(57-34))*(V548/1000-34),500)))))))</f>
        <v>21.1</v>
      </c>
      <c r="AI548" s="4" t="n">
        <f aca="false">IF(W548="","",IF(W548&lt;=40,(50/40)*W548,IF(W548&lt;=80,50+((100-50)/(80-40))*(W548-40),IF(W548&lt;=180,100+((200-100)/(180-80))*(W548-80),IF(W548&lt;=280,200+((300-200)/(280-180))*(W548-180),IF(W548&lt;=400,300+((400-300)/(400-280))*(W548-280),IF(W548&lt;=800,400+((500-400)/(800-400))*(W548-400),500)))))))</f>
        <v>29.375</v>
      </c>
      <c r="AJ548" s="4" t="n">
        <f aca="false">IF(X548="","",IF(X548&lt;=40,(50/40)*X548,IF(X548&lt;=80,50+((100-50)/(80-40))*(X548-40),IF(X548&lt;=380,100+((200-100)/(380-80))*(X548-80),IF(X548&lt;=800,200+((300-200)/(800-380))*(X548-380),IF(X548&lt;=1600,300+((400-300)/(1600-800))*(X548-800),IF(X548&lt;=2100,400+((500-400)/(2100-1600))*(X548-1600),500)))))))</f>
        <v>19.375</v>
      </c>
      <c r="AK548" s="4" t="n">
        <f aca="false">IF(Y548="","",IF(Y548&lt;=50,(50/50)*Y548,IF(Y548&lt;=100,50+((100-50)/(100-50))*(Y548-50),IF(Y548&lt;=168,100+((200-100)/(168-100))*(Y548-100),IF(Y548&lt;=208,200+((300-200)/(208-168))*(Y548-168),IF(Y548&lt;=748,300+((400-300)/(748-208))*(Y548-208),IF(Y548&lt;=1000,400+((500-400)/(1000-748))*(Y548-748),500)))))))</f>
        <v>101.470588235294</v>
      </c>
      <c r="AL548" s="4" t="n">
        <f aca="false">ROUND(MAX(AF548,AG548,AH548,AI548,AJ548,AK548),0)</f>
        <v>318</v>
      </c>
      <c r="AM548" s="4" t="str">
        <f aca="false">IF(AL548="","",IF(AL548&lt;=50,"Good",IF(AL548&lt;=100,"Satisfactory",IF(AL548&lt;=200,"Moderate",IF(AL548&lt;=300,"Poor",IF(AL548&lt;=400,"Very Poor","Severe"))))))</f>
        <v>Very Poor</v>
      </c>
    </row>
    <row r="549" customFormat="false" ht="15.75" hidden="false" customHeight="false" outlineLevel="0" collapsed="false">
      <c r="A549" s="1" t="s">
        <v>39</v>
      </c>
      <c r="B549" s="1" t="s">
        <v>40</v>
      </c>
      <c r="C549" s="1" t="n">
        <v>28.4595</v>
      </c>
      <c r="D549" s="1" t="n">
        <v>77.0266</v>
      </c>
      <c r="E549" s="5" t="n">
        <v>45923</v>
      </c>
      <c r="F549" s="6" t="s">
        <v>72</v>
      </c>
      <c r="G549" s="1" t="n">
        <v>9</v>
      </c>
      <c r="H549" s="7" t="s">
        <v>78</v>
      </c>
      <c r="I549" s="6" t="s">
        <v>43</v>
      </c>
      <c r="J549" s="7" t="s">
        <v>44</v>
      </c>
      <c r="K549" s="7" t="s">
        <v>71</v>
      </c>
      <c r="L549" s="1" t="n">
        <v>49</v>
      </c>
      <c r="M549" s="1" t="n">
        <v>18.5</v>
      </c>
      <c r="N549" s="1" t="n">
        <v>22.3</v>
      </c>
      <c r="O549" s="1" t="n">
        <v>0</v>
      </c>
      <c r="P549" s="6" t="s">
        <v>43</v>
      </c>
      <c r="Q549" s="6" t="s">
        <v>43</v>
      </c>
      <c r="R549" s="1" t="n">
        <v>1003</v>
      </c>
      <c r="S549" s="1" t="n">
        <v>2</v>
      </c>
      <c r="T549" s="1" t="n">
        <v>60.5</v>
      </c>
      <c r="U549" s="1" t="n">
        <v>325</v>
      </c>
      <c r="V549" s="1" t="n">
        <v>548</v>
      </c>
      <c r="W549" s="1" t="n">
        <v>32.4</v>
      </c>
      <c r="X549" s="1" t="n">
        <v>18.8</v>
      </c>
      <c r="Y549" s="1" t="n">
        <v>81</v>
      </c>
      <c r="Z549" s="1" t="n">
        <v>534</v>
      </c>
      <c r="AA549" s="1" t="n">
        <v>161</v>
      </c>
      <c r="AB549" s="7" t="s">
        <v>81</v>
      </c>
      <c r="AC549" s="7" t="s">
        <v>88</v>
      </c>
      <c r="AD549" s="6" t="s">
        <v>43</v>
      </c>
      <c r="AE549" s="6" t="s">
        <v>43</v>
      </c>
      <c r="AF549" s="4" t="n">
        <f aca="false">IF(T549="","",IF(T549&lt;=30,(50/30)*T549,IF(T549&lt;=60,50+((100-50)/(60-30))*(T549-30),IF(T549&lt;=90,100+((200-100)/(90-60))*(T549-60),IF(T549&lt;=120,200+((300-200)/(120-90))*(T549-90),IF(T549&lt;=250,300+((400-300)/(250-120))*(T549-120),IF(T549&lt;=380,400+((500-400)/(380-250))*(T549-250),500)))))))</f>
        <v>101.666666666667</v>
      </c>
      <c r="AG549" s="4" t="n">
        <f aca="false">IF(U549="","",IF(U549&lt;=50,(50/50)*U549,IF(U549&lt;=100,50+((100-50)/(100-50))*(U549-50),IF(U549&lt;=250,100+((200-100)/(250-100))*(U549-100),IF(U549&lt;=350,200+((300-200)/(350-250))*(U549-250),IF(U549&lt;=430,300+((400-300)/(430-350))*(U549-350),IF(U549&lt;=600,400+((500-400)/(600-430))*(U549-430),500)))))))</f>
        <v>275</v>
      </c>
      <c r="AH549" s="4" t="n">
        <f aca="false">IF(V549="","",IF((V549/1000)&lt;=1,(50/1)*(V549/1000),IF((V549/1000)&lt;=2,50+((100-50)/(2-1))*(V549/1000-1),IF((V549/1000)&lt;=10,100+((200-100)/(10-2))*(V549/1000-2),IF((V549/1000)&lt;=17,200+((300-200)/(17-10))*(V549/1000-10),IF((V549/1000)&lt;=34,300+((400-300)/(34-17))*(V549/1000-17),IF((V549/1000)&lt;=57,400+((500-400)/(57-34))*(V549/1000-34),500)))))))</f>
        <v>27.4</v>
      </c>
      <c r="AI549" s="4" t="n">
        <f aca="false">IF(W549="","",IF(W549&lt;=40,(50/40)*W549,IF(W549&lt;=80,50+((100-50)/(80-40))*(W549-40),IF(W549&lt;=180,100+((200-100)/(180-80))*(W549-80),IF(W549&lt;=280,200+((300-200)/(280-180))*(W549-180),IF(W549&lt;=400,300+((400-300)/(400-280))*(W549-280),IF(W549&lt;=800,400+((500-400)/(800-400))*(W549-400),500)))))))</f>
        <v>40.5</v>
      </c>
      <c r="AJ549" s="4" t="n">
        <f aca="false">IF(X549="","",IF(X549&lt;=40,(50/40)*X549,IF(X549&lt;=80,50+((100-50)/(80-40))*(X549-40),IF(X549&lt;=380,100+((200-100)/(380-80))*(X549-80),IF(X549&lt;=800,200+((300-200)/(800-380))*(X549-380),IF(X549&lt;=1600,300+((400-300)/(1600-800))*(X549-800),IF(X549&lt;=2100,400+((500-400)/(2100-1600))*(X549-1600),500)))))))</f>
        <v>23.5</v>
      </c>
      <c r="AK549" s="4" t="n">
        <f aca="false">IF(Y549="","",IF(Y549&lt;=50,(50/50)*Y549,IF(Y549&lt;=100,50+((100-50)/(100-50))*(Y549-50),IF(Y549&lt;=168,100+((200-100)/(168-100))*(Y549-100),IF(Y549&lt;=208,200+((300-200)/(208-168))*(Y549-168),IF(Y549&lt;=748,300+((400-300)/(748-208))*(Y549-208),IF(Y549&lt;=1000,400+((500-400)/(1000-748))*(Y549-748),500)))))))</f>
        <v>81</v>
      </c>
      <c r="AL549" s="4" t="n">
        <f aca="false">ROUND(MAX(AF549,AG549,AH549,AI549,AJ549,AK549),0)</f>
        <v>275</v>
      </c>
      <c r="AM549" s="4" t="str">
        <f aca="false">IF(AL549="","",IF(AL549&lt;=50,"Good",IF(AL549&lt;=100,"Satisfactory",IF(AL549&lt;=200,"Moderate",IF(AL549&lt;=300,"Poor",IF(AL549&lt;=400,"Very Poor","Severe"))))))</f>
        <v>Poor</v>
      </c>
    </row>
    <row r="550" customFormat="false" ht="15.75" hidden="false" customHeight="false" outlineLevel="0" collapsed="false">
      <c r="A550" s="1" t="s">
        <v>39</v>
      </c>
      <c r="B550" s="1" t="s">
        <v>40</v>
      </c>
      <c r="C550" s="1" t="n">
        <v>28.4595</v>
      </c>
      <c r="D550" s="1" t="n">
        <v>77.0266</v>
      </c>
      <c r="E550" s="5" t="n">
        <v>45923</v>
      </c>
      <c r="F550" s="6" t="s">
        <v>73</v>
      </c>
      <c r="G550" s="1" t="n">
        <v>9</v>
      </c>
      <c r="H550" s="7" t="s">
        <v>78</v>
      </c>
      <c r="I550" s="6" t="s">
        <v>43</v>
      </c>
      <c r="J550" s="7" t="s">
        <v>44</v>
      </c>
      <c r="K550" s="7" t="s">
        <v>71</v>
      </c>
      <c r="L550" s="1" t="n">
        <v>51</v>
      </c>
      <c r="M550" s="1" t="n">
        <v>18.2</v>
      </c>
      <c r="N550" s="1" t="n">
        <v>19.4</v>
      </c>
      <c r="O550" s="1" t="n">
        <v>0</v>
      </c>
      <c r="P550" s="6" t="s">
        <v>43</v>
      </c>
      <c r="Q550" s="6" t="s">
        <v>43</v>
      </c>
      <c r="R550" s="1" t="n">
        <v>1003.5</v>
      </c>
      <c r="S550" s="1" t="n">
        <v>2</v>
      </c>
      <c r="T550" s="1" t="n">
        <v>61.7</v>
      </c>
      <c r="U550" s="1" t="n">
        <v>299.9</v>
      </c>
      <c r="V550" s="1" t="n">
        <v>631</v>
      </c>
      <c r="W550" s="1" t="n">
        <v>40</v>
      </c>
      <c r="X550" s="1" t="n">
        <v>21.6</v>
      </c>
      <c r="Y550" s="1" t="n">
        <v>64</v>
      </c>
      <c r="Z550" s="1" t="n">
        <v>463</v>
      </c>
      <c r="AA550" s="1" t="n">
        <v>160</v>
      </c>
      <c r="AB550" s="7" t="s">
        <v>81</v>
      </c>
      <c r="AC550" s="7" t="s">
        <v>88</v>
      </c>
      <c r="AD550" s="6" t="s">
        <v>43</v>
      </c>
      <c r="AE550" s="6" t="s">
        <v>43</v>
      </c>
      <c r="AF550" s="4" t="n">
        <f aca="false">IF(T550="","",IF(T550&lt;=30,(50/30)*T550,IF(T550&lt;=60,50+((100-50)/(60-30))*(T550-30),IF(T550&lt;=90,100+((200-100)/(90-60))*(T550-60),IF(T550&lt;=120,200+((300-200)/(120-90))*(T550-90),IF(T550&lt;=250,300+((400-300)/(250-120))*(T550-120),IF(T550&lt;=380,400+((500-400)/(380-250))*(T550-250),500)))))))</f>
        <v>105.666666666667</v>
      </c>
      <c r="AG550" s="4" t="n">
        <f aca="false">IF(U550="","",IF(U550&lt;=50,(50/50)*U550,IF(U550&lt;=100,50+((100-50)/(100-50))*(U550-50),IF(U550&lt;=250,100+((200-100)/(250-100))*(U550-100),IF(U550&lt;=350,200+((300-200)/(350-250))*(U550-250),IF(U550&lt;=430,300+((400-300)/(430-350))*(U550-350),IF(U550&lt;=600,400+((500-400)/(600-430))*(U550-430),500)))))))</f>
        <v>249.9</v>
      </c>
      <c r="AH550" s="4" t="n">
        <f aca="false">IF(V550="","",IF((V550/1000)&lt;=1,(50/1)*(V550/1000),IF((V550/1000)&lt;=2,50+((100-50)/(2-1))*(V550/1000-1),IF((V550/1000)&lt;=10,100+((200-100)/(10-2))*(V550/1000-2),IF((V550/1000)&lt;=17,200+((300-200)/(17-10))*(V550/1000-10),IF((V550/1000)&lt;=34,300+((400-300)/(34-17))*(V550/1000-17),IF((V550/1000)&lt;=57,400+((500-400)/(57-34))*(V550/1000-34),500)))))))</f>
        <v>31.55</v>
      </c>
      <c r="AI550" s="4" t="n">
        <f aca="false">IF(W550="","",IF(W550&lt;=40,(50/40)*W550,IF(W550&lt;=80,50+((100-50)/(80-40))*(W550-40),IF(W550&lt;=180,100+((200-100)/(180-80))*(W550-80),IF(W550&lt;=280,200+((300-200)/(280-180))*(W550-180),IF(W550&lt;=400,300+((400-300)/(400-280))*(W550-280),IF(W550&lt;=800,400+((500-400)/(800-400))*(W550-400),500)))))))</f>
        <v>50</v>
      </c>
      <c r="AJ550" s="4" t="n">
        <f aca="false">IF(X550="","",IF(X550&lt;=40,(50/40)*X550,IF(X550&lt;=80,50+((100-50)/(80-40))*(X550-40),IF(X550&lt;=380,100+((200-100)/(380-80))*(X550-80),IF(X550&lt;=800,200+((300-200)/(800-380))*(X550-380),IF(X550&lt;=1600,300+((400-300)/(1600-800))*(X550-800),IF(X550&lt;=2100,400+((500-400)/(2100-1600))*(X550-1600),500)))))))</f>
        <v>27</v>
      </c>
      <c r="AK550" s="4" t="n">
        <f aca="false">IF(Y550="","",IF(Y550&lt;=50,(50/50)*Y550,IF(Y550&lt;=100,50+((100-50)/(100-50))*(Y550-50),IF(Y550&lt;=168,100+((200-100)/(168-100))*(Y550-100),IF(Y550&lt;=208,200+((300-200)/(208-168))*(Y550-168),IF(Y550&lt;=748,300+((400-300)/(748-208))*(Y550-208),IF(Y550&lt;=1000,400+((500-400)/(1000-748))*(Y550-748),500)))))))</f>
        <v>64</v>
      </c>
      <c r="AL550" s="4" t="n">
        <f aca="false">ROUND(MAX(AF550,AG550,AH550,AI550,AJ550,AK550),0)</f>
        <v>250</v>
      </c>
      <c r="AM550" s="4" t="str">
        <f aca="false">IF(AL550="","",IF(AL550&lt;=50,"Good",IF(AL550&lt;=100,"Satisfactory",IF(AL550&lt;=200,"Moderate",IF(AL550&lt;=300,"Poor",IF(AL550&lt;=400,"Very Poor","Severe"))))))</f>
        <v>Poor</v>
      </c>
    </row>
    <row r="551" customFormat="false" ht="15.75" hidden="false" customHeight="false" outlineLevel="0" collapsed="false">
      <c r="A551" s="1" t="s">
        <v>39</v>
      </c>
      <c r="B551" s="1" t="s">
        <v>40</v>
      </c>
      <c r="C551" s="1" t="n">
        <v>28.4595</v>
      </c>
      <c r="D551" s="1" t="n">
        <v>77.0266</v>
      </c>
      <c r="E551" s="5" t="n">
        <v>45923</v>
      </c>
      <c r="F551" s="6" t="s">
        <v>74</v>
      </c>
      <c r="G551" s="1" t="n">
        <v>9</v>
      </c>
      <c r="H551" s="7" t="s">
        <v>78</v>
      </c>
      <c r="I551" s="6" t="s">
        <v>43</v>
      </c>
      <c r="J551" s="7" t="s">
        <v>44</v>
      </c>
      <c r="K551" s="7" t="s">
        <v>75</v>
      </c>
      <c r="L551" s="1" t="n">
        <v>54</v>
      </c>
      <c r="M551" s="1" t="n">
        <v>18.3</v>
      </c>
      <c r="N551" s="1" t="n">
        <v>17.3</v>
      </c>
      <c r="O551" s="1" t="n">
        <v>0</v>
      </c>
      <c r="P551" s="6" t="s">
        <v>43</v>
      </c>
      <c r="Q551" s="6" t="s">
        <v>43</v>
      </c>
      <c r="R551" s="1" t="n">
        <v>1004.4</v>
      </c>
      <c r="S551" s="1" t="n">
        <v>2</v>
      </c>
      <c r="T551" s="1" t="n">
        <v>63.8</v>
      </c>
      <c r="U551" s="1" t="n">
        <v>288.7</v>
      </c>
      <c r="V551" s="1" t="n">
        <v>643</v>
      </c>
      <c r="W551" s="1" t="n">
        <v>45.5</v>
      </c>
      <c r="X551" s="1" t="n">
        <v>23.6</v>
      </c>
      <c r="Y551" s="1" t="n">
        <v>54</v>
      </c>
      <c r="Z551" s="1" t="n">
        <v>420</v>
      </c>
      <c r="AA551" s="1" t="n">
        <v>157</v>
      </c>
      <c r="AB551" s="7" t="s">
        <v>81</v>
      </c>
      <c r="AC551" s="7" t="s">
        <v>88</v>
      </c>
      <c r="AD551" s="6" t="s">
        <v>43</v>
      </c>
      <c r="AE551" s="6" t="s">
        <v>43</v>
      </c>
      <c r="AF551" s="4" t="n">
        <f aca="false">IF(T551="","",IF(T551&lt;=30,(50/30)*T551,IF(T551&lt;=60,50+((100-50)/(60-30))*(T551-30),IF(T551&lt;=90,100+((200-100)/(90-60))*(T551-60),IF(T551&lt;=120,200+((300-200)/(120-90))*(T551-90),IF(T551&lt;=250,300+((400-300)/(250-120))*(T551-120),IF(T551&lt;=380,400+((500-400)/(380-250))*(T551-250),500)))))))</f>
        <v>112.666666666667</v>
      </c>
      <c r="AG551" s="4" t="n">
        <f aca="false">IF(U551="","",IF(U551&lt;=50,(50/50)*U551,IF(U551&lt;=100,50+((100-50)/(100-50))*(U551-50),IF(U551&lt;=250,100+((200-100)/(250-100))*(U551-100),IF(U551&lt;=350,200+((300-200)/(350-250))*(U551-250),IF(U551&lt;=430,300+((400-300)/(430-350))*(U551-350),IF(U551&lt;=600,400+((500-400)/(600-430))*(U551-430),500)))))))</f>
        <v>238.7</v>
      </c>
      <c r="AH551" s="4" t="n">
        <f aca="false">IF(V551="","",IF((V551/1000)&lt;=1,(50/1)*(V551/1000),IF((V551/1000)&lt;=2,50+((100-50)/(2-1))*(V551/1000-1),IF((V551/1000)&lt;=10,100+((200-100)/(10-2))*(V551/1000-2),IF((V551/1000)&lt;=17,200+((300-200)/(17-10))*(V551/1000-10),IF((V551/1000)&lt;=34,300+((400-300)/(34-17))*(V551/1000-17),IF((V551/1000)&lt;=57,400+((500-400)/(57-34))*(V551/1000-34),500)))))))</f>
        <v>32.15</v>
      </c>
      <c r="AI551" s="4" t="n">
        <f aca="false">IF(W551="","",IF(W551&lt;=40,(50/40)*W551,IF(W551&lt;=80,50+((100-50)/(80-40))*(W551-40),IF(W551&lt;=180,100+((200-100)/(180-80))*(W551-80),IF(W551&lt;=280,200+((300-200)/(280-180))*(W551-180),IF(W551&lt;=400,300+((400-300)/(400-280))*(W551-280),IF(W551&lt;=800,400+((500-400)/(800-400))*(W551-400),500)))))))</f>
        <v>56.875</v>
      </c>
      <c r="AJ551" s="4" t="n">
        <f aca="false">IF(X551="","",IF(X551&lt;=40,(50/40)*X551,IF(X551&lt;=80,50+((100-50)/(80-40))*(X551-40),IF(X551&lt;=380,100+((200-100)/(380-80))*(X551-80),IF(X551&lt;=800,200+((300-200)/(800-380))*(X551-380),IF(X551&lt;=1600,300+((400-300)/(1600-800))*(X551-800),IF(X551&lt;=2100,400+((500-400)/(2100-1600))*(X551-1600),500)))))))</f>
        <v>29.5</v>
      </c>
      <c r="AK551" s="4" t="n">
        <f aca="false">IF(Y551="","",IF(Y551&lt;=50,(50/50)*Y551,IF(Y551&lt;=100,50+((100-50)/(100-50))*(Y551-50),IF(Y551&lt;=168,100+((200-100)/(168-100))*(Y551-100),IF(Y551&lt;=208,200+((300-200)/(208-168))*(Y551-168),IF(Y551&lt;=748,300+((400-300)/(748-208))*(Y551-208),IF(Y551&lt;=1000,400+((500-400)/(1000-748))*(Y551-748),500)))))))</f>
        <v>54</v>
      </c>
      <c r="AL551" s="4" t="n">
        <f aca="false">ROUND(MAX(AF551,AG551,AH551,AI551,AJ551,AK551),0)</f>
        <v>239</v>
      </c>
      <c r="AM551" s="4" t="str">
        <f aca="false">IF(AL551="","",IF(AL551&lt;=50,"Good",IF(AL551&lt;=100,"Satisfactory",IF(AL551&lt;=200,"Moderate",IF(AL551&lt;=300,"Poor",IF(AL551&lt;=400,"Very Poor","Severe"))))))</f>
        <v>Poor</v>
      </c>
    </row>
    <row r="552" customFormat="false" ht="15.75" hidden="false" customHeight="false" outlineLevel="0" collapsed="false">
      <c r="A552" s="1" t="s">
        <v>39</v>
      </c>
      <c r="B552" s="1" t="s">
        <v>40</v>
      </c>
      <c r="C552" s="1" t="n">
        <v>28.4595</v>
      </c>
      <c r="D552" s="1" t="n">
        <v>77.0266</v>
      </c>
      <c r="E552" s="5" t="n">
        <v>45923</v>
      </c>
      <c r="F552" s="6" t="s">
        <v>76</v>
      </c>
      <c r="G552" s="1" t="n">
        <v>9</v>
      </c>
      <c r="H552" s="7" t="s">
        <v>78</v>
      </c>
      <c r="I552" s="6" t="s">
        <v>43</v>
      </c>
      <c r="J552" s="7" t="s">
        <v>44</v>
      </c>
      <c r="K552" s="7" t="s">
        <v>75</v>
      </c>
      <c r="L552" s="1" t="n">
        <v>63</v>
      </c>
      <c r="M552" s="1" t="n">
        <v>19.4</v>
      </c>
      <c r="N552" s="1" t="n">
        <v>15.8</v>
      </c>
      <c r="O552" s="1" t="n">
        <v>0</v>
      </c>
      <c r="P552" s="6" t="s">
        <v>43</v>
      </c>
      <c r="Q552" s="6" t="s">
        <v>43</v>
      </c>
      <c r="R552" s="1" t="n">
        <v>1004.6</v>
      </c>
      <c r="S552" s="1" t="n">
        <v>2</v>
      </c>
      <c r="T552" s="1" t="n">
        <v>65.9</v>
      </c>
      <c r="U552" s="1" t="n">
        <v>278.5</v>
      </c>
      <c r="V552" s="1" t="n">
        <v>611</v>
      </c>
      <c r="W552" s="1" t="n">
        <v>49.7</v>
      </c>
      <c r="X552" s="1" t="n">
        <v>25.1</v>
      </c>
      <c r="Y552" s="1" t="n">
        <v>48</v>
      </c>
      <c r="Z552" s="1" t="n">
        <v>391</v>
      </c>
      <c r="AA552" s="1" t="n">
        <v>156</v>
      </c>
      <c r="AB552" s="7" t="s">
        <v>81</v>
      </c>
      <c r="AC552" s="7" t="s">
        <v>88</v>
      </c>
      <c r="AD552" s="6" t="s">
        <v>43</v>
      </c>
      <c r="AE552" s="6" t="s">
        <v>43</v>
      </c>
      <c r="AF552" s="4" t="n">
        <f aca="false">IF(T552="","",IF(T552&lt;=30,(50/30)*T552,IF(T552&lt;=60,50+((100-50)/(60-30))*(T552-30),IF(T552&lt;=90,100+((200-100)/(90-60))*(T552-60),IF(T552&lt;=120,200+((300-200)/(120-90))*(T552-90),IF(T552&lt;=250,300+((400-300)/(250-120))*(T552-120),IF(T552&lt;=380,400+((500-400)/(380-250))*(T552-250),500)))))))</f>
        <v>119.666666666667</v>
      </c>
      <c r="AG552" s="4" t="n">
        <f aca="false">IF(U552="","",IF(U552&lt;=50,(50/50)*U552,IF(U552&lt;=100,50+((100-50)/(100-50))*(U552-50),IF(U552&lt;=250,100+((200-100)/(250-100))*(U552-100),IF(U552&lt;=350,200+((300-200)/(350-250))*(U552-250),IF(U552&lt;=430,300+((400-300)/(430-350))*(U552-350),IF(U552&lt;=600,400+((500-400)/(600-430))*(U552-430),500)))))))</f>
        <v>228.5</v>
      </c>
      <c r="AH552" s="4" t="n">
        <f aca="false">IF(V552="","",IF((V552/1000)&lt;=1,(50/1)*(V552/1000),IF((V552/1000)&lt;=2,50+((100-50)/(2-1))*(V552/1000-1),IF((V552/1000)&lt;=10,100+((200-100)/(10-2))*(V552/1000-2),IF((V552/1000)&lt;=17,200+((300-200)/(17-10))*(V552/1000-10),IF((V552/1000)&lt;=34,300+((400-300)/(34-17))*(V552/1000-17),IF((V552/1000)&lt;=57,400+((500-400)/(57-34))*(V552/1000-34),500)))))))</f>
        <v>30.55</v>
      </c>
      <c r="AI552" s="4" t="n">
        <f aca="false">IF(W552="","",IF(W552&lt;=40,(50/40)*W552,IF(W552&lt;=80,50+((100-50)/(80-40))*(W552-40),IF(W552&lt;=180,100+((200-100)/(180-80))*(W552-80),IF(W552&lt;=280,200+((300-200)/(280-180))*(W552-180),IF(W552&lt;=400,300+((400-300)/(400-280))*(W552-280),IF(W552&lt;=800,400+((500-400)/(800-400))*(W552-400),500)))))))</f>
        <v>62.125</v>
      </c>
      <c r="AJ552" s="4" t="n">
        <f aca="false">IF(X552="","",IF(X552&lt;=40,(50/40)*X552,IF(X552&lt;=80,50+((100-50)/(80-40))*(X552-40),IF(X552&lt;=380,100+((200-100)/(380-80))*(X552-80),IF(X552&lt;=800,200+((300-200)/(800-380))*(X552-380),IF(X552&lt;=1600,300+((400-300)/(1600-800))*(X552-800),IF(X552&lt;=2100,400+((500-400)/(2100-1600))*(X552-1600),500)))))))</f>
        <v>31.375</v>
      </c>
      <c r="AK552" s="4" t="n">
        <f aca="false">IF(Y552="","",IF(Y552&lt;=50,(50/50)*Y552,IF(Y552&lt;=100,50+((100-50)/(100-50))*(Y552-50),IF(Y552&lt;=168,100+((200-100)/(168-100))*(Y552-100),IF(Y552&lt;=208,200+((300-200)/(208-168))*(Y552-168),IF(Y552&lt;=748,300+((400-300)/(748-208))*(Y552-208),IF(Y552&lt;=1000,400+((500-400)/(1000-748))*(Y552-748),500)))))))</f>
        <v>48</v>
      </c>
      <c r="AL552" s="4" t="n">
        <f aca="false">ROUND(MAX(AF552,AG552,AH552,AI552,AJ552,AK552),0)</f>
        <v>229</v>
      </c>
      <c r="AM552" s="4" t="str">
        <f aca="false">IF(AL552="","",IF(AL552&lt;=50,"Good",IF(AL552&lt;=100,"Satisfactory",IF(AL552&lt;=200,"Moderate",IF(AL552&lt;=300,"Poor",IF(AL552&lt;=400,"Very Poor","Severe"))))))</f>
        <v>Poor</v>
      </c>
    </row>
    <row r="553" customFormat="false" ht="15.75" hidden="false" customHeight="false" outlineLevel="0" collapsed="false">
      <c r="A553" s="1" t="s">
        <v>39</v>
      </c>
      <c r="B553" s="1" t="s">
        <v>40</v>
      </c>
      <c r="C553" s="1" t="n">
        <v>28.4595</v>
      </c>
      <c r="D553" s="1" t="n">
        <v>77.0266</v>
      </c>
      <c r="E553" s="5" t="n">
        <v>45923</v>
      </c>
      <c r="F553" s="6" t="s">
        <v>77</v>
      </c>
      <c r="G553" s="1" t="n">
        <v>9</v>
      </c>
      <c r="H553" s="7" t="s">
        <v>78</v>
      </c>
      <c r="I553" s="6" t="s">
        <v>43</v>
      </c>
      <c r="J553" s="7" t="s">
        <v>44</v>
      </c>
      <c r="K553" s="7" t="s">
        <v>75</v>
      </c>
      <c r="L553" s="1" t="n">
        <v>63</v>
      </c>
      <c r="M553" s="1" t="n">
        <v>19.4</v>
      </c>
      <c r="N553" s="1" t="n">
        <v>15.8</v>
      </c>
      <c r="O553" s="1" t="n">
        <v>0</v>
      </c>
      <c r="P553" s="6" t="s">
        <v>43</v>
      </c>
      <c r="Q553" s="6" t="s">
        <v>43</v>
      </c>
      <c r="R553" s="1" t="n">
        <v>1004.4</v>
      </c>
      <c r="S553" s="1" t="n">
        <v>0</v>
      </c>
      <c r="T553" s="1" t="n">
        <v>66.6</v>
      </c>
      <c r="U553" s="1" t="n">
        <v>259.8</v>
      </c>
      <c r="V553" s="1" t="n">
        <v>558</v>
      </c>
      <c r="W553" s="1" t="n">
        <v>51.2</v>
      </c>
      <c r="X553" s="1" t="n">
        <v>25.2</v>
      </c>
      <c r="Y553" s="1" t="n">
        <v>43</v>
      </c>
      <c r="Z553" s="1" t="n">
        <v>373</v>
      </c>
      <c r="AA553" s="1" t="n">
        <v>155</v>
      </c>
      <c r="AB553" s="7" t="s">
        <v>81</v>
      </c>
      <c r="AC553" s="7" t="s">
        <v>88</v>
      </c>
      <c r="AD553" s="6" t="s">
        <v>43</v>
      </c>
      <c r="AE553" s="6" t="s">
        <v>43</v>
      </c>
      <c r="AF553" s="4" t="n">
        <f aca="false">IF(T553="","",IF(T553&lt;=30,(50/30)*T553,IF(T553&lt;=60,50+((100-50)/(60-30))*(T553-30),IF(T553&lt;=90,100+((200-100)/(90-60))*(T553-60),IF(T553&lt;=120,200+((300-200)/(120-90))*(T553-90),IF(T553&lt;=250,300+((400-300)/(250-120))*(T553-120),IF(T553&lt;=380,400+((500-400)/(380-250))*(T553-250),500)))))))</f>
        <v>122</v>
      </c>
      <c r="AG553" s="4" t="n">
        <f aca="false">IF(U553="","",IF(U553&lt;=50,(50/50)*U553,IF(U553&lt;=100,50+((100-50)/(100-50))*(U553-50),IF(U553&lt;=250,100+((200-100)/(250-100))*(U553-100),IF(U553&lt;=350,200+((300-200)/(350-250))*(U553-250),IF(U553&lt;=430,300+((400-300)/(430-350))*(U553-350),IF(U553&lt;=600,400+((500-400)/(600-430))*(U553-430),500)))))))</f>
        <v>209.8</v>
      </c>
      <c r="AH553" s="4" t="n">
        <f aca="false">IF(V553="","",IF((V553/1000)&lt;=1,(50/1)*(V553/1000),IF((V553/1000)&lt;=2,50+((100-50)/(2-1))*(V553/1000-1),IF((V553/1000)&lt;=10,100+((200-100)/(10-2))*(V553/1000-2),IF((V553/1000)&lt;=17,200+((300-200)/(17-10))*(V553/1000-10),IF((V553/1000)&lt;=34,300+((400-300)/(34-17))*(V553/1000-17),IF((V553/1000)&lt;=57,400+((500-400)/(57-34))*(V553/1000-34),500)))))))</f>
        <v>27.9</v>
      </c>
      <c r="AI553" s="4" t="n">
        <f aca="false">IF(W553="","",IF(W553&lt;=40,(50/40)*W553,IF(W553&lt;=80,50+((100-50)/(80-40))*(W553-40),IF(W553&lt;=180,100+((200-100)/(180-80))*(W553-80),IF(W553&lt;=280,200+((300-200)/(280-180))*(W553-180),IF(W553&lt;=400,300+((400-300)/(400-280))*(W553-280),IF(W553&lt;=800,400+((500-400)/(800-400))*(W553-400),500)))))))</f>
        <v>64</v>
      </c>
      <c r="AJ553" s="4" t="n">
        <f aca="false">IF(X553="","",IF(X553&lt;=40,(50/40)*X553,IF(X553&lt;=80,50+((100-50)/(80-40))*(X553-40),IF(X553&lt;=380,100+((200-100)/(380-80))*(X553-80),IF(X553&lt;=800,200+((300-200)/(800-380))*(X553-380),IF(X553&lt;=1600,300+((400-300)/(1600-800))*(X553-800),IF(X553&lt;=2100,400+((500-400)/(2100-1600))*(X553-1600),500)))))))</f>
        <v>31.5</v>
      </c>
      <c r="AK553" s="4" t="n">
        <f aca="false">IF(Y553="","",IF(Y553&lt;=50,(50/50)*Y553,IF(Y553&lt;=100,50+((100-50)/(100-50))*(Y553-50),IF(Y553&lt;=168,100+((200-100)/(168-100))*(Y553-100),IF(Y553&lt;=208,200+((300-200)/(208-168))*(Y553-168),IF(Y553&lt;=748,300+((400-300)/(748-208))*(Y553-208),IF(Y553&lt;=1000,400+((500-400)/(1000-748))*(Y553-748),500)))))))</f>
        <v>43</v>
      </c>
      <c r="AL553" s="4" t="n">
        <f aca="false">ROUND(MAX(AF553,AG553,AH553,AI553,AJ553,AK553),0)</f>
        <v>210</v>
      </c>
      <c r="AM553" s="4" t="str">
        <f aca="false">IF(AL553="","",IF(AL553&lt;=50,"Good",IF(AL553&lt;=100,"Satisfactory",IF(AL553&lt;=200,"Moderate",IF(AL553&lt;=300,"Poor",IF(AL553&lt;=400,"Very Poor","Severe"))))))</f>
        <v>Poor</v>
      </c>
    </row>
    <row r="554" customFormat="false" ht="15.75" hidden="false" customHeight="false" outlineLevel="0" collapsed="false">
      <c r="A554" s="1" t="s">
        <v>39</v>
      </c>
      <c r="B554" s="1" t="s">
        <v>40</v>
      </c>
      <c r="C554" s="1" t="n">
        <v>28.4595</v>
      </c>
      <c r="D554" s="1" t="n">
        <v>77.0266</v>
      </c>
      <c r="E554" s="5" t="n">
        <v>45924</v>
      </c>
      <c r="F554" s="6" t="s">
        <v>41</v>
      </c>
      <c r="G554" s="1" t="n">
        <v>9</v>
      </c>
      <c r="H554" s="7" t="s">
        <v>79</v>
      </c>
      <c r="I554" s="6" t="s">
        <v>43</v>
      </c>
      <c r="J554" s="7" t="s">
        <v>44</v>
      </c>
      <c r="K554" s="7" t="s">
        <v>45</v>
      </c>
      <c r="L554" s="1" t="n">
        <v>65</v>
      </c>
      <c r="M554" s="1" t="n">
        <v>19.4</v>
      </c>
      <c r="N554" s="1" t="n">
        <v>15.5</v>
      </c>
      <c r="O554" s="1" t="n">
        <v>0</v>
      </c>
      <c r="P554" s="6" t="s">
        <v>43</v>
      </c>
      <c r="Q554" s="6" t="s">
        <v>43</v>
      </c>
      <c r="R554" s="1" t="n">
        <v>1004.1</v>
      </c>
      <c r="S554" s="1" t="n">
        <v>0</v>
      </c>
      <c r="T554" s="1" t="n">
        <v>65</v>
      </c>
      <c r="U554" s="1" t="n">
        <v>236.6</v>
      </c>
      <c r="V554" s="1" t="n">
        <v>472</v>
      </c>
      <c r="W554" s="1" t="n">
        <v>48.4</v>
      </c>
      <c r="X554" s="1" t="n">
        <v>23</v>
      </c>
      <c r="Y554" s="1" t="n">
        <v>41</v>
      </c>
      <c r="Z554" s="1" t="n">
        <v>369</v>
      </c>
      <c r="AA554" s="1" t="n">
        <v>155</v>
      </c>
      <c r="AB554" s="7" t="s">
        <v>81</v>
      </c>
      <c r="AC554" s="7" t="s">
        <v>88</v>
      </c>
      <c r="AD554" s="6" t="s">
        <v>43</v>
      </c>
      <c r="AE554" s="6" t="s">
        <v>43</v>
      </c>
      <c r="AF554" s="4" t="n">
        <f aca="false">IF(T554="","",IF(T554&lt;=30,(50/30)*T554,IF(T554&lt;=60,50+((100-50)/(60-30))*(T554-30),IF(T554&lt;=90,100+((200-100)/(90-60))*(T554-60),IF(T554&lt;=120,200+((300-200)/(120-90))*(T554-90),IF(T554&lt;=250,300+((400-300)/(250-120))*(T554-120),IF(T554&lt;=380,400+((500-400)/(380-250))*(T554-250),500)))))))</f>
        <v>116.666666666667</v>
      </c>
      <c r="AG554" s="4" t="n">
        <f aca="false">IF(U554="","",IF(U554&lt;=50,(50/50)*U554,IF(U554&lt;=100,50+((100-50)/(100-50))*(U554-50),IF(U554&lt;=250,100+((200-100)/(250-100))*(U554-100),IF(U554&lt;=350,200+((300-200)/(350-250))*(U554-250),IF(U554&lt;=430,300+((400-300)/(430-350))*(U554-350),IF(U554&lt;=600,400+((500-400)/(600-430))*(U554-430),500)))))))</f>
        <v>191.066666666667</v>
      </c>
      <c r="AH554" s="4" t="n">
        <f aca="false">IF(V554="","",IF((V554/1000)&lt;=1,(50/1)*(V554/1000),IF((V554/1000)&lt;=2,50+((100-50)/(2-1))*(V554/1000-1),IF((V554/1000)&lt;=10,100+((200-100)/(10-2))*(V554/1000-2),IF((V554/1000)&lt;=17,200+((300-200)/(17-10))*(V554/1000-10),IF((V554/1000)&lt;=34,300+((400-300)/(34-17))*(V554/1000-17),IF((V554/1000)&lt;=57,400+((500-400)/(57-34))*(V554/1000-34),500)))))))</f>
        <v>23.6</v>
      </c>
      <c r="AI554" s="4" t="n">
        <f aca="false">IF(W554="","",IF(W554&lt;=40,(50/40)*W554,IF(W554&lt;=80,50+((100-50)/(80-40))*(W554-40),IF(W554&lt;=180,100+((200-100)/(180-80))*(W554-80),IF(W554&lt;=280,200+((300-200)/(280-180))*(W554-180),IF(W554&lt;=400,300+((400-300)/(400-280))*(W554-280),IF(W554&lt;=800,400+((500-400)/(800-400))*(W554-400),500)))))))</f>
        <v>60.5</v>
      </c>
      <c r="AJ554" s="4" t="n">
        <f aca="false">IF(X554="","",IF(X554&lt;=40,(50/40)*X554,IF(X554&lt;=80,50+((100-50)/(80-40))*(X554-40),IF(X554&lt;=380,100+((200-100)/(380-80))*(X554-80),IF(X554&lt;=800,200+((300-200)/(800-380))*(X554-380),IF(X554&lt;=1600,300+((400-300)/(1600-800))*(X554-800),IF(X554&lt;=2100,400+((500-400)/(2100-1600))*(X554-1600),500)))))))</f>
        <v>28.75</v>
      </c>
      <c r="AK554" s="4" t="n">
        <f aca="false">IF(Y554="","",IF(Y554&lt;=50,(50/50)*Y554,IF(Y554&lt;=100,50+((100-50)/(100-50))*(Y554-50),IF(Y554&lt;=168,100+((200-100)/(168-100))*(Y554-100),IF(Y554&lt;=208,200+((300-200)/(208-168))*(Y554-168),IF(Y554&lt;=748,300+((400-300)/(748-208))*(Y554-208),IF(Y554&lt;=1000,400+((500-400)/(1000-748))*(Y554-748),500)))))))</f>
        <v>41</v>
      </c>
      <c r="AL554" s="4" t="n">
        <f aca="false">ROUND(MAX(AF554,AG554,AH554,AI554,AJ554,AK554),0)</f>
        <v>191</v>
      </c>
      <c r="AM554" s="4" t="str">
        <f aca="false">IF(AL554="","",IF(AL554&lt;=50,"Good",IF(AL554&lt;=100,"Satisfactory",IF(AL554&lt;=200,"Moderate",IF(AL554&lt;=300,"Poor",IF(AL554&lt;=400,"Very Poor","Severe"))))))</f>
        <v>Moderate</v>
      </c>
    </row>
    <row r="555" customFormat="false" ht="15.75" hidden="false" customHeight="false" outlineLevel="0" collapsed="false">
      <c r="A555" s="1" t="s">
        <v>39</v>
      </c>
      <c r="B555" s="1" t="s">
        <v>40</v>
      </c>
      <c r="C555" s="1" t="n">
        <v>28.4595</v>
      </c>
      <c r="D555" s="1" t="n">
        <v>77.0266</v>
      </c>
      <c r="E555" s="5" t="n">
        <v>45924</v>
      </c>
      <c r="F555" s="6" t="s">
        <v>49</v>
      </c>
      <c r="G555" s="1" t="n">
        <v>9</v>
      </c>
      <c r="H555" s="7" t="s">
        <v>79</v>
      </c>
      <c r="I555" s="6" t="s">
        <v>43</v>
      </c>
      <c r="J555" s="7" t="s">
        <v>44</v>
      </c>
      <c r="K555" s="7" t="s">
        <v>45</v>
      </c>
      <c r="L555" s="1" t="n">
        <v>66</v>
      </c>
      <c r="M555" s="1" t="n">
        <v>19</v>
      </c>
      <c r="N555" s="1" t="n">
        <v>16.9</v>
      </c>
      <c r="O555" s="1" t="n">
        <v>0</v>
      </c>
      <c r="P555" s="6" t="s">
        <v>43</v>
      </c>
      <c r="Q555" s="6" t="s">
        <v>43</v>
      </c>
      <c r="R555" s="1" t="n">
        <v>1003.8</v>
      </c>
      <c r="S555" s="1" t="n">
        <v>0</v>
      </c>
      <c r="T555" s="1" t="n">
        <v>63.3</v>
      </c>
      <c r="U555" s="1" t="n">
        <v>238.4</v>
      </c>
      <c r="V555" s="1" t="n">
        <v>363</v>
      </c>
      <c r="W555" s="1" t="n">
        <v>42.7</v>
      </c>
      <c r="X555" s="1" t="n">
        <v>19.3</v>
      </c>
      <c r="Y555" s="1" t="n">
        <v>40</v>
      </c>
      <c r="Z555" s="1" t="n">
        <v>377</v>
      </c>
      <c r="AA555" s="1" t="n">
        <v>156</v>
      </c>
      <c r="AB555" s="7" t="s">
        <v>81</v>
      </c>
      <c r="AC555" s="7" t="s">
        <v>88</v>
      </c>
      <c r="AD555" s="6" t="s">
        <v>43</v>
      </c>
      <c r="AE555" s="6" t="s">
        <v>43</v>
      </c>
      <c r="AF555" s="4" t="n">
        <f aca="false">IF(T555="","",IF(T555&lt;=30,(50/30)*T555,IF(T555&lt;=60,50+((100-50)/(60-30))*(T555-30),IF(T555&lt;=90,100+((200-100)/(90-60))*(T555-60),IF(T555&lt;=120,200+((300-200)/(120-90))*(T555-90),IF(T555&lt;=250,300+((400-300)/(250-120))*(T555-120),IF(T555&lt;=380,400+((500-400)/(380-250))*(T555-250),500)))))))</f>
        <v>111</v>
      </c>
      <c r="AG555" s="4" t="n">
        <f aca="false">IF(U555="","",IF(U555&lt;=50,(50/50)*U555,IF(U555&lt;=100,50+((100-50)/(100-50))*(U555-50),IF(U555&lt;=250,100+((200-100)/(250-100))*(U555-100),IF(U555&lt;=350,200+((300-200)/(350-250))*(U555-250),IF(U555&lt;=430,300+((400-300)/(430-350))*(U555-350),IF(U555&lt;=600,400+((500-400)/(600-430))*(U555-430),500)))))))</f>
        <v>192.266666666667</v>
      </c>
      <c r="AH555" s="4" t="n">
        <f aca="false">IF(V555="","",IF((V555/1000)&lt;=1,(50/1)*(V555/1000),IF((V555/1000)&lt;=2,50+((100-50)/(2-1))*(V555/1000-1),IF((V555/1000)&lt;=10,100+((200-100)/(10-2))*(V555/1000-2),IF((V555/1000)&lt;=17,200+((300-200)/(17-10))*(V555/1000-10),IF((V555/1000)&lt;=34,300+((400-300)/(34-17))*(V555/1000-17),IF((V555/1000)&lt;=57,400+((500-400)/(57-34))*(V555/1000-34),500)))))))</f>
        <v>18.15</v>
      </c>
      <c r="AI555" s="4" t="n">
        <f aca="false">IF(W555="","",IF(W555&lt;=40,(50/40)*W555,IF(W555&lt;=80,50+((100-50)/(80-40))*(W555-40),IF(W555&lt;=180,100+((200-100)/(180-80))*(W555-80),IF(W555&lt;=280,200+((300-200)/(280-180))*(W555-180),IF(W555&lt;=400,300+((400-300)/(400-280))*(W555-280),IF(W555&lt;=800,400+((500-400)/(800-400))*(W555-400),500)))))))</f>
        <v>53.375</v>
      </c>
      <c r="AJ555" s="4" t="n">
        <f aca="false">IF(X555="","",IF(X555&lt;=40,(50/40)*X555,IF(X555&lt;=80,50+((100-50)/(80-40))*(X555-40),IF(X555&lt;=380,100+((200-100)/(380-80))*(X555-80),IF(X555&lt;=800,200+((300-200)/(800-380))*(X555-380),IF(X555&lt;=1600,300+((400-300)/(1600-800))*(X555-800),IF(X555&lt;=2100,400+((500-400)/(2100-1600))*(X555-1600),500)))))))</f>
        <v>24.125</v>
      </c>
      <c r="AK555" s="4" t="n">
        <f aca="false">IF(Y555="","",IF(Y555&lt;=50,(50/50)*Y555,IF(Y555&lt;=100,50+((100-50)/(100-50))*(Y555-50),IF(Y555&lt;=168,100+((200-100)/(168-100))*(Y555-100),IF(Y555&lt;=208,200+((300-200)/(208-168))*(Y555-168),IF(Y555&lt;=748,300+((400-300)/(748-208))*(Y555-208),IF(Y555&lt;=1000,400+((500-400)/(1000-748))*(Y555-748),500)))))))</f>
        <v>40</v>
      </c>
      <c r="AL555" s="4" t="n">
        <f aca="false">ROUND(MAX(AF555,AG555,AH555,AI555,AJ555,AK555),0)</f>
        <v>192</v>
      </c>
      <c r="AM555" s="4" t="str">
        <f aca="false">IF(AL555="","",IF(AL555&lt;=50,"Good",IF(AL555&lt;=100,"Satisfactory",IF(AL555&lt;=200,"Moderate",IF(AL555&lt;=300,"Poor",IF(AL555&lt;=400,"Very Poor","Severe"))))))</f>
        <v>Moderate</v>
      </c>
    </row>
    <row r="556" customFormat="false" ht="15.75" hidden="false" customHeight="false" outlineLevel="0" collapsed="false">
      <c r="A556" s="1" t="s">
        <v>39</v>
      </c>
      <c r="B556" s="1" t="s">
        <v>40</v>
      </c>
      <c r="C556" s="1" t="n">
        <v>28.4595</v>
      </c>
      <c r="D556" s="1" t="n">
        <v>77.0266</v>
      </c>
      <c r="E556" s="5" t="n">
        <v>45924</v>
      </c>
      <c r="F556" s="6" t="s">
        <v>51</v>
      </c>
      <c r="G556" s="1" t="n">
        <v>9</v>
      </c>
      <c r="H556" s="7" t="s">
        <v>79</v>
      </c>
      <c r="I556" s="6" t="s">
        <v>43</v>
      </c>
      <c r="J556" s="7" t="s">
        <v>44</v>
      </c>
      <c r="K556" s="7" t="s">
        <v>45</v>
      </c>
      <c r="L556" s="1" t="n">
        <v>66</v>
      </c>
      <c r="M556" s="1" t="n">
        <v>18.3</v>
      </c>
      <c r="N556" s="1" t="n">
        <v>16.6</v>
      </c>
      <c r="O556" s="1" t="n">
        <v>0</v>
      </c>
      <c r="P556" s="6" t="s">
        <v>43</v>
      </c>
      <c r="Q556" s="6" t="s">
        <v>43</v>
      </c>
      <c r="R556" s="1" t="n">
        <v>1003.5</v>
      </c>
      <c r="S556" s="1" t="n">
        <v>0</v>
      </c>
      <c r="T556" s="1" t="n">
        <v>62.6</v>
      </c>
      <c r="U556" s="1" t="n">
        <v>264.5</v>
      </c>
      <c r="V556" s="1" t="n">
        <v>287</v>
      </c>
      <c r="W556" s="1" t="n">
        <v>37.5</v>
      </c>
      <c r="X556" s="1" t="n">
        <v>16.1</v>
      </c>
      <c r="Y556" s="1" t="n">
        <v>40</v>
      </c>
      <c r="Z556" s="1" t="n">
        <v>386</v>
      </c>
      <c r="AA556" s="1" t="n">
        <v>157</v>
      </c>
      <c r="AB556" s="7" t="s">
        <v>81</v>
      </c>
      <c r="AC556" s="7" t="s">
        <v>88</v>
      </c>
      <c r="AD556" s="6" t="s">
        <v>43</v>
      </c>
      <c r="AE556" s="6" t="s">
        <v>43</v>
      </c>
      <c r="AF556" s="4" t="n">
        <f aca="false">IF(T556="","",IF(T556&lt;=30,(50/30)*T556,IF(T556&lt;=60,50+((100-50)/(60-30))*(T556-30),IF(T556&lt;=90,100+((200-100)/(90-60))*(T556-60),IF(T556&lt;=120,200+((300-200)/(120-90))*(T556-90),IF(T556&lt;=250,300+((400-300)/(250-120))*(T556-120),IF(T556&lt;=380,400+((500-400)/(380-250))*(T556-250),500)))))))</f>
        <v>108.666666666667</v>
      </c>
      <c r="AG556" s="4" t="n">
        <f aca="false">IF(U556="","",IF(U556&lt;=50,(50/50)*U556,IF(U556&lt;=100,50+((100-50)/(100-50))*(U556-50),IF(U556&lt;=250,100+((200-100)/(250-100))*(U556-100),IF(U556&lt;=350,200+((300-200)/(350-250))*(U556-250),IF(U556&lt;=430,300+((400-300)/(430-350))*(U556-350),IF(U556&lt;=600,400+((500-400)/(600-430))*(U556-430),500)))))))</f>
        <v>214.5</v>
      </c>
      <c r="AH556" s="4" t="n">
        <f aca="false">IF(V556="","",IF((V556/1000)&lt;=1,(50/1)*(V556/1000),IF((V556/1000)&lt;=2,50+((100-50)/(2-1))*(V556/1000-1),IF((V556/1000)&lt;=10,100+((200-100)/(10-2))*(V556/1000-2),IF((V556/1000)&lt;=17,200+((300-200)/(17-10))*(V556/1000-10),IF((V556/1000)&lt;=34,300+((400-300)/(34-17))*(V556/1000-17),IF((V556/1000)&lt;=57,400+((500-400)/(57-34))*(V556/1000-34),500)))))))</f>
        <v>14.35</v>
      </c>
      <c r="AI556" s="4" t="n">
        <f aca="false">IF(W556="","",IF(W556&lt;=40,(50/40)*W556,IF(W556&lt;=80,50+((100-50)/(80-40))*(W556-40),IF(W556&lt;=180,100+((200-100)/(180-80))*(W556-80),IF(W556&lt;=280,200+((300-200)/(280-180))*(W556-180),IF(W556&lt;=400,300+((400-300)/(400-280))*(W556-280),IF(W556&lt;=800,400+((500-400)/(800-400))*(W556-400),500)))))))</f>
        <v>46.875</v>
      </c>
      <c r="AJ556" s="4" t="n">
        <f aca="false">IF(X556="","",IF(X556&lt;=40,(50/40)*X556,IF(X556&lt;=80,50+((100-50)/(80-40))*(X556-40),IF(X556&lt;=380,100+((200-100)/(380-80))*(X556-80),IF(X556&lt;=800,200+((300-200)/(800-380))*(X556-380),IF(X556&lt;=1600,300+((400-300)/(1600-800))*(X556-800),IF(X556&lt;=2100,400+((500-400)/(2100-1600))*(X556-1600),500)))))))</f>
        <v>20.125</v>
      </c>
      <c r="AK556" s="4" t="n">
        <f aca="false">IF(Y556="","",IF(Y556&lt;=50,(50/50)*Y556,IF(Y556&lt;=100,50+((100-50)/(100-50))*(Y556-50),IF(Y556&lt;=168,100+((200-100)/(168-100))*(Y556-100),IF(Y556&lt;=208,200+((300-200)/(208-168))*(Y556-168),IF(Y556&lt;=748,300+((400-300)/(748-208))*(Y556-208),IF(Y556&lt;=1000,400+((500-400)/(1000-748))*(Y556-748),500)))))))</f>
        <v>40</v>
      </c>
      <c r="AL556" s="4" t="n">
        <f aca="false">ROUND(MAX(AF556,AG556,AH556,AI556,AJ556,AK556),0)</f>
        <v>215</v>
      </c>
      <c r="AM556" s="4" t="str">
        <f aca="false">IF(AL556="","",IF(AL556&lt;=50,"Good",IF(AL556&lt;=100,"Satisfactory",IF(AL556&lt;=200,"Moderate",IF(AL556&lt;=300,"Poor",IF(AL556&lt;=400,"Very Poor","Severe"))))))</f>
        <v>Poor</v>
      </c>
    </row>
    <row r="557" customFormat="false" ht="15.75" hidden="false" customHeight="false" outlineLevel="0" collapsed="false">
      <c r="A557" s="1" t="s">
        <v>39</v>
      </c>
      <c r="B557" s="1" t="s">
        <v>40</v>
      </c>
      <c r="C557" s="1" t="n">
        <v>28.4595</v>
      </c>
      <c r="D557" s="1" t="n">
        <v>77.0266</v>
      </c>
      <c r="E557" s="5" t="n">
        <v>45924</v>
      </c>
      <c r="F557" s="6" t="s">
        <v>52</v>
      </c>
      <c r="G557" s="1" t="n">
        <v>9</v>
      </c>
      <c r="H557" s="7" t="s">
        <v>79</v>
      </c>
      <c r="I557" s="6" t="s">
        <v>43</v>
      </c>
      <c r="J557" s="7" t="s">
        <v>44</v>
      </c>
      <c r="K557" s="7" t="s">
        <v>45</v>
      </c>
      <c r="L557" s="1" t="n">
        <v>65</v>
      </c>
      <c r="M557" s="1" t="n">
        <v>17.5</v>
      </c>
      <c r="N557" s="1" t="n">
        <v>16.2</v>
      </c>
      <c r="O557" s="1" t="n">
        <v>0</v>
      </c>
      <c r="P557" s="6" t="s">
        <v>43</v>
      </c>
      <c r="Q557" s="6" t="s">
        <v>43</v>
      </c>
      <c r="R557" s="1" t="n">
        <v>1003.6</v>
      </c>
      <c r="S557" s="1" t="n">
        <v>0</v>
      </c>
      <c r="T557" s="1" t="n">
        <v>59.8</v>
      </c>
      <c r="U557" s="1" t="n">
        <v>270.1</v>
      </c>
      <c r="V557" s="1" t="n">
        <v>270</v>
      </c>
      <c r="W557" s="1" t="n">
        <v>33.6</v>
      </c>
      <c r="X557" s="1" t="n">
        <v>14</v>
      </c>
      <c r="Y557" s="1" t="n">
        <v>39</v>
      </c>
      <c r="Z557" s="1" t="n">
        <v>394</v>
      </c>
      <c r="AA557" s="1" t="n">
        <v>158</v>
      </c>
      <c r="AB557" s="7" t="s">
        <v>81</v>
      </c>
      <c r="AC557" s="7" t="s">
        <v>48</v>
      </c>
      <c r="AD557" s="6" t="s">
        <v>43</v>
      </c>
      <c r="AE557" s="6" t="s">
        <v>43</v>
      </c>
      <c r="AF557" s="4" t="n">
        <f aca="false">IF(T557="","",IF(T557&lt;=30,(50/30)*T557,IF(T557&lt;=60,50+((100-50)/(60-30))*(T557-30),IF(T557&lt;=90,100+((200-100)/(90-60))*(T557-60),IF(T557&lt;=120,200+((300-200)/(120-90))*(T557-90),IF(T557&lt;=250,300+((400-300)/(250-120))*(T557-120),IF(T557&lt;=380,400+((500-400)/(380-250))*(T557-250),500)))))))</f>
        <v>99.6666666666667</v>
      </c>
      <c r="AG557" s="4" t="n">
        <f aca="false">IF(U557="","",IF(U557&lt;=50,(50/50)*U557,IF(U557&lt;=100,50+((100-50)/(100-50))*(U557-50),IF(U557&lt;=250,100+((200-100)/(250-100))*(U557-100),IF(U557&lt;=350,200+((300-200)/(350-250))*(U557-250),IF(U557&lt;=430,300+((400-300)/(430-350))*(U557-350),IF(U557&lt;=600,400+((500-400)/(600-430))*(U557-430),500)))))))</f>
        <v>220.1</v>
      </c>
      <c r="AH557" s="4" t="n">
        <f aca="false">IF(V557="","",IF((V557/1000)&lt;=1,(50/1)*(V557/1000),IF((V557/1000)&lt;=2,50+((100-50)/(2-1))*(V557/1000-1),IF((V557/1000)&lt;=10,100+((200-100)/(10-2))*(V557/1000-2),IF((V557/1000)&lt;=17,200+((300-200)/(17-10))*(V557/1000-10),IF((V557/1000)&lt;=34,300+((400-300)/(34-17))*(V557/1000-17),IF((V557/1000)&lt;=57,400+((500-400)/(57-34))*(V557/1000-34),500)))))))</f>
        <v>13.5</v>
      </c>
      <c r="AI557" s="4" t="n">
        <f aca="false">IF(W557="","",IF(W557&lt;=40,(50/40)*W557,IF(W557&lt;=80,50+((100-50)/(80-40))*(W557-40),IF(W557&lt;=180,100+((200-100)/(180-80))*(W557-80),IF(W557&lt;=280,200+((300-200)/(280-180))*(W557-180),IF(W557&lt;=400,300+((400-300)/(400-280))*(W557-280),IF(W557&lt;=800,400+((500-400)/(800-400))*(W557-400),500)))))))</f>
        <v>42</v>
      </c>
      <c r="AJ557" s="4" t="n">
        <f aca="false">IF(X557="","",IF(X557&lt;=40,(50/40)*X557,IF(X557&lt;=80,50+((100-50)/(80-40))*(X557-40),IF(X557&lt;=380,100+((200-100)/(380-80))*(X557-80),IF(X557&lt;=800,200+((300-200)/(800-380))*(X557-380),IF(X557&lt;=1600,300+((400-300)/(1600-800))*(X557-800),IF(X557&lt;=2100,400+((500-400)/(2100-1600))*(X557-1600),500)))))))</f>
        <v>17.5</v>
      </c>
      <c r="AK557" s="4" t="n">
        <f aca="false">IF(Y557="","",IF(Y557&lt;=50,(50/50)*Y557,IF(Y557&lt;=100,50+((100-50)/(100-50))*(Y557-50),IF(Y557&lt;=168,100+((200-100)/(168-100))*(Y557-100),IF(Y557&lt;=208,200+((300-200)/(208-168))*(Y557-168),IF(Y557&lt;=748,300+((400-300)/(748-208))*(Y557-208),IF(Y557&lt;=1000,400+((500-400)/(1000-748))*(Y557-748),500)))))))</f>
        <v>39</v>
      </c>
      <c r="AL557" s="4" t="n">
        <f aca="false">ROUND(MAX(AF557,AG557,AH557,AI557,AJ557,AK557),0)</f>
        <v>220</v>
      </c>
      <c r="AM557" s="4" t="str">
        <f aca="false">IF(AL557="","",IF(AL557&lt;=50,"Good",IF(AL557&lt;=100,"Satisfactory",IF(AL557&lt;=200,"Moderate",IF(AL557&lt;=300,"Poor",IF(AL557&lt;=400,"Very Poor","Severe"))))))</f>
        <v>Poor</v>
      </c>
    </row>
    <row r="558" customFormat="false" ht="15.75" hidden="false" customHeight="false" outlineLevel="0" collapsed="false">
      <c r="A558" s="1" t="s">
        <v>39</v>
      </c>
      <c r="B558" s="1" t="s">
        <v>40</v>
      </c>
      <c r="C558" s="1" t="n">
        <v>28.4595</v>
      </c>
      <c r="D558" s="1" t="n">
        <v>77.0266</v>
      </c>
      <c r="E558" s="5" t="n">
        <v>45924</v>
      </c>
      <c r="F558" s="6" t="s">
        <v>53</v>
      </c>
      <c r="G558" s="1" t="n">
        <v>9</v>
      </c>
      <c r="H558" s="7" t="s">
        <v>79</v>
      </c>
      <c r="I558" s="6" t="s">
        <v>43</v>
      </c>
      <c r="J558" s="7" t="s">
        <v>44</v>
      </c>
      <c r="K558" s="7" t="s">
        <v>45</v>
      </c>
      <c r="L558" s="1" t="n">
        <v>65</v>
      </c>
      <c r="M558" s="1" t="n">
        <v>17.1</v>
      </c>
      <c r="N558" s="1" t="n">
        <v>14.4</v>
      </c>
      <c r="O558" s="1" t="n">
        <v>0</v>
      </c>
      <c r="P558" s="6" t="s">
        <v>43</v>
      </c>
      <c r="Q558" s="6" t="s">
        <v>43</v>
      </c>
      <c r="R558" s="1" t="n">
        <v>1003.8</v>
      </c>
      <c r="S558" s="1" t="n">
        <v>0</v>
      </c>
      <c r="T558" s="1" t="n">
        <v>56</v>
      </c>
      <c r="U558" s="1" t="n">
        <v>264.5</v>
      </c>
      <c r="V558" s="1" t="n">
        <v>286</v>
      </c>
      <c r="W558" s="1" t="n">
        <v>30</v>
      </c>
      <c r="X558" s="1" t="n">
        <v>12.3</v>
      </c>
      <c r="Y558" s="1" t="n">
        <v>38</v>
      </c>
      <c r="Z558" s="1" t="n">
        <v>403</v>
      </c>
      <c r="AA558" s="1" t="n">
        <v>160</v>
      </c>
      <c r="AB558" s="7" t="s">
        <v>81</v>
      </c>
      <c r="AC558" s="7" t="s">
        <v>48</v>
      </c>
      <c r="AD558" s="6" t="s">
        <v>43</v>
      </c>
      <c r="AE558" s="6" t="s">
        <v>43</v>
      </c>
      <c r="AF558" s="4" t="n">
        <f aca="false">IF(T558="","",IF(T558&lt;=30,(50/30)*T558,IF(T558&lt;=60,50+((100-50)/(60-30))*(T558-30),IF(T558&lt;=90,100+((200-100)/(90-60))*(T558-60),IF(T558&lt;=120,200+((300-200)/(120-90))*(T558-90),IF(T558&lt;=250,300+((400-300)/(250-120))*(T558-120),IF(T558&lt;=380,400+((500-400)/(380-250))*(T558-250),500)))))))</f>
        <v>93.3333333333333</v>
      </c>
      <c r="AG558" s="4" t="n">
        <f aca="false">IF(U558="","",IF(U558&lt;=50,(50/50)*U558,IF(U558&lt;=100,50+((100-50)/(100-50))*(U558-50),IF(U558&lt;=250,100+((200-100)/(250-100))*(U558-100),IF(U558&lt;=350,200+((300-200)/(350-250))*(U558-250),IF(U558&lt;=430,300+((400-300)/(430-350))*(U558-350),IF(U558&lt;=600,400+((500-400)/(600-430))*(U558-430),500)))))))</f>
        <v>214.5</v>
      </c>
      <c r="AH558" s="4" t="n">
        <f aca="false">IF(V558="","",IF((V558/1000)&lt;=1,(50/1)*(V558/1000),IF((V558/1000)&lt;=2,50+((100-50)/(2-1))*(V558/1000-1),IF((V558/1000)&lt;=10,100+((200-100)/(10-2))*(V558/1000-2),IF((V558/1000)&lt;=17,200+((300-200)/(17-10))*(V558/1000-10),IF((V558/1000)&lt;=34,300+((400-300)/(34-17))*(V558/1000-17),IF((V558/1000)&lt;=57,400+((500-400)/(57-34))*(V558/1000-34),500)))))))</f>
        <v>14.3</v>
      </c>
      <c r="AI558" s="4" t="n">
        <f aca="false">IF(W558="","",IF(W558&lt;=40,(50/40)*W558,IF(W558&lt;=80,50+((100-50)/(80-40))*(W558-40),IF(W558&lt;=180,100+((200-100)/(180-80))*(W558-80),IF(W558&lt;=280,200+((300-200)/(280-180))*(W558-180),IF(W558&lt;=400,300+((400-300)/(400-280))*(W558-280),IF(W558&lt;=800,400+((500-400)/(800-400))*(W558-400),500)))))))</f>
        <v>37.5</v>
      </c>
      <c r="AJ558" s="4" t="n">
        <f aca="false">IF(X558="","",IF(X558&lt;=40,(50/40)*X558,IF(X558&lt;=80,50+((100-50)/(80-40))*(X558-40),IF(X558&lt;=380,100+((200-100)/(380-80))*(X558-80),IF(X558&lt;=800,200+((300-200)/(800-380))*(X558-380),IF(X558&lt;=1600,300+((400-300)/(1600-800))*(X558-800),IF(X558&lt;=2100,400+((500-400)/(2100-1600))*(X558-1600),500)))))))</f>
        <v>15.375</v>
      </c>
      <c r="AK558" s="4" t="n">
        <f aca="false">IF(Y558="","",IF(Y558&lt;=50,(50/50)*Y558,IF(Y558&lt;=100,50+((100-50)/(100-50))*(Y558-50),IF(Y558&lt;=168,100+((200-100)/(168-100))*(Y558-100),IF(Y558&lt;=208,200+((300-200)/(208-168))*(Y558-168),IF(Y558&lt;=748,300+((400-300)/(748-208))*(Y558-208),IF(Y558&lt;=1000,400+((500-400)/(1000-748))*(Y558-748),500)))))))</f>
        <v>38</v>
      </c>
      <c r="AL558" s="4" t="n">
        <f aca="false">ROUND(MAX(AF558,AG558,AH558,AI558,AJ558,AK558),0)</f>
        <v>215</v>
      </c>
      <c r="AM558" s="4" t="str">
        <f aca="false">IF(AL558="","",IF(AL558&lt;=50,"Good",IF(AL558&lt;=100,"Satisfactory",IF(AL558&lt;=200,"Moderate",IF(AL558&lt;=300,"Poor",IF(AL558&lt;=400,"Very Poor","Severe"))))))</f>
        <v>Poor</v>
      </c>
    </row>
    <row r="559" customFormat="false" ht="15.75" hidden="false" customHeight="false" outlineLevel="0" collapsed="false">
      <c r="A559" s="1" t="s">
        <v>39</v>
      </c>
      <c r="B559" s="1" t="s">
        <v>40</v>
      </c>
      <c r="C559" s="1" t="n">
        <v>28.4595</v>
      </c>
      <c r="D559" s="1" t="n">
        <v>77.0266</v>
      </c>
      <c r="E559" s="5" t="n">
        <v>45924</v>
      </c>
      <c r="F559" s="6" t="s">
        <v>54</v>
      </c>
      <c r="G559" s="1" t="n">
        <v>9</v>
      </c>
      <c r="H559" s="7" t="s">
        <v>79</v>
      </c>
      <c r="I559" s="6" t="s">
        <v>43</v>
      </c>
      <c r="J559" s="7" t="s">
        <v>44</v>
      </c>
      <c r="K559" s="7" t="s">
        <v>45</v>
      </c>
      <c r="L559" s="1" t="n">
        <v>66</v>
      </c>
      <c r="M559" s="1" t="n">
        <v>16.9</v>
      </c>
      <c r="N559" s="1" t="n">
        <v>16.9</v>
      </c>
      <c r="O559" s="1" t="n">
        <v>0</v>
      </c>
      <c r="P559" s="6" t="s">
        <v>43</v>
      </c>
      <c r="Q559" s="6" t="s">
        <v>43</v>
      </c>
      <c r="R559" s="1" t="n">
        <v>1004</v>
      </c>
      <c r="S559" s="1" t="n">
        <v>0</v>
      </c>
      <c r="T559" s="1" t="n">
        <v>60.8</v>
      </c>
      <c r="U559" s="1" t="n">
        <v>373.5</v>
      </c>
      <c r="V559" s="1" t="n">
        <v>306</v>
      </c>
      <c r="W559" s="1" t="n">
        <v>21.1</v>
      </c>
      <c r="X559" s="1" t="n">
        <v>9.9</v>
      </c>
      <c r="Y559" s="1" t="n">
        <v>48</v>
      </c>
      <c r="Z559" s="1" t="n">
        <v>601</v>
      </c>
      <c r="AA559" s="1" t="n">
        <v>162</v>
      </c>
      <c r="AB559" s="7" t="s">
        <v>81</v>
      </c>
      <c r="AC559" s="7" t="s">
        <v>88</v>
      </c>
      <c r="AD559" s="6" t="s">
        <v>43</v>
      </c>
      <c r="AE559" s="6" t="s">
        <v>43</v>
      </c>
      <c r="AF559" s="4" t="n">
        <f aca="false">IF(T559="","",IF(T559&lt;=30,(50/30)*T559,IF(T559&lt;=60,50+((100-50)/(60-30))*(T559-30),IF(T559&lt;=90,100+((200-100)/(90-60))*(T559-60),IF(T559&lt;=120,200+((300-200)/(120-90))*(T559-90),IF(T559&lt;=250,300+((400-300)/(250-120))*(T559-120),IF(T559&lt;=380,400+((500-400)/(380-250))*(T559-250),500)))))))</f>
        <v>102.666666666667</v>
      </c>
      <c r="AG559" s="4" t="n">
        <f aca="false">IF(U559="","",IF(U559&lt;=50,(50/50)*U559,IF(U559&lt;=100,50+((100-50)/(100-50))*(U559-50),IF(U559&lt;=250,100+((200-100)/(250-100))*(U559-100),IF(U559&lt;=350,200+((300-200)/(350-250))*(U559-250),IF(U559&lt;=430,300+((400-300)/(430-350))*(U559-350),IF(U559&lt;=600,400+((500-400)/(600-430))*(U559-430),500)))))))</f>
        <v>329.375</v>
      </c>
      <c r="AH559" s="4" t="n">
        <f aca="false">IF(V559="","",IF((V559/1000)&lt;=1,(50/1)*(V559/1000),IF((V559/1000)&lt;=2,50+((100-50)/(2-1))*(V559/1000-1),IF((V559/1000)&lt;=10,100+((200-100)/(10-2))*(V559/1000-2),IF((V559/1000)&lt;=17,200+((300-200)/(17-10))*(V559/1000-10),IF((V559/1000)&lt;=34,300+((400-300)/(34-17))*(V559/1000-17),IF((V559/1000)&lt;=57,400+((500-400)/(57-34))*(V559/1000-34),500)))))))</f>
        <v>15.3</v>
      </c>
      <c r="AI559" s="4" t="n">
        <f aca="false">IF(W559="","",IF(W559&lt;=40,(50/40)*W559,IF(W559&lt;=80,50+((100-50)/(80-40))*(W559-40),IF(W559&lt;=180,100+((200-100)/(180-80))*(W559-80),IF(W559&lt;=280,200+((300-200)/(280-180))*(W559-180),IF(W559&lt;=400,300+((400-300)/(400-280))*(W559-280),IF(W559&lt;=800,400+((500-400)/(800-400))*(W559-400),500)))))))</f>
        <v>26.375</v>
      </c>
      <c r="AJ559" s="4" t="n">
        <f aca="false">IF(X559="","",IF(X559&lt;=40,(50/40)*X559,IF(X559&lt;=80,50+((100-50)/(80-40))*(X559-40),IF(X559&lt;=380,100+((200-100)/(380-80))*(X559-80),IF(X559&lt;=800,200+((300-200)/(800-380))*(X559-380),IF(X559&lt;=1600,300+((400-300)/(1600-800))*(X559-800),IF(X559&lt;=2100,400+((500-400)/(2100-1600))*(X559-1600),500)))))))</f>
        <v>12.375</v>
      </c>
      <c r="AK559" s="4" t="n">
        <f aca="false">IF(Y559="","",IF(Y559&lt;=50,(50/50)*Y559,IF(Y559&lt;=100,50+((100-50)/(100-50))*(Y559-50),IF(Y559&lt;=168,100+((200-100)/(168-100))*(Y559-100),IF(Y559&lt;=208,200+((300-200)/(208-168))*(Y559-168),IF(Y559&lt;=748,300+((400-300)/(748-208))*(Y559-208),IF(Y559&lt;=1000,400+((500-400)/(1000-748))*(Y559-748),500)))))))</f>
        <v>48</v>
      </c>
      <c r="AL559" s="4" t="n">
        <f aca="false">ROUND(MAX(AF559,AG559,AH559,AI559,AJ559,AK559),0)</f>
        <v>329</v>
      </c>
      <c r="AM559" s="4" t="str">
        <f aca="false">IF(AL559="","",IF(AL559&lt;=50,"Good",IF(AL559&lt;=100,"Satisfactory",IF(AL559&lt;=200,"Moderate",IF(AL559&lt;=300,"Poor",IF(AL559&lt;=400,"Very Poor","Severe"))))))</f>
        <v>Very Poor</v>
      </c>
    </row>
    <row r="560" customFormat="false" ht="15.75" hidden="false" customHeight="false" outlineLevel="0" collapsed="false">
      <c r="A560" s="1" t="s">
        <v>39</v>
      </c>
      <c r="B560" s="1" t="s">
        <v>40</v>
      </c>
      <c r="C560" s="1" t="n">
        <v>28.4595</v>
      </c>
      <c r="D560" s="1" t="n">
        <v>77.0266</v>
      </c>
      <c r="E560" s="5" t="n">
        <v>45924</v>
      </c>
      <c r="F560" s="6" t="s">
        <v>55</v>
      </c>
      <c r="G560" s="1" t="n">
        <v>9</v>
      </c>
      <c r="H560" s="7" t="s">
        <v>79</v>
      </c>
      <c r="I560" s="6" t="s">
        <v>43</v>
      </c>
      <c r="J560" s="7" t="s">
        <v>44</v>
      </c>
      <c r="K560" s="7" t="s">
        <v>56</v>
      </c>
      <c r="L560" s="1" t="n">
        <v>71</v>
      </c>
      <c r="M560" s="1" t="n">
        <v>19.5</v>
      </c>
      <c r="N560" s="1" t="n">
        <v>22.3</v>
      </c>
      <c r="O560" s="1" t="n">
        <v>0</v>
      </c>
      <c r="P560" s="6" t="s">
        <v>43</v>
      </c>
      <c r="Q560" s="6" t="s">
        <v>43</v>
      </c>
      <c r="R560" s="1" t="n">
        <v>1004.6</v>
      </c>
      <c r="S560" s="1" t="n">
        <v>0</v>
      </c>
      <c r="T560" s="1" t="n">
        <v>55.3</v>
      </c>
      <c r="U560" s="1" t="n">
        <v>327.8</v>
      </c>
      <c r="V560" s="1" t="n">
        <v>332</v>
      </c>
      <c r="W560" s="1" t="n">
        <v>22.3</v>
      </c>
      <c r="X560" s="1" t="n">
        <v>10.5</v>
      </c>
      <c r="Y560" s="1" t="n">
        <v>50</v>
      </c>
      <c r="Z560" s="1" t="n">
        <v>537</v>
      </c>
      <c r="AA560" s="1" t="n">
        <v>166</v>
      </c>
      <c r="AB560" s="7" t="s">
        <v>81</v>
      </c>
      <c r="AC560" s="7" t="s">
        <v>48</v>
      </c>
      <c r="AD560" s="6" t="s">
        <v>43</v>
      </c>
      <c r="AE560" s="6" t="s">
        <v>43</v>
      </c>
      <c r="AF560" s="4" t="n">
        <f aca="false">IF(T560="","",IF(T560&lt;=30,(50/30)*T560,IF(T560&lt;=60,50+((100-50)/(60-30))*(T560-30),IF(T560&lt;=90,100+((200-100)/(90-60))*(T560-60),IF(T560&lt;=120,200+((300-200)/(120-90))*(T560-90),IF(T560&lt;=250,300+((400-300)/(250-120))*(T560-120),IF(T560&lt;=380,400+((500-400)/(380-250))*(T560-250),500)))))))</f>
        <v>92.1666666666667</v>
      </c>
      <c r="AG560" s="4" t="n">
        <f aca="false">IF(U560="","",IF(U560&lt;=50,(50/50)*U560,IF(U560&lt;=100,50+((100-50)/(100-50))*(U560-50),IF(U560&lt;=250,100+((200-100)/(250-100))*(U560-100),IF(U560&lt;=350,200+((300-200)/(350-250))*(U560-250),IF(U560&lt;=430,300+((400-300)/(430-350))*(U560-350),IF(U560&lt;=600,400+((500-400)/(600-430))*(U560-430),500)))))))</f>
        <v>277.8</v>
      </c>
      <c r="AH560" s="4" t="n">
        <f aca="false">IF(V560="","",IF((V560/1000)&lt;=1,(50/1)*(V560/1000),IF((V560/1000)&lt;=2,50+((100-50)/(2-1))*(V560/1000-1),IF((V560/1000)&lt;=10,100+((200-100)/(10-2))*(V560/1000-2),IF((V560/1000)&lt;=17,200+((300-200)/(17-10))*(V560/1000-10),IF((V560/1000)&lt;=34,300+((400-300)/(34-17))*(V560/1000-17),IF((V560/1000)&lt;=57,400+((500-400)/(57-34))*(V560/1000-34),500)))))))</f>
        <v>16.6</v>
      </c>
      <c r="AI560" s="4" t="n">
        <f aca="false">IF(W560="","",IF(W560&lt;=40,(50/40)*W560,IF(W560&lt;=80,50+((100-50)/(80-40))*(W560-40),IF(W560&lt;=180,100+((200-100)/(180-80))*(W560-80),IF(W560&lt;=280,200+((300-200)/(280-180))*(W560-180),IF(W560&lt;=400,300+((400-300)/(400-280))*(W560-280),IF(W560&lt;=800,400+((500-400)/(800-400))*(W560-400),500)))))))</f>
        <v>27.875</v>
      </c>
      <c r="AJ560" s="4" t="n">
        <f aca="false">IF(X560="","",IF(X560&lt;=40,(50/40)*X560,IF(X560&lt;=80,50+((100-50)/(80-40))*(X560-40),IF(X560&lt;=380,100+((200-100)/(380-80))*(X560-80),IF(X560&lt;=800,200+((300-200)/(800-380))*(X560-380),IF(X560&lt;=1600,300+((400-300)/(1600-800))*(X560-800),IF(X560&lt;=2100,400+((500-400)/(2100-1600))*(X560-1600),500)))))))</f>
        <v>13.125</v>
      </c>
      <c r="AK560" s="4" t="n">
        <f aca="false">IF(Y560="","",IF(Y560&lt;=50,(50/50)*Y560,IF(Y560&lt;=100,50+((100-50)/(100-50))*(Y560-50),IF(Y560&lt;=168,100+((200-100)/(168-100))*(Y560-100),IF(Y560&lt;=208,200+((300-200)/(208-168))*(Y560-168),IF(Y560&lt;=748,300+((400-300)/(748-208))*(Y560-208),IF(Y560&lt;=1000,400+((500-400)/(1000-748))*(Y560-748),500)))))))</f>
        <v>50</v>
      </c>
      <c r="AL560" s="4" t="n">
        <f aca="false">ROUND(MAX(AF560,AG560,AH560,AI560,AJ560,AK560),0)</f>
        <v>278</v>
      </c>
      <c r="AM560" s="4" t="str">
        <f aca="false">IF(AL560="","",IF(AL560&lt;=50,"Good",IF(AL560&lt;=100,"Satisfactory",IF(AL560&lt;=200,"Moderate",IF(AL560&lt;=300,"Poor",IF(AL560&lt;=400,"Very Poor","Severe"))))))</f>
        <v>Poor</v>
      </c>
    </row>
    <row r="561" customFormat="false" ht="15.75" hidden="false" customHeight="false" outlineLevel="0" collapsed="false">
      <c r="A561" s="1" t="s">
        <v>39</v>
      </c>
      <c r="B561" s="1" t="s">
        <v>40</v>
      </c>
      <c r="C561" s="1" t="n">
        <v>28.4595</v>
      </c>
      <c r="D561" s="1" t="n">
        <v>77.0266</v>
      </c>
      <c r="E561" s="5" t="n">
        <v>45924</v>
      </c>
      <c r="F561" s="6" t="s">
        <v>57</v>
      </c>
      <c r="G561" s="1" t="n">
        <v>9</v>
      </c>
      <c r="H561" s="7" t="s">
        <v>79</v>
      </c>
      <c r="I561" s="6" t="s">
        <v>43</v>
      </c>
      <c r="J561" s="7" t="s">
        <v>44</v>
      </c>
      <c r="K561" s="7" t="s">
        <v>56</v>
      </c>
      <c r="L561" s="1" t="n">
        <v>70</v>
      </c>
      <c r="M561" s="1" t="n">
        <v>20.5</v>
      </c>
      <c r="N561" s="1" t="n">
        <v>24.8</v>
      </c>
      <c r="O561" s="1" t="n">
        <v>0</v>
      </c>
      <c r="P561" s="6" t="s">
        <v>43</v>
      </c>
      <c r="Q561" s="6" t="s">
        <v>43</v>
      </c>
      <c r="R561" s="1" t="n">
        <v>1005.2</v>
      </c>
      <c r="S561" s="1" t="n">
        <v>0</v>
      </c>
      <c r="T561" s="1" t="n">
        <v>53.4</v>
      </c>
      <c r="U561" s="1" t="n">
        <v>300.8</v>
      </c>
      <c r="V561" s="1" t="n">
        <v>363</v>
      </c>
      <c r="W561" s="1" t="n">
        <v>23.7</v>
      </c>
      <c r="X561" s="1" t="n">
        <v>11.4</v>
      </c>
      <c r="Y561" s="1" t="n">
        <v>54</v>
      </c>
      <c r="Z561" s="1" t="n">
        <v>452</v>
      </c>
      <c r="AA561" s="1" t="n">
        <v>169</v>
      </c>
      <c r="AB561" s="7" t="s">
        <v>81</v>
      </c>
      <c r="AC561" s="7" t="s">
        <v>48</v>
      </c>
      <c r="AD561" s="6" t="s">
        <v>43</v>
      </c>
      <c r="AE561" s="6" t="s">
        <v>43</v>
      </c>
      <c r="AF561" s="4" t="n">
        <f aca="false">IF(T561="","",IF(T561&lt;=30,(50/30)*T561,IF(T561&lt;=60,50+((100-50)/(60-30))*(T561-30),IF(T561&lt;=90,100+((200-100)/(90-60))*(T561-60),IF(T561&lt;=120,200+((300-200)/(120-90))*(T561-90),IF(T561&lt;=250,300+((400-300)/(250-120))*(T561-120),IF(T561&lt;=380,400+((500-400)/(380-250))*(T561-250),500)))))))</f>
        <v>89</v>
      </c>
      <c r="AG561" s="4" t="n">
        <f aca="false">IF(U561="","",IF(U561&lt;=50,(50/50)*U561,IF(U561&lt;=100,50+((100-50)/(100-50))*(U561-50),IF(U561&lt;=250,100+((200-100)/(250-100))*(U561-100),IF(U561&lt;=350,200+((300-200)/(350-250))*(U561-250),IF(U561&lt;=430,300+((400-300)/(430-350))*(U561-350),IF(U561&lt;=600,400+((500-400)/(600-430))*(U561-430),500)))))))</f>
        <v>250.8</v>
      </c>
      <c r="AH561" s="4" t="n">
        <f aca="false">IF(V561="","",IF((V561/1000)&lt;=1,(50/1)*(V561/1000),IF((V561/1000)&lt;=2,50+((100-50)/(2-1))*(V561/1000-1),IF((V561/1000)&lt;=10,100+((200-100)/(10-2))*(V561/1000-2),IF((V561/1000)&lt;=17,200+((300-200)/(17-10))*(V561/1000-10),IF((V561/1000)&lt;=34,300+((400-300)/(34-17))*(V561/1000-17),IF((V561/1000)&lt;=57,400+((500-400)/(57-34))*(V561/1000-34),500)))))))</f>
        <v>18.15</v>
      </c>
      <c r="AI561" s="4" t="n">
        <f aca="false">IF(W561="","",IF(W561&lt;=40,(50/40)*W561,IF(W561&lt;=80,50+((100-50)/(80-40))*(W561-40),IF(W561&lt;=180,100+((200-100)/(180-80))*(W561-80),IF(W561&lt;=280,200+((300-200)/(280-180))*(W561-180),IF(W561&lt;=400,300+((400-300)/(400-280))*(W561-280),IF(W561&lt;=800,400+((500-400)/(800-400))*(W561-400),500)))))))</f>
        <v>29.625</v>
      </c>
      <c r="AJ561" s="4" t="n">
        <f aca="false">IF(X561="","",IF(X561&lt;=40,(50/40)*X561,IF(X561&lt;=80,50+((100-50)/(80-40))*(X561-40),IF(X561&lt;=380,100+((200-100)/(380-80))*(X561-80),IF(X561&lt;=800,200+((300-200)/(800-380))*(X561-380),IF(X561&lt;=1600,300+((400-300)/(1600-800))*(X561-800),IF(X561&lt;=2100,400+((500-400)/(2100-1600))*(X561-1600),500)))))))</f>
        <v>14.25</v>
      </c>
      <c r="AK561" s="4" t="n">
        <f aca="false">IF(Y561="","",IF(Y561&lt;=50,(50/50)*Y561,IF(Y561&lt;=100,50+((100-50)/(100-50))*(Y561-50),IF(Y561&lt;=168,100+((200-100)/(168-100))*(Y561-100),IF(Y561&lt;=208,200+((300-200)/(208-168))*(Y561-168),IF(Y561&lt;=748,300+((400-300)/(748-208))*(Y561-208),IF(Y561&lt;=1000,400+((500-400)/(1000-748))*(Y561-748),500)))))))</f>
        <v>54</v>
      </c>
      <c r="AL561" s="4" t="n">
        <f aca="false">ROUND(MAX(AF561,AG561,AH561,AI561,AJ561,AK561),0)</f>
        <v>251</v>
      </c>
      <c r="AM561" s="4" t="str">
        <f aca="false">IF(AL561="","",IF(AL561&lt;=50,"Good",IF(AL561&lt;=100,"Satisfactory",IF(AL561&lt;=200,"Moderate",IF(AL561&lt;=300,"Poor",IF(AL561&lt;=400,"Very Poor","Severe"))))))</f>
        <v>Poor</v>
      </c>
    </row>
    <row r="562" customFormat="false" ht="15.75" hidden="false" customHeight="false" outlineLevel="0" collapsed="false">
      <c r="A562" s="1" t="s">
        <v>39</v>
      </c>
      <c r="B562" s="1" t="s">
        <v>40</v>
      </c>
      <c r="C562" s="1" t="n">
        <v>28.4595</v>
      </c>
      <c r="D562" s="1" t="n">
        <v>77.0266</v>
      </c>
      <c r="E562" s="5" t="n">
        <v>45924</v>
      </c>
      <c r="F562" s="6" t="s">
        <v>58</v>
      </c>
      <c r="G562" s="1" t="n">
        <v>9</v>
      </c>
      <c r="H562" s="7" t="s">
        <v>79</v>
      </c>
      <c r="I562" s="6" t="s">
        <v>43</v>
      </c>
      <c r="J562" s="7" t="s">
        <v>44</v>
      </c>
      <c r="K562" s="7" t="s">
        <v>56</v>
      </c>
      <c r="L562" s="1" t="n">
        <v>66</v>
      </c>
      <c r="M562" s="1" t="n">
        <v>21.4</v>
      </c>
      <c r="N562" s="1" t="n">
        <v>28.8</v>
      </c>
      <c r="O562" s="1" t="n">
        <v>0</v>
      </c>
      <c r="P562" s="6" t="s">
        <v>43</v>
      </c>
      <c r="Q562" s="6" t="s">
        <v>43</v>
      </c>
      <c r="R562" s="1" t="n">
        <v>1005.6</v>
      </c>
      <c r="S562" s="1" t="n">
        <v>0</v>
      </c>
      <c r="T562" s="1" t="n">
        <v>49.8</v>
      </c>
      <c r="U562" s="1" t="n">
        <v>264.5</v>
      </c>
      <c r="V562" s="1" t="n">
        <v>369</v>
      </c>
      <c r="W562" s="1" t="n">
        <v>23</v>
      </c>
      <c r="X562" s="1" t="n">
        <v>12.2</v>
      </c>
      <c r="Y562" s="1" t="n">
        <v>66</v>
      </c>
      <c r="Z562" s="1" t="n">
        <v>416</v>
      </c>
      <c r="AA562" s="1" t="n">
        <v>170</v>
      </c>
      <c r="AB562" s="7" t="s">
        <v>81</v>
      </c>
      <c r="AC562" s="7" t="s">
        <v>48</v>
      </c>
      <c r="AD562" s="6" t="s">
        <v>43</v>
      </c>
      <c r="AE562" s="6" t="s">
        <v>43</v>
      </c>
      <c r="AF562" s="4" t="n">
        <f aca="false">IF(T562="","",IF(T562&lt;=30,(50/30)*T562,IF(T562&lt;=60,50+((100-50)/(60-30))*(T562-30),IF(T562&lt;=90,100+((200-100)/(90-60))*(T562-60),IF(T562&lt;=120,200+((300-200)/(120-90))*(T562-90),IF(T562&lt;=250,300+((400-300)/(250-120))*(T562-120),IF(T562&lt;=380,400+((500-400)/(380-250))*(T562-250),500)))))))</f>
        <v>83</v>
      </c>
      <c r="AG562" s="4" t="n">
        <f aca="false">IF(U562="","",IF(U562&lt;=50,(50/50)*U562,IF(U562&lt;=100,50+((100-50)/(100-50))*(U562-50),IF(U562&lt;=250,100+((200-100)/(250-100))*(U562-100),IF(U562&lt;=350,200+((300-200)/(350-250))*(U562-250),IF(U562&lt;=430,300+((400-300)/(430-350))*(U562-350),IF(U562&lt;=600,400+((500-400)/(600-430))*(U562-430),500)))))))</f>
        <v>214.5</v>
      </c>
      <c r="AH562" s="4" t="n">
        <f aca="false">IF(V562="","",IF((V562/1000)&lt;=1,(50/1)*(V562/1000),IF((V562/1000)&lt;=2,50+((100-50)/(2-1))*(V562/1000-1),IF((V562/1000)&lt;=10,100+((200-100)/(10-2))*(V562/1000-2),IF((V562/1000)&lt;=17,200+((300-200)/(17-10))*(V562/1000-10),IF((V562/1000)&lt;=34,300+((400-300)/(34-17))*(V562/1000-17),IF((V562/1000)&lt;=57,400+((500-400)/(57-34))*(V562/1000-34),500)))))))</f>
        <v>18.45</v>
      </c>
      <c r="AI562" s="4" t="n">
        <f aca="false">IF(W562="","",IF(W562&lt;=40,(50/40)*W562,IF(W562&lt;=80,50+((100-50)/(80-40))*(W562-40),IF(W562&lt;=180,100+((200-100)/(180-80))*(W562-80),IF(W562&lt;=280,200+((300-200)/(280-180))*(W562-180),IF(W562&lt;=400,300+((400-300)/(400-280))*(W562-280),IF(W562&lt;=800,400+((500-400)/(800-400))*(W562-400),500)))))))</f>
        <v>28.75</v>
      </c>
      <c r="AJ562" s="4" t="n">
        <f aca="false">IF(X562="","",IF(X562&lt;=40,(50/40)*X562,IF(X562&lt;=80,50+((100-50)/(80-40))*(X562-40),IF(X562&lt;=380,100+((200-100)/(380-80))*(X562-80),IF(X562&lt;=800,200+((300-200)/(800-380))*(X562-380),IF(X562&lt;=1600,300+((400-300)/(1600-800))*(X562-800),IF(X562&lt;=2100,400+((500-400)/(2100-1600))*(X562-1600),500)))))))</f>
        <v>15.25</v>
      </c>
      <c r="AK562" s="4" t="n">
        <f aca="false">IF(Y562="","",IF(Y562&lt;=50,(50/50)*Y562,IF(Y562&lt;=100,50+((100-50)/(100-50))*(Y562-50),IF(Y562&lt;=168,100+((200-100)/(168-100))*(Y562-100),IF(Y562&lt;=208,200+((300-200)/(208-168))*(Y562-168),IF(Y562&lt;=748,300+((400-300)/(748-208))*(Y562-208),IF(Y562&lt;=1000,400+((500-400)/(1000-748))*(Y562-748),500)))))))</f>
        <v>66</v>
      </c>
      <c r="AL562" s="4" t="n">
        <f aca="false">ROUND(MAX(AF562,AG562,AH562,AI562,AJ562,AK562),0)</f>
        <v>215</v>
      </c>
      <c r="AM562" s="4" t="str">
        <f aca="false">IF(AL562="","",IF(AL562&lt;=50,"Good",IF(AL562&lt;=100,"Satisfactory",IF(AL562&lt;=200,"Moderate",IF(AL562&lt;=300,"Poor",IF(AL562&lt;=400,"Very Poor","Severe"))))))</f>
        <v>Poor</v>
      </c>
    </row>
    <row r="563" customFormat="false" ht="15.75" hidden="false" customHeight="false" outlineLevel="0" collapsed="false">
      <c r="A563" s="1" t="s">
        <v>39</v>
      </c>
      <c r="B563" s="1" t="s">
        <v>40</v>
      </c>
      <c r="C563" s="1" t="n">
        <v>28.4595</v>
      </c>
      <c r="D563" s="1" t="n">
        <v>77.0266</v>
      </c>
      <c r="E563" s="5" t="n">
        <v>45924</v>
      </c>
      <c r="F563" s="6" t="s">
        <v>59</v>
      </c>
      <c r="G563" s="1" t="n">
        <v>9</v>
      </c>
      <c r="H563" s="7" t="s">
        <v>79</v>
      </c>
      <c r="I563" s="6" t="s">
        <v>43</v>
      </c>
      <c r="J563" s="7" t="s">
        <v>44</v>
      </c>
      <c r="K563" s="7" t="s">
        <v>60</v>
      </c>
      <c r="L563" s="1" t="n">
        <v>59</v>
      </c>
      <c r="M563" s="1" t="n">
        <v>21.5</v>
      </c>
      <c r="N563" s="1" t="n">
        <v>35.3</v>
      </c>
      <c r="O563" s="1" t="n">
        <v>0</v>
      </c>
      <c r="P563" s="6" t="s">
        <v>43</v>
      </c>
      <c r="Q563" s="6" t="s">
        <v>43</v>
      </c>
      <c r="R563" s="1" t="n">
        <v>1005.8</v>
      </c>
      <c r="S563" s="1" t="n">
        <v>0</v>
      </c>
      <c r="T563" s="1" t="n">
        <v>48.9</v>
      </c>
      <c r="U563" s="1" t="n">
        <v>285.9</v>
      </c>
      <c r="V563" s="1" t="n">
        <v>325</v>
      </c>
      <c r="W563" s="1" t="n">
        <v>18.4</v>
      </c>
      <c r="X563" s="1" t="n">
        <v>13</v>
      </c>
      <c r="Y563" s="1" t="n">
        <v>93</v>
      </c>
      <c r="Z563" s="1" t="n">
        <v>474</v>
      </c>
      <c r="AA563" s="1" t="n">
        <v>171</v>
      </c>
      <c r="AB563" s="7" t="s">
        <v>81</v>
      </c>
      <c r="AC563" s="7" t="s">
        <v>48</v>
      </c>
      <c r="AD563" s="6" t="s">
        <v>43</v>
      </c>
      <c r="AE563" s="6" t="s">
        <v>43</v>
      </c>
      <c r="AF563" s="4" t="n">
        <f aca="false">IF(T563="","",IF(T563&lt;=30,(50/30)*T563,IF(T563&lt;=60,50+((100-50)/(60-30))*(T563-30),IF(T563&lt;=90,100+((200-100)/(90-60))*(T563-60),IF(T563&lt;=120,200+((300-200)/(120-90))*(T563-90),IF(T563&lt;=250,300+((400-300)/(250-120))*(T563-120),IF(T563&lt;=380,400+((500-400)/(380-250))*(T563-250),500)))))))</f>
        <v>81.5</v>
      </c>
      <c r="AG563" s="4" t="n">
        <f aca="false">IF(U563="","",IF(U563&lt;=50,(50/50)*U563,IF(U563&lt;=100,50+((100-50)/(100-50))*(U563-50),IF(U563&lt;=250,100+((200-100)/(250-100))*(U563-100),IF(U563&lt;=350,200+((300-200)/(350-250))*(U563-250),IF(U563&lt;=430,300+((400-300)/(430-350))*(U563-350),IF(U563&lt;=600,400+((500-400)/(600-430))*(U563-430),500)))))))</f>
        <v>235.9</v>
      </c>
      <c r="AH563" s="4" t="n">
        <f aca="false">IF(V563="","",IF((V563/1000)&lt;=1,(50/1)*(V563/1000),IF((V563/1000)&lt;=2,50+((100-50)/(2-1))*(V563/1000-1),IF((V563/1000)&lt;=10,100+((200-100)/(10-2))*(V563/1000-2),IF((V563/1000)&lt;=17,200+((300-200)/(17-10))*(V563/1000-10),IF((V563/1000)&lt;=34,300+((400-300)/(34-17))*(V563/1000-17),IF((V563/1000)&lt;=57,400+((500-400)/(57-34))*(V563/1000-34),500)))))))</f>
        <v>16.25</v>
      </c>
      <c r="AI563" s="4" t="n">
        <f aca="false">IF(W563="","",IF(W563&lt;=40,(50/40)*W563,IF(W563&lt;=80,50+((100-50)/(80-40))*(W563-40),IF(W563&lt;=180,100+((200-100)/(180-80))*(W563-80),IF(W563&lt;=280,200+((300-200)/(280-180))*(W563-180),IF(W563&lt;=400,300+((400-300)/(400-280))*(W563-280),IF(W563&lt;=800,400+((500-400)/(800-400))*(W563-400),500)))))))</f>
        <v>23</v>
      </c>
      <c r="AJ563" s="4" t="n">
        <f aca="false">IF(X563="","",IF(X563&lt;=40,(50/40)*X563,IF(X563&lt;=80,50+((100-50)/(80-40))*(X563-40),IF(X563&lt;=380,100+((200-100)/(380-80))*(X563-80),IF(X563&lt;=800,200+((300-200)/(800-380))*(X563-380),IF(X563&lt;=1600,300+((400-300)/(1600-800))*(X563-800),IF(X563&lt;=2100,400+((500-400)/(2100-1600))*(X563-1600),500)))))))</f>
        <v>16.25</v>
      </c>
      <c r="AK563" s="4" t="n">
        <f aca="false">IF(Y563="","",IF(Y563&lt;=50,(50/50)*Y563,IF(Y563&lt;=100,50+((100-50)/(100-50))*(Y563-50),IF(Y563&lt;=168,100+((200-100)/(168-100))*(Y563-100),IF(Y563&lt;=208,200+((300-200)/(208-168))*(Y563-168),IF(Y563&lt;=748,300+((400-300)/(748-208))*(Y563-208),IF(Y563&lt;=1000,400+((500-400)/(1000-748))*(Y563-748),500)))))))</f>
        <v>93</v>
      </c>
      <c r="AL563" s="4" t="n">
        <f aca="false">ROUND(MAX(AF563,AG563,AH563,AI563,AJ563,AK563),0)</f>
        <v>236</v>
      </c>
      <c r="AM563" s="4" t="str">
        <f aca="false">IF(AL563="","",IF(AL563&lt;=50,"Good",IF(AL563&lt;=100,"Satisfactory",IF(AL563&lt;=200,"Moderate",IF(AL563&lt;=300,"Poor",IF(AL563&lt;=400,"Very Poor","Severe"))))))</f>
        <v>Poor</v>
      </c>
    </row>
    <row r="564" customFormat="false" ht="15.75" hidden="false" customHeight="false" outlineLevel="0" collapsed="false">
      <c r="A564" s="1" t="s">
        <v>39</v>
      </c>
      <c r="B564" s="1" t="s">
        <v>40</v>
      </c>
      <c r="C564" s="1" t="n">
        <v>28.4595</v>
      </c>
      <c r="D564" s="1" t="n">
        <v>77.0266</v>
      </c>
      <c r="E564" s="5" t="n">
        <v>45924</v>
      </c>
      <c r="F564" s="6" t="s">
        <v>61</v>
      </c>
      <c r="G564" s="1" t="n">
        <v>9</v>
      </c>
      <c r="H564" s="7" t="s">
        <v>79</v>
      </c>
      <c r="I564" s="6" t="s">
        <v>43</v>
      </c>
      <c r="J564" s="7" t="s">
        <v>44</v>
      </c>
      <c r="K564" s="7" t="s">
        <v>60</v>
      </c>
      <c r="L564" s="1" t="n">
        <v>53</v>
      </c>
      <c r="M564" s="1" t="n">
        <v>21.2</v>
      </c>
      <c r="N564" s="1" t="n">
        <v>38.5</v>
      </c>
      <c r="O564" s="1" t="n">
        <v>0</v>
      </c>
      <c r="P564" s="6" t="s">
        <v>43</v>
      </c>
      <c r="Q564" s="6" t="s">
        <v>43</v>
      </c>
      <c r="R564" s="1" t="n">
        <v>1005.5</v>
      </c>
      <c r="S564" s="1" t="n">
        <v>0</v>
      </c>
      <c r="T564" s="1" t="n">
        <v>51.6</v>
      </c>
      <c r="U564" s="1" t="n">
        <v>338.1</v>
      </c>
      <c r="V564" s="1" t="n">
        <v>255</v>
      </c>
      <c r="W564" s="1" t="n">
        <v>11.7</v>
      </c>
      <c r="X564" s="1" t="n">
        <v>13.7</v>
      </c>
      <c r="Y564" s="1" t="n">
        <v>127</v>
      </c>
      <c r="Z564" s="1" t="n">
        <v>580</v>
      </c>
      <c r="AA564" s="1" t="n">
        <v>172</v>
      </c>
      <c r="AB564" s="7" t="s">
        <v>81</v>
      </c>
      <c r="AC564" s="7" t="s">
        <v>48</v>
      </c>
      <c r="AD564" s="6" t="s">
        <v>43</v>
      </c>
      <c r="AE564" s="6" t="s">
        <v>43</v>
      </c>
      <c r="AF564" s="4" t="n">
        <f aca="false">IF(T564="","",IF(T564&lt;=30,(50/30)*T564,IF(T564&lt;=60,50+((100-50)/(60-30))*(T564-30),IF(T564&lt;=90,100+((200-100)/(90-60))*(T564-60),IF(T564&lt;=120,200+((300-200)/(120-90))*(T564-90),IF(T564&lt;=250,300+((400-300)/(250-120))*(T564-120),IF(T564&lt;=380,400+((500-400)/(380-250))*(T564-250),500)))))))</f>
        <v>86</v>
      </c>
      <c r="AG564" s="4" t="n">
        <f aca="false">IF(U564="","",IF(U564&lt;=50,(50/50)*U564,IF(U564&lt;=100,50+((100-50)/(100-50))*(U564-50),IF(U564&lt;=250,100+((200-100)/(250-100))*(U564-100),IF(U564&lt;=350,200+((300-200)/(350-250))*(U564-250),IF(U564&lt;=430,300+((400-300)/(430-350))*(U564-350),IF(U564&lt;=600,400+((500-400)/(600-430))*(U564-430),500)))))))</f>
        <v>288.1</v>
      </c>
      <c r="AH564" s="4" t="n">
        <f aca="false">IF(V564="","",IF((V564/1000)&lt;=1,(50/1)*(V564/1000),IF((V564/1000)&lt;=2,50+((100-50)/(2-1))*(V564/1000-1),IF((V564/1000)&lt;=10,100+((200-100)/(10-2))*(V564/1000-2),IF((V564/1000)&lt;=17,200+((300-200)/(17-10))*(V564/1000-10),IF((V564/1000)&lt;=34,300+((400-300)/(34-17))*(V564/1000-17),IF((V564/1000)&lt;=57,400+((500-400)/(57-34))*(V564/1000-34),500)))))))</f>
        <v>12.75</v>
      </c>
      <c r="AI564" s="4" t="n">
        <f aca="false">IF(W564="","",IF(W564&lt;=40,(50/40)*W564,IF(W564&lt;=80,50+((100-50)/(80-40))*(W564-40),IF(W564&lt;=180,100+((200-100)/(180-80))*(W564-80),IF(W564&lt;=280,200+((300-200)/(280-180))*(W564-180),IF(W564&lt;=400,300+((400-300)/(400-280))*(W564-280),IF(W564&lt;=800,400+((500-400)/(800-400))*(W564-400),500)))))))</f>
        <v>14.625</v>
      </c>
      <c r="AJ564" s="4" t="n">
        <f aca="false">IF(X564="","",IF(X564&lt;=40,(50/40)*X564,IF(X564&lt;=80,50+((100-50)/(80-40))*(X564-40),IF(X564&lt;=380,100+((200-100)/(380-80))*(X564-80),IF(X564&lt;=800,200+((300-200)/(800-380))*(X564-380),IF(X564&lt;=1600,300+((400-300)/(1600-800))*(X564-800),IF(X564&lt;=2100,400+((500-400)/(2100-1600))*(X564-1600),500)))))))</f>
        <v>17.125</v>
      </c>
      <c r="AK564" s="4" t="n">
        <f aca="false">IF(Y564="","",IF(Y564&lt;=50,(50/50)*Y564,IF(Y564&lt;=100,50+((100-50)/(100-50))*(Y564-50),IF(Y564&lt;=168,100+((200-100)/(168-100))*(Y564-100),IF(Y564&lt;=208,200+((300-200)/(208-168))*(Y564-168),IF(Y564&lt;=748,300+((400-300)/(748-208))*(Y564-208),IF(Y564&lt;=1000,400+((500-400)/(1000-748))*(Y564-748),500)))))))</f>
        <v>139.705882352941</v>
      </c>
      <c r="AL564" s="4" t="n">
        <f aca="false">ROUND(MAX(AF564,AG564,AH564,AI564,AJ564,AK564),0)</f>
        <v>288</v>
      </c>
      <c r="AM564" s="4" t="str">
        <f aca="false">IF(AL564="","",IF(AL564&lt;=50,"Good",IF(AL564&lt;=100,"Satisfactory",IF(AL564&lt;=200,"Moderate",IF(AL564&lt;=300,"Poor",IF(AL564&lt;=400,"Very Poor","Severe"))))))</f>
        <v>Poor</v>
      </c>
    </row>
    <row r="565" customFormat="false" ht="15.75" hidden="false" customHeight="false" outlineLevel="0" collapsed="false">
      <c r="A565" s="1" t="s">
        <v>39</v>
      </c>
      <c r="B565" s="1" t="s">
        <v>40</v>
      </c>
      <c r="C565" s="1" t="n">
        <v>28.4595</v>
      </c>
      <c r="D565" s="1" t="n">
        <v>77.0266</v>
      </c>
      <c r="E565" s="5" t="n">
        <v>45924</v>
      </c>
      <c r="F565" s="6" t="s">
        <v>62</v>
      </c>
      <c r="G565" s="1" t="n">
        <v>9</v>
      </c>
      <c r="H565" s="7" t="s">
        <v>79</v>
      </c>
      <c r="I565" s="6" t="s">
        <v>43</v>
      </c>
      <c r="J565" s="7" t="s">
        <v>44</v>
      </c>
      <c r="K565" s="7" t="s">
        <v>60</v>
      </c>
      <c r="L565" s="1" t="n">
        <v>45</v>
      </c>
      <c r="M565" s="1" t="n">
        <v>19.9</v>
      </c>
      <c r="N565" s="1" t="n">
        <v>41.8</v>
      </c>
      <c r="O565" s="1" t="n">
        <v>0</v>
      </c>
      <c r="P565" s="6" t="s">
        <v>43</v>
      </c>
      <c r="Q565" s="6" t="s">
        <v>43</v>
      </c>
      <c r="R565" s="1" t="n">
        <v>1004.8</v>
      </c>
      <c r="S565" s="1" t="n">
        <v>0</v>
      </c>
      <c r="T565" s="1" t="n">
        <v>54.9</v>
      </c>
      <c r="U565" s="1" t="n">
        <v>393</v>
      </c>
      <c r="V565" s="1" t="n">
        <v>201</v>
      </c>
      <c r="W565" s="1" t="n">
        <v>6.6</v>
      </c>
      <c r="X565" s="1" t="n">
        <v>14</v>
      </c>
      <c r="Y565" s="1" t="n">
        <v>152</v>
      </c>
      <c r="Z565" s="1" t="n">
        <v>665</v>
      </c>
      <c r="AA565" s="1" t="n">
        <v>174</v>
      </c>
      <c r="AB565" s="7" t="s">
        <v>81</v>
      </c>
      <c r="AC565" s="7" t="s">
        <v>48</v>
      </c>
      <c r="AD565" s="6" t="s">
        <v>43</v>
      </c>
      <c r="AE565" s="6" t="s">
        <v>43</v>
      </c>
      <c r="AF565" s="4" t="n">
        <f aca="false">IF(T565="","",IF(T565&lt;=30,(50/30)*T565,IF(T565&lt;=60,50+((100-50)/(60-30))*(T565-30),IF(T565&lt;=90,100+((200-100)/(90-60))*(T565-60),IF(T565&lt;=120,200+((300-200)/(120-90))*(T565-90),IF(T565&lt;=250,300+((400-300)/(250-120))*(T565-120),IF(T565&lt;=380,400+((500-400)/(380-250))*(T565-250),500)))))))</f>
        <v>91.5</v>
      </c>
      <c r="AG565" s="4" t="n">
        <f aca="false">IF(U565="","",IF(U565&lt;=50,(50/50)*U565,IF(U565&lt;=100,50+((100-50)/(100-50))*(U565-50),IF(U565&lt;=250,100+((200-100)/(250-100))*(U565-100),IF(U565&lt;=350,200+((300-200)/(350-250))*(U565-250),IF(U565&lt;=430,300+((400-300)/(430-350))*(U565-350),IF(U565&lt;=600,400+((500-400)/(600-430))*(U565-430),500)))))))</f>
        <v>353.75</v>
      </c>
      <c r="AH565" s="4" t="n">
        <f aca="false">IF(V565="","",IF((V565/1000)&lt;=1,(50/1)*(V565/1000),IF((V565/1000)&lt;=2,50+((100-50)/(2-1))*(V565/1000-1),IF((V565/1000)&lt;=10,100+((200-100)/(10-2))*(V565/1000-2),IF((V565/1000)&lt;=17,200+((300-200)/(17-10))*(V565/1000-10),IF((V565/1000)&lt;=34,300+((400-300)/(34-17))*(V565/1000-17),IF((V565/1000)&lt;=57,400+((500-400)/(57-34))*(V565/1000-34),500)))))))</f>
        <v>10.05</v>
      </c>
      <c r="AI565" s="4" t="n">
        <f aca="false">IF(W565="","",IF(W565&lt;=40,(50/40)*W565,IF(W565&lt;=80,50+((100-50)/(80-40))*(W565-40),IF(W565&lt;=180,100+((200-100)/(180-80))*(W565-80),IF(W565&lt;=280,200+((300-200)/(280-180))*(W565-180),IF(W565&lt;=400,300+((400-300)/(400-280))*(W565-280),IF(W565&lt;=800,400+((500-400)/(800-400))*(W565-400),500)))))))</f>
        <v>8.25</v>
      </c>
      <c r="AJ565" s="4" t="n">
        <f aca="false">IF(X565="","",IF(X565&lt;=40,(50/40)*X565,IF(X565&lt;=80,50+((100-50)/(80-40))*(X565-40),IF(X565&lt;=380,100+((200-100)/(380-80))*(X565-80),IF(X565&lt;=800,200+((300-200)/(800-380))*(X565-380),IF(X565&lt;=1600,300+((400-300)/(1600-800))*(X565-800),IF(X565&lt;=2100,400+((500-400)/(2100-1600))*(X565-1600),500)))))))</f>
        <v>17.5</v>
      </c>
      <c r="AK565" s="4" t="n">
        <f aca="false">IF(Y565="","",IF(Y565&lt;=50,(50/50)*Y565,IF(Y565&lt;=100,50+((100-50)/(100-50))*(Y565-50),IF(Y565&lt;=168,100+((200-100)/(168-100))*(Y565-100),IF(Y565&lt;=208,200+((300-200)/(208-168))*(Y565-168),IF(Y565&lt;=748,300+((400-300)/(748-208))*(Y565-208),IF(Y565&lt;=1000,400+((500-400)/(1000-748))*(Y565-748),500)))))))</f>
        <v>176.470588235294</v>
      </c>
      <c r="AL565" s="4" t="n">
        <f aca="false">ROUND(MAX(AF565,AG565,AH565,AI565,AJ565,AK565),0)</f>
        <v>354</v>
      </c>
      <c r="AM565" s="4" t="str">
        <f aca="false">IF(AL565="","",IF(AL565&lt;=50,"Good",IF(AL565&lt;=100,"Satisfactory",IF(AL565&lt;=200,"Moderate",IF(AL565&lt;=300,"Poor",IF(AL565&lt;=400,"Very Poor","Severe"))))))</f>
        <v>Very Poor</v>
      </c>
    </row>
    <row r="566" customFormat="false" ht="15.75" hidden="false" customHeight="false" outlineLevel="0" collapsed="false">
      <c r="A566" s="1" t="s">
        <v>39</v>
      </c>
      <c r="B566" s="1" t="s">
        <v>40</v>
      </c>
      <c r="C566" s="1" t="n">
        <v>28.4595</v>
      </c>
      <c r="D566" s="1" t="n">
        <v>77.0266</v>
      </c>
      <c r="E566" s="5" t="n">
        <v>45924</v>
      </c>
      <c r="F566" s="6" t="s">
        <v>63</v>
      </c>
      <c r="G566" s="1" t="n">
        <v>9</v>
      </c>
      <c r="H566" s="7" t="s">
        <v>79</v>
      </c>
      <c r="I566" s="6" t="s">
        <v>43</v>
      </c>
      <c r="J566" s="7" t="s">
        <v>44</v>
      </c>
      <c r="K566" s="7" t="s">
        <v>60</v>
      </c>
      <c r="L566" s="1" t="n">
        <v>38</v>
      </c>
      <c r="M566" s="1" t="n">
        <v>18.2</v>
      </c>
      <c r="N566" s="1" t="n">
        <v>43.2</v>
      </c>
      <c r="O566" s="1" t="n">
        <v>0</v>
      </c>
      <c r="P566" s="6" t="s">
        <v>43</v>
      </c>
      <c r="Q566" s="6" t="s">
        <v>43</v>
      </c>
      <c r="R566" s="1" t="n">
        <v>1003.8</v>
      </c>
      <c r="S566" s="1" t="n">
        <v>0</v>
      </c>
      <c r="T566" s="1" t="n">
        <v>56.7</v>
      </c>
      <c r="U566" s="1" t="n">
        <v>420</v>
      </c>
      <c r="V566" s="1" t="n">
        <v>178</v>
      </c>
      <c r="W566" s="1" t="n">
        <v>4.3</v>
      </c>
      <c r="X566" s="1" t="n">
        <v>13.6</v>
      </c>
      <c r="Y566" s="1" t="n">
        <v>160</v>
      </c>
      <c r="Z566" s="1" t="n">
        <v>700</v>
      </c>
      <c r="AA566" s="1" t="n">
        <v>176</v>
      </c>
      <c r="AB566" s="7" t="s">
        <v>81</v>
      </c>
      <c r="AC566" s="7" t="s">
        <v>48</v>
      </c>
      <c r="AD566" s="6" t="s">
        <v>43</v>
      </c>
      <c r="AE566" s="6" t="s">
        <v>43</v>
      </c>
      <c r="AF566" s="4" t="n">
        <f aca="false">IF(T566="","",IF(T566&lt;=30,(50/30)*T566,IF(T566&lt;=60,50+((100-50)/(60-30))*(T566-30),IF(T566&lt;=90,100+((200-100)/(90-60))*(T566-60),IF(T566&lt;=120,200+((300-200)/(120-90))*(T566-90),IF(T566&lt;=250,300+((400-300)/(250-120))*(T566-120),IF(T566&lt;=380,400+((500-400)/(380-250))*(T566-250),500)))))))</f>
        <v>94.5</v>
      </c>
      <c r="AG566" s="4" t="n">
        <f aca="false">IF(U566="","",IF(U566&lt;=50,(50/50)*U566,IF(U566&lt;=100,50+((100-50)/(100-50))*(U566-50),IF(U566&lt;=250,100+((200-100)/(250-100))*(U566-100),IF(U566&lt;=350,200+((300-200)/(350-250))*(U566-250),IF(U566&lt;=430,300+((400-300)/(430-350))*(U566-350),IF(U566&lt;=600,400+((500-400)/(600-430))*(U566-430),500)))))))</f>
        <v>387.5</v>
      </c>
      <c r="AH566" s="4" t="n">
        <f aca="false">IF(V566="","",IF((V566/1000)&lt;=1,(50/1)*(V566/1000),IF((V566/1000)&lt;=2,50+((100-50)/(2-1))*(V566/1000-1),IF((V566/1000)&lt;=10,100+((200-100)/(10-2))*(V566/1000-2),IF((V566/1000)&lt;=17,200+((300-200)/(17-10))*(V566/1000-10),IF((V566/1000)&lt;=34,300+((400-300)/(34-17))*(V566/1000-17),IF((V566/1000)&lt;=57,400+((500-400)/(57-34))*(V566/1000-34),500)))))))</f>
        <v>8.9</v>
      </c>
      <c r="AI566" s="4" t="n">
        <f aca="false">IF(W566="","",IF(W566&lt;=40,(50/40)*W566,IF(W566&lt;=80,50+((100-50)/(80-40))*(W566-40),IF(W566&lt;=180,100+((200-100)/(180-80))*(W566-80),IF(W566&lt;=280,200+((300-200)/(280-180))*(W566-180),IF(W566&lt;=400,300+((400-300)/(400-280))*(W566-280),IF(W566&lt;=800,400+((500-400)/(800-400))*(W566-400),500)))))))</f>
        <v>5.375</v>
      </c>
      <c r="AJ566" s="4" t="n">
        <f aca="false">IF(X566="","",IF(X566&lt;=40,(50/40)*X566,IF(X566&lt;=80,50+((100-50)/(80-40))*(X566-40),IF(X566&lt;=380,100+((200-100)/(380-80))*(X566-80),IF(X566&lt;=800,200+((300-200)/(800-380))*(X566-380),IF(X566&lt;=1600,300+((400-300)/(1600-800))*(X566-800),IF(X566&lt;=2100,400+((500-400)/(2100-1600))*(X566-1600),500)))))))</f>
        <v>17</v>
      </c>
      <c r="AK566" s="4" t="n">
        <f aca="false">IF(Y566="","",IF(Y566&lt;=50,(50/50)*Y566,IF(Y566&lt;=100,50+((100-50)/(100-50))*(Y566-50),IF(Y566&lt;=168,100+((200-100)/(168-100))*(Y566-100),IF(Y566&lt;=208,200+((300-200)/(208-168))*(Y566-168),IF(Y566&lt;=748,300+((400-300)/(748-208))*(Y566-208),IF(Y566&lt;=1000,400+((500-400)/(1000-748))*(Y566-748),500)))))))</f>
        <v>188.235294117647</v>
      </c>
      <c r="AL566" s="4" t="n">
        <f aca="false">ROUND(MAX(AF566,AG566,AH566,AI566,AJ566,AK566),0)</f>
        <v>388</v>
      </c>
      <c r="AM566" s="4" t="str">
        <f aca="false">IF(AL566="","",IF(AL566&lt;=50,"Good",IF(AL566&lt;=100,"Satisfactory",IF(AL566&lt;=200,"Moderate",IF(AL566&lt;=300,"Poor",IF(AL566&lt;=400,"Very Poor","Severe"))))))</f>
        <v>Very Poor</v>
      </c>
    </row>
    <row r="567" customFormat="false" ht="15.75" hidden="false" customHeight="false" outlineLevel="0" collapsed="false">
      <c r="A567" s="1" t="s">
        <v>39</v>
      </c>
      <c r="B567" s="1" t="s">
        <v>40</v>
      </c>
      <c r="C567" s="1" t="n">
        <v>28.4595</v>
      </c>
      <c r="D567" s="1" t="n">
        <v>77.0266</v>
      </c>
      <c r="E567" s="5" t="n">
        <v>45924</v>
      </c>
      <c r="F567" s="6" t="s">
        <v>64</v>
      </c>
      <c r="G567" s="1" t="n">
        <v>9</v>
      </c>
      <c r="H567" s="7" t="s">
        <v>79</v>
      </c>
      <c r="I567" s="6" t="s">
        <v>43</v>
      </c>
      <c r="J567" s="7" t="s">
        <v>44</v>
      </c>
      <c r="K567" s="7" t="s">
        <v>65</v>
      </c>
      <c r="L567" s="1" t="n">
        <v>36</v>
      </c>
      <c r="M567" s="1" t="n">
        <v>17.6</v>
      </c>
      <c r="N567" s="1" t="n">
        <v>42.8</v>
      </c>
      <c r="O567" s="1" t="n">
        <v>0</v>
      </c>
      <c r="P567" s="6" t="s">
        <v>43</v>
      </c>
      <c r="Q567" s="6" t="s">
        <v>43</v>
      </c>
      <c r="R567" s="1" t="n">
        <v>1002.6</v>
      </c>
      <c r="S567" s="1" t="n">
        <v>0</v>
      </c>
      <c r="T567" s="1" t="n">
        <v>56.6</v>
      </c>
      <c r="U567" s="1" t="n">
        <v>420</v>
      </c>
      <c r="V567" s="1" t="n">
        <v>171</v>
      </c>
      <c r="W567" s="1" t="n">
        <v>3.6</v>
      </c>
      <c r="X567" s="1" t="n">
        <v>12.9</v>
      </c>
      <c r="Y567" s="1" t="n">
        <v>157</v>
      </c>
      <c r="Z567" s="1" t="n">
        <v>713</v>
      </c>
      <c r="AA567" s="1" t="n">
        <v>179</v>
      </c>
      <c r="AB567" s="7" t="s">
        <v>81</v>
      </c>
      <c r="AC567" s="7" t="s">
        <v>48</v>
      </c>
      <c r="AD567" s="6" t="s">
        <v>43</v>
      </c>
      <c r="AE567" s="6" t="s">
        <v>43</v>
      </c>
      <c r="AF567" s="4" t="n">
        <f aca="false">IF(T567="","",IF(T567&lt;=30,(50/30)*T567,IF(T567&lt;=60,50+((100-50)/(60-30))*(T567-30),IF(T567&lt;=90,100+((200-100)/(90-60))*(T567-60),IF(T567&lt;=120,200+((300-200)/(120-90))*(T567-90),IF(T567&lt;=250,300+((400-300)/(250-120))*(T567-120),IF(T567&lt;=380,400+((500-400)/(380-250))*(T567-250),500)))))))</f>
        <v>94.3333333333333</v>
      </c>
      <c r="AG567" s="4" t="n">
        <f aca="false">IF(U567="","",IF(U567&lt;=50,(50/50)*U567,IF(U567&lt;=100,50+((100-50)/(100-50))*(U567-50),IF(U567&lt;=250,100+((200-100)/(250-100))*(U567-100),IF(U567&lt;=350,200+((300-200)/(350-250))*(U567-250),IF(U567&lt;=430,300+((400-300)/(430-350))*(U567-350),IF(U567&lt;=600,400+((500-400)/(600-430))*(U567-430),500)))))))</f>
        <v>387.5</v>
      </c>
      <c r="AH567" s="4" t="n">
        <f aca="false">IF(V567="","",IF((V567/1000)&lt;=1,(50/1)*(V567/1000),IF((V567/1000)&lt;=2,50+((100-50)/(2-1))*(V567/1000-1),IF((V567/1000)&lt;=10,100+((200-100)/(10-2))*(V567/1000-2),IF((V567/1000)&lt;=17,200+((300-200)/(17-10))*(V567/1000-10),IF((V567/1000)&lt;=34,300+((400-300)/(34-17))*(V567/1000-17),IF((V567/1000)&lt;=57,400+((500-400)/(57-34))*(V567/1000-34),500)))))))</f>
        <v>8.55</v>
      </c>
      <c r="AI567" s="4" t="n">
        <f aca="false">IF(W567="","",IF(W567&lt;=40,(50/40)*W567,IF(W567&lt;=80,50+((100-50)/(80-40))*(W567-40),IF(W567&lt;=180,100+((200-100)/(180-80))*(W567-80),IF(W567&lt;=280,200+((300-200)/(280-180))*(W567-180),IF(W567&lt;=400,300+((400-300)/(400-280))*(W567-280),IF(W567&lt;=800,400+((500-400)/(800-400))*(W567-400),500)))))))</f>
        <v>4.5</v>
      </c>
      <c r="AJ567" s="4" t="n">
        <f aca="false">IF(X567="","",IF(X567&lt;=40,(50/40)*X567,IF(X567&lt;=80,50+((100-50)/(80-40))*(X567-40),IF(X567&lt;=380,100+((200-100)/(380-80))*(X567-80),IF(X567&lt;=800,200+((300-200)/(800-380))*(X567-380),IF(X567&lt;=1600,300+((400-300)/(1600-800))*(X567-800),IF(X567&lt;=2100,400+((500-400)/(2100-1600))*(X567-1600),500)))))))</f>
        <v>16.125</v>
      </c>
      <c r="AK567" s="4" t="n">
        <f aca="false">IF(Y567="","",IF(Y567&lt;=50,(50/50)*Y567,IF(Y567&lt;=100,50+((100-50)/(100-50))*(Y567-50),IF(Y567&lt;=168,100+((200-100)/(168-100))*(Y567-100),IF(Y567&lt;=208,200+((300-200)/(208-168))*(Y567-168),IF(Y567&lt;=748,300+((400-300)/(748-208))*(Y567-208),IF(Y567&lt;=1000,400+((500-400)/(1000-748))*(Y567-748),500)))))))</f>
        <v>183.823529411765</v>
      </c>
      <c r="AL567" s="4" t="n">
        <f aca="false">ROUND(MAX(AF567,AG567,AH567,AI567,AJ567,AK567),0)</f>
        <v>388</v>
      </c>
      <c r="AM567" s="4" t="str">
        <f aca="false">IF(AL567="","",IF(AL567&lt;=50,"Good",IF(AL567&lt;=100,"Satisfactory",IF(AL567&lt;=200,"Moderate",IF(AL567&lt;=300,"Poor",IF(AL567&lt;=400,"Very Poor","Severe"))))))</f>
        <v>Very Poor</v>
      </c>
    </row>
    <row r="568" customFormat="false" ht="15.75" hidden="false" customHeight="false" outlineLevel="0" collapsed="false">
      <c r="A568" s="1" t="s">
        <v>39</v>
      </c>
      <c r="B568" s="1" t="s">
        <v>40</v>
      </c>
      <c r="C568" s="1" t="n">
        <v>28.4595</v>
      </c>
      <c r="D568" s="1" t="n">
        <v>77.0266</v>
      </c>
      <c r="E568" s="5" t="n">
        <v>45924</v>
      </c>
      <c r="F568" s="6" t="s">
        <v>66</v>
      </c>
      <c r="G568" s="1" t="n">
        <v>9</v>
      </c>
      <c r="H568" s="7" t="s">
        <v>79</v>
      </c>
      <c r="I568" s="6" t="s">
        <v>43</v>
      </c>
      <c r="J568" s="7" t="s">
        <v>44</v>
      </c>
      <c r="K568" s="7" t="s">
        <v>65</v>
      </c>
      <c r="L568" s="1" t="n">
        <v>34</v>
      </c>
      <c r="M568" s="1" t="n">
        <v>17.1</v>
      </c>
      <c r="N568" s="1" t="n">
        <v>42.1</v>
      </c>
      <c r="O568" s="1" t="n">
        <v>0</v>
      </c>
      <c r="P568" s="6" t="s">
        <v>43</v>
      </c>
      <c r="Q568" s="6" t="s">
        <v>43</v>
      </c>
      <c r="R568" s="1" t="n">
        <v>1001.1</v>
      </c>
      <c r="S568" s="1" t="n">
        <v>0</v>
      </c>
      <c r="T568" s="1" t="n">
        <v>55.3</v>
      </c>
      <c r="U568" s="1" t="n">
        <v>417.2</v>
      </c>
      <c r="V568" s="1" t="n">
        <v>182</v>
      </c>
      <c r="W568" s="1" t="n">
        <v>4.6</v>
      </c>
      <c r="X568" s="1" t="n">
        <v>12.3</v>
      </c>
      <c r="Y568" s="1" t="n">
        <v>151</v>
      </c>
      <c r="Z568" s="1" t="n">
        <v>714</v>
      </c>
      <c r="AA568" s="1" t="n">
        <v>181</v>
      </c>
      <c r="AB568" s="7" t="s">
        <v>81</v>
      </c>
      <c r="AC568" s="7" t="s">
        <v>48</v>
      </c>
      <c r="AD568" s="6" t="s">
        <v>43</v>
      </c>
      <c r="AE568" s="6" t="s">
        <v>43</v>
      </c>
      <c r="AF568" s="4" t="n">
        <f aca="false">IF(T568="","",IF(T568&lt;=30,(50/30)*T568,IF(T568&lt;=60,50+((100-50)/(60-30))*(T568-30),IF(T568&lt;=90,100+((200-100)/(90-60))*(T568-60),IF(T568&lt;=120,200+((300-200)/(120-90))*(T568-90),IF(T568&lt;=250,300+((400-300)/(250-120))*(T568-120),IF(T568&lt;=380,400+((500-400)/(380-250))*(T568-250),500)))))))</f>
        <v>92.1666666666667</v>
      </c>
      <c r="AG568" s="4" t="n">
        <f aca="false">IF(U568="","",IF(U568&lt;=50,(50/50)*U568,IF(U568&lt;=100,50+((100-50)/(100-50))*(U568-50),IF(U568&lt;=250,100+((200-100)/(250-100))*(U568-100),IF(U568&lt;=350,200+((300-200)/(350-250))*(U568-250),IF(U568&lt;=430,300+((400-300)/(430-350))*(U568-350),IF(U568&lt;=600,400+((500-400)/(600-430))*(U568-430),500)))))))</f>
        <v>384</v>
      </c>
      <c r="AH568" s="4" t="n">
        <f aca="false">IF(V568="","",IF((V568/1000)&lt;=1,(50/1)*(V568/1000),IF((V568/1000)&lt;=2,50+((100-50)/(2-1))*(V568/1000-1),IF((V568/1000)&lt;=10,100+((200-100)/(10-2))*(V568/1000-2),IF((V568/1000)&lt;=17,200+((300-200)/(17-10))*(V568/1000-10),IF((V568/1000)&lt;=34,300+((400-300)/(34-17))*(V568/1000-17),IF((V568/1000)&lt;=57,400+((500-400)/(57-34))*(V568/1000-34),500)))))))</f>
        <v>9.1</v>
      </c>
      <c r="AI568" s="4" t="n">
        <f aca="false">IF(W568="","",IF(W568&lt;=40,(50/40)*W568,IF(W568&lt;=80,50+((100-50)/(80-40))*(W568-40),IF(W568&lt;=180,100+((200-100)/(180-80))*(W568-80),IF(W568&lt;=280,200+((300-200)/(280-180))*(W568-180),IF(W568&lt;=400,300+((400-300)/(400-280))*(W568-280),IF(W568&lt;=800,400+((500-400)/(800-400))*(W568-400),500)))))))</f>
        <v>5.75</v>
      </c>
      <c r="AJ568" s="4" t="n">
        <f aca="false">IF(X568="","",IF(X568&lt;=40,(50/40)*X568,IF(X568&lt;=80,50+((100-50)/(80-40))*(X568-40),IF(X568&lt;=380,100+((200-100)/(380-80))*(X568-80),IF(X568&lt;=800,200+((300-200)/(800-380))*(X568-380),IF(X568&lt;=1600,300+((400-300)/(1600-800))*(X568-800),IF(X568&lt;=2100,400+((500-400)/(2100-1600))*(X568-1600),500)))))))</f>
        <v>15.375</v>
      </c>
      <c r="AK568" s="4" t="n">
        <f aca="false">IF(Y568="","",IF(Y568&lt;=50,(50/50)*Y568,IF(Y568&lt;=100,50+((100-50)/(100-50))*(Y568-50),IF(Y568&lt;=168,100+((200-100)/(168-100))*(Y568-100),IF(Y568&lt;=208,200+((300-200)/(208-168))*(Y568-168),IF(Y568&lt;=748,300+((400-300)/(748-208))*(Y568-208),IF(Y568&lt;=1000,400+((500-400)/(1000-748))*(Y568-748),500)))))))</f>
        <v>175</v>
      </c>
      <c r="AL568" s="4" t="n">
        <f aca="false">ROUND(MAX(AF568,AG568,AH568,AI568,AJ568,AK568),0)</f>
        <v>384</v>
      </c>
      <c r="AM568" s="4" t="str">
        <f aca="false">IF(AL568="","",IF(AL568&lt;=50,"Good",IF(AL568&lt;=100,"Satisfactory",IF(AL568&lt;=200,"Moderate",IF(AL568&lt;=300,"Poor",IF(AL568&lt;=400,"Very Poor","Severe"))))))</f>
        <v>Very Poor</v>
      </c>
    </row>
    <row r="569" customFormat="false" ht="15.75" hidden="false" customHeight="false" outlineLevel="0" collapsed="false">
      <c r="A569" s="1" t="s">
        <v>39</v>
      </c>
      <c r="B569" s="1" t="s">
        <v>40</v>
      </c>
      <c r="C569" s="1" t="n">
        <v>28.4595</v>
      </c>
      <c r="D569" s="1" t="n">
        <v>77.0266</v>
      </c>
      <c r="E569" s="5" t="n">
        <v>45924</v>
      </c>
      <c r="F569" s="6" t="s">
        <v>67</v>
      </c>
      <c r="G569" s="1" t="n">
        <v>9</v>
      </c>
      <c r="H569" s="7" t="s">
        <v>79</v>
      </c>
      <c r="I569" s="6" t="s">
        <v>43</v>
      </c>
      <c r="J569" s="7" t="s">
        <v>44</v>
      </c>
      <c r="K569" s="7" t="s">
        <v>65</v>
      </c>
      <c r="L569" s="1" t="n">
        <v>34</v>
      </c>
      <c r="M569" s="1" t="n">
        <v>16.7</v>
      </c>
      <c r="N569" s="1" t="n">
        <v>41</v>
      </c>
      <c r="O569" s="1" t="n">
        <v>0</v>
      </c>
      <c r="P569" s="6" t="s">
        <v>43</v>
      </c>
      <c r="Q569" s="6" t="s">
        <v>43</v>
      </c>
      <c r="R569" s="1" t="n">
        <v>1000.6</v>
      </c>
      <c r="S569" s="1" t="n">
        <v>0</v>
      </c>
      <c r="T569" s="1" t="n">
        <v>54.6</v>
      </c>
      <c r="U569" s="1" t="n">
        <v>405.1</v>
      </c>
      <c r="V569" s="1" t="n">
        <v>209</v>
      </c>
      <c r="W569" s="1" t="n">
        <v>7.3</v>
      </c>
      <c r="X569" s="1" t="n">
        <v>11.8</v>
      </c>
      <c r="Y569" s="1" t="n">
        <v>141</v>
      </c>
      <c r="Z569" s="1" t="n">
        <v>714</v>
      </c>
      <c r="AA569" s="1" t="n">
        <v>183</v>
      </c>
      <c r="AB569" s="7" t="s">
        <v>81</v>
      </c>
      <c r="AC569" s="7" t="s">
        <v>48</v>
      </c>
      <c r="AD569" s="6" t="s">
        <v>43</v>
      </c>
      <c r="AE569" s="6" t="s">
        <v>43</v>
      </c>
      <c r="AF569" s="4" t="n">
        <f aca="false">IF(T569="","",IF(T569&lt;=30,(50/30)*T569,IF(T569&lt;=60,50+((100-50)/(60-30))*(T569-30),IF(T569&lt;=90,100+((200-100)/(90-60))*(T569-60),IF(T569&lt;=120,200+((300-200)/(120-90))*(T569-90),IF(T569&lt;=250,300+((400-300)/(250-120))*(T569-120),IF(T569&lt;=380,400+((500-400)/(380-250))*(T569-250),500)))))))</f>
        <v>91</v>
      </c>
      <c r="AG569" s="4" t="n">
        <f aca="false">IF(U569="","",IF(U569&lt;=50,(50/50)*U569,IF(U569&lt;=100,50+((100-50)/(100-50))*(U569-50),IF(U569&lt;=250,100+((200-100)/(250-100))*(U569-100),IF(U569&lt;=350,200+((300-200)/(350-250))*(U569-250),IF(U569&lt;=430,300+((400-300)/(430-350))*(U569-350),IF(U569&lt;=600,400+((500-400)/(600-430))*(U569-430),500)))))))</f>
        <v>368.875</v>
      </c>
      <c r="AH569" s="4" t="n">
        <f aca="false">IF(V569="","",IF((V569/1000)&lt;=1,(50/1)*(V569/1000),IF((V569/1000)&lt;=2,50+((100-50)/(2-1))*(V569/1000-1),IF((V569/1000)&lt;=10,100+((200-100)/(10-2))*(V569/1000-2),IF((V569/1000)&lt;=17,200+((300-200)/(17-10))*(V569/1000-10),IF((V569/1000)&lt;=34,300+((400-300)/(34-17))*(V569/1000-17),IF((V569/1000)&lt;=57,400+((500-400)/(57-34))*(V569/1000-34),500)))))))</f>
        <v>10.45</v>
      </c>
      <c r="AI569" s="4" t="n">
        <f aca="false">IF(W569="","",IF(W569&lt;=40,(50/40)*W569,IF(W569&lt;=80,50+((100-50)/(80-40))*(W569-40),IF(W569&lt;=180,100+((200-100)/(180-80))*(W569-80),IF(W569&lt;=280,200+((300-200)/(280-180))*(W569-180),IF(W569&lt;=400,300+((400-300)/(400-280))*(W569-280),IF(W569&lt;=800,400+((500-400)/(800-400))*(W569-400),500)))))))</f>
        <v>9.125</v>
      </c>
      <c r="AJ569" s="4" t="n">
        <f aca="false">IF(X569="","",IF(X569&lt;=40,(50/40)*X569,IF(X569&lt;=80,50+((100-50)/(80-40))*(X569-40),IF(X569&lt;=380,100+((200-100)/(380-80))*(X569-80),IF(X569&lt;=800,200+((300-200)/(800-380))*(X569-380),IF(X569&lt;=1600,300+((400-300)/(1600-800))*(X569-800),IF(X569&lt;=2100,400+((500-400)/(2100-1600))*(X569-1600),500)))))))</f>
        <v>14.75</v>
      </c>
      <c r="AK569" s="4" t="n">
        <f aca="false">IF(Y569="","",IF(Y569&lt;=50,(50/50)*Y569,IF(Y569&lt;=100,50+((100-50)/(100-50))*(Y569-50),IF(Y569&lt;=168,100+((200-100)/(168-100))*(Y569-100),IF(Y569&lt;=208,200+((300-200)/(208-168))*(Y569-168),IF(Y569&lt;=748,300+((400-300)/(748-208))*(Y569-208),IF(Y569&lt;=1000,400+((500-400)/(1000-748))*(Y569-748),500)))))))</f>
        <v>160.294117647059</v>
      </c>
      <c r="AL569" s="4" t="n">
        <f aca="false">ROUND(MAX(AF569,AG569,AH569,AI569,AJ569,AK569),0)</f>
        <v>369</v>
      </c>
      <c r="AM569" s="4" t="str">
        <f aca="false">IF(AL569="","",IF(AL569&lt;=50,"Good",IF(AL569&lt;=100,"Satisfactory",IF(AL569&lt;=200,"Moderate",IF(AL569&lt;=300,"Poor",IF(AL569&lt;=400,"Very Poor","Severe"))))))</f>
        <v>Very Poor</v>
      </c>
    </row>
    <row r="570" customFormat="false" ht="15.75" hidden="false" customHeight="false" outlineLevel="0" collapsed="false">
      <c r="A570" s="1" t="s">
        <v>39</v>
      </c>
      <c r="B570" s="1" t="s">
        <v>40</v>
      </c>
      <c r="C570" s="1" t="n">
        <v>28.4595</v>
      </c>
      <c r="D570" s="1" t="n">
        <v>77.0266</v>
      </c>
      <c r="E570" s="5" t="n">
        <v>45924</v>
      </c>
      <c r="F570" s="6" t="s">
        <v>68</v>
      </c>
      <c r="G570" s="1" t="n">
        <v>9</v>
      </c>
      <c r="H570" s="7" t="s">
        <v>79</v>
      </c>
      <c r="I570" s="6" t="s">
        <v>43</v>
      </c>
      <c r="J570" s="7" t="s">
        <v>44</v>
      </c>
      <c r="K570" s="7" t="s">
        <v>65</v>
      </c>
      <c r="L570" s="1" t="n">
        <v>36</v>
      </c>
      <c r="M570" s="1" t="n">
        <v>16.8</v>
      </c>
      <c r="N570" s="1" t="n">
        <v>38.9</v>
      </c>
      <c r="O570" s="1" t="n">
        <v>0</v>
      </c>
      <c r="P570" s="6" t="s">
        <v>43</v>
      </c>
      <c r="Q570" s="6" t="s">
        <v>43</v>
      </c>
      <c r="R570" s="1" t="n">
        <v>1000.3</v>
      </c>
      <c r="S570" s="1" t="n">
        <v>0</v>
      </c>
      <c r="T570" s="1" t="n">
        <v>56.6</v>
      </c>
      <c r="U570" s="1" t="n">
        <v>407.9</v>
      </c>
      <c r="V570" s="1" t="n">
        <v>253</v>
      </c>
      <c r="W570" s="1" t="n">
        <v>11.6</v>
      </c>
      <c r="X570" s="1" t="n">
        <v>11.3</v>
      </c>
      <c r="Y570" s="1" t="n">
        <v>127</v>
      </c>
      <c r="Z570" s="1" t="n">
        <v>714</v>
      </c>
      <c r="AA570" s="1" t="n">
        <v>185</v>
      </c>
      <c r="AB570" s="7" t="s">
        <v>81</v>
      </c>
      <c r="AC570" s="7" t="s">
        <v>48</v>
      </c>
      <c r="AD570" s="6" t="s">
        <v>43</v>
      </c>
      <c r="AE570" s="6" t="s">
        <v>43</v>
      </c>
      <c r="AF570" s="4" t="n">
        <f aca="false">IF(T570="","",IF(T570&lt;=30,(50/30)*T570,IF(T570&lt;=60,50+((100-50)/(60-30))*(T570-30),IF(T570&lt;=90,100+((200-100)/(90-60))*(T570-60),IF(T570&lt;=120,200+((300-200)/(120-90))*(T570-90),IF(T570&lt;=250,300+((400-300)/(250-120))*(T570-120),IF(T570&lt;=380,400+((500-400)/(380-250))*(T570-250),500)))))))</f>
        <v>94.3333333333333</v>
      </c>
      <c r="AG570" s="4" t="n">
        <f aca="false">IF(U570="","",IF(U570&lt;=50,(50/50)*U570,IF(U570&lt;=100,50+((100-50)/(100-50))*(U570-50),IF(U570&lt;=250,100+((200-100)/(250-100))*(U570-100),IF(U570&lt;=350,200+((300-200)/(350-250))*(U570-250),IF(U570&lt;=430,300+((400-300)/(430-350))*(U570-350),IF(U570&lt;=600,400+((500-400)/(600-430))*(U570-430),500)))))))</f>
        <v>372.375</v>
      </c>
      <c r="AH570" s="4" t="n">
        <f aca="false">IF(V570="","",IF((V570/1000)&lt;=1,(50/1)*(V570/1000),IF((V570/1000)&lt;=2,50+((100-50)/(2-1))*(V570/1000-1),IF((V570/1000)&lt;=10,100+((200-100)/(10-2))*(V570/1000-2),IF((V570/1000)&lt;=17,200+((300-200)/(17-10))*(V570/1000-10),IF((V570/1000)&lt;=34,300+((400-300)/(34-17))*(V570/1000-17),IF((V570/1000)&lt;=57,400+((500-400)/(57-34))*(V570/1000-34),500)))))))</f>
        <v>12.65</v>
      </c>
      <c r="AI570" s="4" t="n">
        <f aca="false">IF(W570="","",IF(W570&lt;=40,(50/40)*W570,IF(W570&lt;=80,50+((100-50)/(80-40))*(W570-40),IF(W570&lt;=180,100+((200-100)/(180-80))*(W570-80),IF(W570&lt;=280,200+((300-200)/(280-180))*(W570-180),IF(W570&lt;=400,300+((400-300)/(400-280))*(W570-280),IF(W570&lt;=800,400+((500-400)/(800-400))*(W570-400),500)))))))</f>
        <v>14.5</v>
      </c>
      <c r="AJ570" s="4" t="n">
        <f aca="false">IF(X570="","",IF(X570&lt;=40,(50/40)*X570,IF(X570&lt;=80,50+((100-50)/(80-40))*(X570-40),IF(X570&lt;=380,100+((200-100)/(380-80))*(X570-80),IF(X570&lt;=800,200+((300-200)/(800-380))*(X570-380),IF(X570&lt;=1600,300+((400-300)/(1600-800))*(X570-800),IF(X570&lt;=2100,400+((500-400)/(2100-1600))*(X570-1600),500)))))))</f>
        <v>14.125</v>
      </c>
      <c r="AK570" s="4" t="n">
        <f aca="false">IF(Y570="","",IF(Y570&lt;=50,(50/50)*Y570,IF(Y570&lt;=100,50+((100-50)/(100-50))*(Y570-50),IF(Y570&lt;=168,100+((200-100)/(168-100))*(Y570-100),IF(Y570&lt;=208,200+((300-200)/(208-168))*(Y570-168),IF(Y570&lt;=748,300+((400-300)/(748-208))*(Y570-208),IF(Y570&lt;=1000,400+((500-400)/(1000-748))*(Y570-748),500)))))))</f>
        <v>139.705882352941</v>
      </c>
      <c r="AL570" s="4" t="n">
        <f aca="false">ROUND(MAX(AF570,AG570,AH570,AI570,AJ570,AK570),0)</f>
        <v>372</v>
      </c>
      <c r="AM570" s="4" t="str">
        <f aca="false">IF(AL570="","",IF(AL570&lt;=50,"Good",IF(AL570&lt;=100,"Satisfactory",IF(AL570&lt;=200,"Moderate",IF(AL570&lt;=300,"Poor",IF(AL570&lt;=400,"Very Poor","Severe"))))))</f>
        <v>Very Poor</v>
      </c>
    </row>
    <row r="571" customFormat="false" ht="15.75" hidden="false" customHeight="false" outlineLevel="0" collapsed="false">
      <c r="A571" s="1" t="s">
        <v>39</v>
      </c>
      <c r="B571" s="1" t="s">
        <v>40</v>
      </c>
      <c r="C571" s="1" t="n">
        <v>28.4595</v>
      </c>
      <c r="D571" s="1" t="n">
        <v>77.0266</v>
      </c>
      <c r="E571" s="5" t="n">
        <v>45924</v>
      </c>
      <c r="F571" s="6" t="s">
        <v>69</v>
      </c>
      <c r="G571" s="1" t="n">
        <v>9</v>
      </c>
      <c r="H571" s="7" t="s">
        <v>79</v>
      </c>
      <c r="I571" s="6" t="s">
        <v>43</v>
      </c>
      <c r="J571" s="7" t="s">
        <v>44</v>
      </c>
      <c r="K571" s="7" t="s">
        <v>65</v>
      </c>
      <c r="L571" s="1" t="n">
        <v>41</v>
      </c>
      <c r="M571" s="1" t="n">
        <v>17.8</v>
      </c>
      <c r="N571" s="1" t="n">
        <v>34.2</v>
      </c>
      <c r="O571" s="1" t="n">
        <v>0</v>
      </c>
      <c r="P571" s="6" t="s">
        <v>43</v>
      </c>
      <c r="Q571" s="6" t="s">
        <v>43</v>
      </c>
      <c r="R571" s="1" t="n">
        <v>1000.3</v>
      </c>
      <c r="S571" s="1" t="n">
        <v>0</v>
      </c>
      <c r="T571" s="1" t="n">
        <v>47.8</v>
      </c>
      <c r="U571" s="1" t="n">
        <v>299</v>
      </c>
      <c r="V571" s="1" t="n">
        <v>319</v>
      </c>
      <c r="W571" s="1" t="n">
        <v>19.1</v>
      </c>
      <c r="X571" s="1" t="n">
        <v>13.6</v>
      </c>
      <c r="Y571" s="1" t="n">
        <v>110</v>
      </c>
      <c r="Z571" s="1" t="n">
        <v>496</v>
      </c>
      <c r="AA571" s="1" t="n">
        <v>186</v>
      </c>
      <c r="AB571" s="7" t="s">
        <v>81</v>
      </c>
      <c r="AC571" s="7" t="s">
        <v>48</v>
      </c>
      <c r="AD571" s="6" t="s">
        <v>43</v>
      </c>
      <c r="AE571" s="6" t="s">
        <v>43</v>
      </c>
      <c r="AF571" s="4" t="n">
        <f aca="false">IF(T571="","",IF(T571&lt;=30,(50/30)*T571,IF(T571&lt;=60,50+((100-50)/(60-30))*(T571-30),IF(T571&lt;=90,100+((200-100)/(90-60))*(T571-60),IF(T571&lt;=120,200+((300-200)/(120-90))*(T571-90),IF(T571&lt;=250,300+((400-300)/(250-120))*(T571-120),IF(T571&lt;=380,400+((500-400)/(380-250))*(T571-250),500)))))))</f>
        <v>79.6666666666667</v>
      </c>
      <c r="AG571" s="4" t="n">
        <f aca="false">IF(U571="","",IF(U571&lt;=50,(50/50)*U571,IF(U571&lt;=100,50+((100-50)/(100-50))*(U571-50),IF(U571&lt;=250,100+((200-100)/(250-100))*(U571-100),IF(U571&lt;=350,200+((300-200)/(350-250))*(U571-250),IF(U571&lt;=430,300+((400-300)/(430-350))*(U571-350),IF(U571&lt;=600,400+((500-400)/(600-430))*(U571-430),500)))))))</f>
        <v>249</v>
      </c>
      <c r="AH571" s="4" t="n">
        <f aca="false">IF(V571="","",IF((V571/1000)&lt;=1,(50/1)*(V571/1000),IF((V571/1000)&lt;=2,50+((100-50)/(2-1))*(V571/1000-1),IF((V571/1000)&lt;=10,100+((200-100)/(10-2))*(V571/1000-2),IF((V571/1000)&lt;=17,200+((300-200)/(17-10))*(V571/1000-10),IF((V571/1000)&lt;=34,300+((400-300)/(34-17))*(V571/1000-17),IF((V571/1000)&lt;=57,400+((500-400)/(57-34))*(V571/1000-34),500)))))))</f>
        <v>15.95</v>
      </c>
      <c r="AI571" s="4" t="n">
        <f aca="false">IF(W571="","",IF(W571&lt;=40,(50/40)*W571,IF(W571&lt;=80,50+((100-50)/(80-40))*(W571-40),IF(W571&lt;=180,100+((200-100)/(180-80))*(W571-80),IF(W571&lt;=280,200+((300-200)/(280-180))*(W571-180),IF(W571&lt;=400,300+((400-300)/(400-280))*(W571-280),IF(W571&lt;=800,400+((500-400)/(800-400))*(W571-400),500)))))))</f>
        <v>23.875</v>
      </c>
      <c r="AJ571" s="4" t="n">
        <f aca="false">IF(X571="","",IF(X571&lt;=40,(50/40)*X571,IF(X571&lt;=80,50+((100-50)/(80-40))*(X571-40),IF(X571&lt;=380,100+((200-100)/(380-80))*(X571-80),IF(X571&lt;=800,200+((300-200)/(800-380))*(X571-380),IF(X571&lt;=1600,300+((400-300)/(1600-800))*(X571-800),IF(X571&lt;=2100,400+((500-400)/(2100-1600))*(X571-1600),500)))))))</f>
        <v>17</v>
      </c>
      <c r="AK571" s="4" t="n">
        <f aca="false">IF(Y571="","",IF(Y571&lt;=50,(50/50)*Y571,IF(Y571&lt;=100,50+((100-50)/(100-50))*(Y571-50),IF(Y571&lt;=168,100+((200-100)/(168-100))*(Y571-100),IF(Y571&lt;=208,200+((300-200)/(208-168))*(Y571-168),IF(Y571&lt;=748,300+((400-300)/(748-208))*(Y571-208),IF(Y571&lt;=1000,400+((500-400)/(1000-748))*(Y571-748),500)))))))</f>
        <v>114.705882352941</v>
      </c>
      <c r="AL571" s="4" t="n">
        <f aca="false">ROUND(MAX(AF571,AG571,AH571,AI571,AJ571,AK571),0)</f>
        <v>249</v>
      </c>
      <c r="AM571" s="4" t="str">
        <f aca="false">IF(AL571="","",IF(AL571&lt;=50,"Good",IF(AL571&lt;=100,"Satisfactory",IF(AL571&lt;=200,"Moderate",IF(AL571&lt;=300,"Poor",IF(AL571&lt;=400,"Very Poor","Severe"))))))</f>
        <v>Poor</v>
      </c>
    </row>
    <row r="572" customFormat="false" ht="15.75" hidden="false" customHeight="false" outlineLevel="0" collapsed="false">
      <c r="A572" s="1" t="s">
        <v>39</v>
      </c>
      <c r="B572" s="1" t="s">
        <v>40</v>
      </c>
      <c r="C572" s="1" t="n">
        <v>28.4595</v>
      </c>
      <c r="D572" s="1" t="n">
        <v>77.0266</v>
      </c>
      <c r="E572" s="5" t="n">
        <v>45924</v>
      </c>
      <c r="F572" s="6" t="s">
        <v>70</v>
      </c>
      <c r="G572" s="1" t="n">
        <v>9</v>
      </c>
      <c r="H572" s="7" t="s">
        <v>79</v>
      </c>
      <c r="I572" s="6" t="s">
        <v>43</v>
      </c>
      <c r="J572" s="7" t="s">
        <v>44</v>
      </c>
      <c r="K572" s="7" t="s">
        <v>71</v>
      </c>
      <c r="L572" s="1" t="n">
        <v>52</v>
      </c>
      <c r="M572" s="1" t="n">
        <v>20.4</v>
      </c>
      <c r="N572" s="1" t="n">
        <v>19.8</v>
      </c>
      <c r="O572" s="1" t="n">
        <v>0</v>
      </c>
      <c r="P572" s="6" t="s">
        <v>43</v>
      </c>
      <c r="Q572" s="6" t="s">
        <v>43</v>
      </c>
      <c r="R572" s="1" t="n">
        <v>1001.3</v>
      </c>
      <c r="S572" s="1" t="n">
        <v>0</v>
      </c>
      <c r="T572" s="1" t="n">
        <v>54.2</v>
      </c>
      <c r="U572" s="1" t="n">
        <v>304.5</v>
      </c>
      <c r="V572" s="1" t="n">
        <v>430</v>
      </c>
      <c r="W572" s="1" t="n">
        <v>26.9</v>
      </c>
      <c r="X572" s="1" t="n">
        <v>15.5</v>
      </c>
      <c r="Y572" s="1" t="n">
        <v>93</v>
      </c>
      <c r="Z572" s="1" t="n">
        <v>470</v>
      </c>
      <c r="AA572" s="1" t="n">
        <v>184</v>
      </c>
      <c r="AB572" s="7" t="s">
        <v>81</v>
      </c>
      <c r="AC572" s="7" t="s">
        <v>48</v>
      </c>
      <c r="AD572" s="6" t="s">
        <v>43</v>
      </c>
      <c r="AE572" s="6" t="s">
        <v>43</v>
      </c>
      <c r="AF572" s="4" t="n">
        <f aca="false">IF(T572="","",IF(T572&lt;=30,(50/30)*T572,IF(T572&lt;=60,50+((100-50)/(60-30))*(T572-30),IF(T572&lt;=90,100+((200-100)/(90-60))*(T572-60),IF(T572&lt;=120,200+((300-200)/(120-90))*(T572-90),IF(T572&lt;=250,300+((400-300)/(250-120))*(T572-120),IF(T572&lt;=380,400+((500-400)/(380-250))*(T572-250),500)))))))</f>
        <v>90.3333333333333</v>
      </c>
      <c r="AG572" s="4" t="n">
        <f aca="false">IF(U572="","",IF(U572&lt;=50,(50/50)*U572,IF(U572&lt;=100,50+((100-50)/(100-50))*(U572-50),IF(U572&lt;=250,100+((200-100)/(250-100))*(U572-100),IF(U572&lt;=350,200+((300-200)/(350-250))*(U572-250),IF(U572&lt;=430,300+((400-300)/(430-350))*(U572-350),IF(U572&lt;=600,400+((500-400)/(600-430))*(U572-430),500)))))))</f>
        <v>254.5</v>
      </c>
      <c r="AH572" s="4" t="n">
        <f aca="false">IF(V572="","",IF((V572/1000)&lt;=1,(50/1)*(V572/1000),IF((V572/1000)&lt;=2,50+((100-50)/(2-1))*(V572/1000-1),IF((V572/1000)&lt;=10,100+((200-100)/(10-2))*(V572/1000-2),IF((V572/1000)&lt;=17,200+((300-200)/(17-10))*(V572/1000-10),IF((V572/1000)&lt;=34,300+((400-300)/(34-17))*(V572/1000-17),IF((V572/1000)&lt;=57,400+((500-400)/(57-34))*(V572/1000-34),500)))))))</f>
        <v>21.5</v>
      </c>
      <c r="AI572" s="4" t="n">
        <f aca="false">IF(W572="","",IF(W572&lt;=40,(50/40)*W572,IF(W572&lt;=80,50+((100-50)/(80-40))*(W572-40),IF(W572&lt;=180,100+((200-100)/(180-80))*(W572-80),IF(W572&lt;=280,200+((300-200)/(280-180))*(W572-180),IF(W572&lt;=400,300+((400-300)/(400-280))*(W572-280),IF(W572&lt;=800,400+((500-400)/(800-400))*(W572-400),500)))))))</f>
        <v>33.625</v>
      </c>
      <c r="AJ572" s="4" t="n">
        <f aca="false">IF(X572="","",IF(X572&lt;=40,(50/40)*X572,IF(X572&lt;=80,50+((100-50)/(80-40))*(X572-40),IF(X572&lt;=380,100+((200-100)/(380-80))*(X572-80),IF(X572&lt;=800,200+((300-200)/(800-380))*(X572-380),IF(X572&lt;=1600,300+((400-300)/(1600-800))*(X572-800),IF(X572&lt;=2100,400+((500-400)/(2100-1600))*(X572-1600),500)))))))</f>
        <v>19.375</v>
      </c>
      <c r="AK572" s="4" t="n">
        <f aca="false">IF(Y572="","",IF(Y572&lt;=50,(50/50)*Y572,IF(Y572&lt;=100,50+((100-50)/(100-50))*(Y572-50),IF(Y572&lt;=168,100+((200-100)/(168-100))*(Y572-100),IF(Y572&lt;=208,200+((300-200)/(208-168))*(Y572-168),IF(Y572&lt;=748,300+((400-300)/(748-208))*(Y572-208),IF(Y572&lt;=1000,400+((500-400)/(1000-748))*(Y572-748),500)))))))</f>
        <v>93</v>
      </c>
      <c r="AL572" s="4" t="n">
        <f aca="false">ROUND(MAX(AF572,AG572,AH572,AI572,AJ572,AK572),0)</f>
        <v>255</v>
      </c>
      <c r="AM572" s="4" t="str">
        <f aca="false">IF(AL572="","",IF(AL572&lt;=50,"Good",IF(AL572&lt;=100,"Satisfactory",IF(AL572&lt;=200,"Moderate",IF(AL572&lt;=300,"Poor",IF(AL572&lt;=400,"Very Poor","Severe"))))))</f>
        <v>Poor</v>
      </c>
    </row>
    <row r="573" customFormat="false" ht="15.75" hidden="false" customHeight="false" outlineLevel="0" collapsed="false">
      <c r="A573" s="1" t="s">
        <v>39</v>
      </c>
      <c r="B573" s="1" t="s">
        <v>40</v>
      </c>
      <c r="C573" s="1" t="n">
        <v>28.4595</v>
      </c>
      <c r="D573" s="1" t="n">
        <v>77.0266</v>
      </c>
      <c r="E573" s="5" t="n">
        <v>45924</v>
      </c>
      <c r="F573" s="6" t="s">
        <v>72</v>
      </c>
      <c r="G573" s="1" t="n">
        <v>9</v>
      </c>
      <c r="H573" s="7" t="s">
        <v>79</v>
      </c>
      <c r="I573" s="6" t="s">
        <v>43</v>
      </c>
      <c r="J573" s="7" t="s">
        <v>44</v>
      </c>
      <c r="K573" s="7" t="s">
        <v>71</v>
      </c>
      <c r="L573" s="1" t="n">
        <v>60</v>
      </c>
      <c r="M573" s="1" t="n">
        <v>21.4</v>
      </c>
      <c r="N573" s="1" t="n">
        <v>12.2</v>
      </c>
      <c r="O573" s="1" t="n">
        <v>0</v>
      </c>
      <c r="P573" s="6" t="s">
        <v>43</v>
      </c>
      <c r="Q573" s="6" t="s">
        <v>43</v>
      </c>
      <c r="R573" s="1" t="n">
        <v>1001.7</v>
      </c>
      <c r="S573" s="1" t="n">
        <v>0</v>
      </c>
      <c r="T573" s="1" t="n">
        <v>58.9</v>
      </c>
      <c r="U573" s="1" t="n">
        <v>287.8</v>
      </c>
      <c r="V573" s="1" t="n">
        <v>562</v>
      </c>
      <c r="W573" s="1" t="n">
        <v>37.8</v>
      </c>
      <c r="X573" s="1" t="n">
        <v>18.2</v>
      </c>
      <c r="Y573" s="1" t="n">
        <v>69</v>
      </c>
      <c r="Z573" s="1" t="n">
        <v>434</v>
      </c>
      <c r="AA573" s="1" t="n">
        <v>183</v>
      </c>
      <c r="AB573" s="7" t="s">
        <v>81</v>
      </c>
      <c r="AC573" s="7" t="s">
        <v>48</v>
      </c>
      <c r="AD573" s="6" t="s">
        <v>43</v>
      </c>
      <c r="AE573" s="6" t="s">
        <v>43</v>
      </c>
      <c r="AF573" s="4" t="n">
        <f aca="false">IF(T573="","",IF(T573&lt;=30,(50/30)*T573,IF(T573&lt;=60,50+((100-50)/(60-30))*(T573-30),IF(T573&lt;=90,100+((200-100)/(90-60))*(T573-60),IF(T573&lt;=120,200+((300-200)/(120-90))*(T573-90),IF(T573&lt;=250,300+((400-300)/(250-120))*(T573-120),IF(T573&lt;=380,400+((500-400)/(380-250))*(T573-250),500)))))))</f>
        <v>98.1666666666667</v>
      </c>
      <c r="AG573" s="4" t="n">
        <f aca="false">IF(U573="","",IF(U573&lt;=50,(50/50)*U573,IF(U573&lt;=100,50+((100-50)/(100-50))*(U573-50),IF(U573&lt;=250,100+((200-100)/(250-100))*(U573-100),IF(U573&lt;=350,200+((300-200)/(350-250))*(U573-250),IF(U573&lt;=430,300+((400-300)/(430-350))*(U573-350),IF(U573&lt;=600,400+((500-400)/(600-430))*(U573-430),500)))))))</f>
        <v>237.8</v>
      </c>
      <c r="AH573" s="4" t="n">
        <f aca="false">IF(V573="","",IF((V573/1000)&lt;=1,(50/1)*(V573/1000),IF((V573/1000)&lt;=2,50+((100-50)/(2-1))*(V573/1000-1),IF((V573/1000)&lt;=10,100+((200-100)/(10-2))*(V573/1000-2),IF((V573/1000)&lt;=17,200+((300-200)/(17-10))*(V573/1000-10),IF((V573/1000)&lt;=34,300+((400-300)/(34-17))*(V573/1000-17),IF((V573/1000)&lt;=57,400+((500-400)/(57-34))*(V573/1000-34),500)))))))</f>
        <v>28.1</v>
      </c>
      <c r="AI573" s="4" t="n">
        <f aca="false">IF(W573="","",IF(W573&lt;=40,(50/40)*W573,IF(W573&lt;=80,50+((100-50)/(80-40))*(W573-40),IF(W573&lt;=180,100+((200-100)/(180-80))*(W573-80),IF(W573&lt;=280,200+((300-200)/(280-180))*(W573-180),IF(W573&lt;=400,300+((400-300)/(400-280))*(W573-280),IF(W573&lt;=800,400+((500-400)/(800-400))*(W573-400),500)))))))</f>
        <v>47.25</v>
      </c>
      <c r="AJ573" s="4" t="n">
        <f aca="false">IF(X573="","",IF(X573&lt;=40,(50/40)*X573,IF(X573&lt;=80,50+((100-50)/(80-40))*(X573-40),IF(X573&lt;=380,100+((200-100)/(380-80))*(X573-80),IF(X573&lt;=800,200+((300-200)/(800-380))*(X573-380),IF(X573&lt;=1600,300+((400-300)/(1600-800))*(X573-800),IF(X573&lt;=2100,400+((500-400)/(2100-1600))*(X573-1600),500)))))))</f>
        <v>22.75</v>
      </c>
      <c r="AK573" s="4" t="n">
        <f aca="false">IF(Y573="","",IF(Y573&lt;=50,(50/50)*Y573,IF(Y573&lt;=100,50+((100-50)/(100-50))*(Y573-50),IF(Y573&lt;=168,100+((200-100)/(168-100))*(Y573-100),IF(Y573&lt;=208,200+((300-200)/(208-168))*(Y573-168),IF(Y573&lt;=748,300+((400-300)/(748-208))*(Y573-208),IF(Y573&lt;=1000,400+((500-400)/(1000-748))*(Y573-748),500)))))))</f>
        <v>69</v>
      </c>
      <c r="AL573" s="4" t="n">
        <f aca="false">ROUND(MAX(AF573,AG573,AH573,AI573,AJ573,AK573),0)</f>
        <v>238</v>
      </c>
      <c r="AM573" s="4" t="str">
        <f aca="false">IF(AL573="","",IF(AL573&lt;=50,"Good",IF(AL573&lt;=100,"Satisfactory",IF(AL573&lt;=200,"Moderate",IF(AL573&lt;=300,"Poor",IF(AL573&lt;=400,"Very Poor","Severe"))))))</f>
        <v>Poor</v>
      </c>
    </row>
    <row r="574" customFormat="false" ht="15.75" hidden="false" customHeight="false" outlineLevel="0" collapsed="false">
      <c r="A574" s="1" t="s">
        <v>39</v>
      </c>
      <c r="B574" s="1" t="s">
        <v>40</v>
      </c>
      <c r="C574" s="1" t="n">
        <v>28.4595</v>
      </c>
      <c r="D574" s="1" t="n">
        <v>77.0266</v>
      </c>
      <c r="E574" s="5" t="n">
        <v>45924</v>
      </c>
      <c r="F574" s="6" t="s">
        <v>73</v>
      </c>
      <c r="G574" s="1" t="n">
        <v>9</v>
      </c>
      <c r="H574" s="7" t="s">
        <v>79</v>
      </c>
      <c r="I574" s="6" t="s">
        <v>43</v>
      </c>
      <c r="J574" s="7" t="s">
        <v>44</v>
      </c>
      <c r="K574" s="7" t="s">
        <v>71</v>
      </c>
      <c r="L574" s="1" t="n">
        <v>66</v>
      </c>
      <c r="M574" s="1" t="n">
        <v>22.3</v>
      </c>
      <c r="N574" s="1" t="n">
        <v>7.2</v>
      </c>
      <c r="O574" s="1" t="n">
        <v>0</v>
      </c>
      <c r="P574" s="6" t="s">
        <v>43</v>
      </c>
      <c r="Q574" s="6" t="s">
        <v>43</v>
      </c>
      <c r="R574" s="1" t="n">
        <v>1002.4</v>
      </c>
      <c r="S574" s="1" t="n">
        <v>0</v>
      </c>
      <c r="T574" s="1" t="n">
        <v>62.2</v>
      </c>
      <c r="U574" s="1" t="n">
        <v>270.1</v>
      </c>
      <c r="V574" s="1" t="n">
        <v>646</v>
      </c>
      <c r="W574" s="1" t="n">
        <v>47.1</v>
      </c>
      <c r="X574" s="1" t="n">
        <v>20.9</v>
      </c>
      <c r="Y574" s="1" t="n">
        <v>50</v>
      </c>
      <c r="Z574" s="1" t="n">
        <v>406</v>
      </c>
      <c r="AA574" s="1" t="n">
        <v>182</v>
      </c>
      <c r="AB574" s="7" t="s">
        <v>81</v>
      </c>
      <c r="AC574" s="7" t="s">
        <v>88</v>
      </c>
      <c r="AD574" s="6" t="s">
        <v>43</v>
      </c>
      <c r="AE574" s="6" t="s">
        <v>43</v>
      </c>
      <c r="AF574" s="4" t="n">
        <f aca="false">IF(T574="","",IF(T574&lt;=30,(50/30)*T574,IF(T574&lt;=60,50+((100-50)/(60-30))*(T574-30),IF(T574&lt;=90,100+((200-100)/(90-60))*(T574-60),IF(T574&lt;=120,200+((300-200)/(120-90))*(T574-90),IF(T574&lt;=250,300+((400-300)/(250-120))*(T574-120),IF(T574&lt;=380,400+((500-400)/(380-250))*(T574-250),500)))))))</f>
        <v>107.333333333333</v>
      </c>
      <c r="AG574" s="4" t="n">
        <f aca="false">IF(U574="","",IF(U574&lt;=50,(50/50)*U574,IF(U574&lt;=100,50+((100-50)/(100-50))*(U574-50),IF(U574&lt;=250,100+((200-100)/(250-100))*(U574-100),IF(U574&lt;=350,200+((300-200)/(350-250))*(U574-250),IF(U574&lt;=430,300+((400-300)/(430-350))*(U574-350),IF(U574&lt;=600,400+((500-400)/(600-430))*(U574-430),500)))))))</f>
        <v>220.1</v>
      </c>
      <c r="AH574" s="4" t="n">
        <f aca="false">IF(V574="","",IF((V574/1000)&lt;=1,(50/1)*(V574/1000),IF((V574/1000)&lt;=2,50+((100-50)/(2-1))*(V574/1000-1),IF((V574/1000)&lt;=10,100+((200-100)/(10-2))*(V574/1000-2),IF((V574/1000)&lt;=17,200+((300-200)/(17-10))*(V574/1000-10),IF((V574/1000)&lt;=34,300+((400-300)/(34-17))*(V574/1000-17),IF((V574/1000)&lt;=57,400+((500-400)/(57-34))*(V574/1000-34),500)))))))</f>
        <v>32.3</v>
      </c>
      <c r="AI574" s="4" t="n">
        <f aca="false">IF(W574="","",IF(W574&lt;=40,(50/40)*W574,IF(W574&lt;=80,50+((100-50)/(80-40))*(W574-40),IF(W574&lt;=180,100+((200-100)/(180-80))*(W574-80),IF(W574&lt;=280,200+((300-200)/(280-180))*(W574-180),IF(W574&lt;=400,300+((400-300)/(400-280))*(W574-280),IF(W574&lt;=800,400+((500-400)/(800-400))*(W574-400),500)))))))</f>
        <v>58.875</v>
      </c>
      <c r="AJ574" s="4" t="n">
        <f aca="false">IF(X574="","",IF(X574&lt;=40,(50/40)*X574,IF(X574&lt;=80,50+((100-50)/(80-40))*(X574-40),IF(X574&lt;=380,100+((200-100)/(380-80))*(X574-80),IF(X574&lt;=800,200+((300-200)/(800-380))*(X574-380),IF(X574&lt;=1600,300+((400-300)/(1600-800))*(X574-800),IF(X574&lt;=2100,400+((500-400)/(2100-1600))*(X574-1600),500)))))))</f>
        <v>26.125</v>
      </c>
      <c r="AK574" s="4" t="n">
        <f aca="false">IF(Y574="","",IF(Y574&lt;=50,(50/50)*Y574,IF(Y574&lt;=100,50+((100-50)/(100-50))*(Y574-50),IF(Y574&lt;=168,100+((200-100)/(168-100))*(Y574-100),IF(Y574&lt;=208,200+((300-200)/(208-168))*(Y574-168),IF(Y574&lt;=748,300+((400-300)/(748-208))*(Y574-208),IF(Y574&lt;=1000,400+((500-400)/(1000-748))*(Y574-748),500)))))))</f>
        <v>50</v>
      </c>
      <c r="AL574" s="4" t="n">
        <f aca="false">ROUND(MAX(AF574,AG574,AH574,AI574,AJ574,AK574),0)</f>
        <v>220</v>
      </c>
      <c r="AM574" s="4" t="str">
        <f aca="false">IF(AL574="","",IF(AL574&lt;=50,"Good",IF(AL574&lt;=100,"Satisfactory",IF(AL574&lt;=200,"Moderate",IF(AL574&lt;=300,"Poor",IF(AL574&lt;=400,"Very Poor","Severe"))))))</f>
        <v>Poor</v>
      </c>
    </row>
    <row r="575" customFormat="false" ht="15.75" hidden="false" customHeight="false" outlineLevel="0" collapsed="false">
      <c r="A575" s="1" t="s">
        <v>39</v>
      </c>
      <c r="B575" s="1" t="s">
        <v>40</v>
      </c>
      <c r="C575" s="1" t="n">
        <v>28.4595</v>
      </c>
      <c r="D575" s="1" t="n">
        <v>77.0266</v>
      </c>
      <c r="E575" s="5" t="n">
        <v>45924</v>
      </c>
      <c r="F575" s="6" t="s">
        <v>74</v>
      </c>
      <c r="G575" s="1" t="n">
        <v>9</v>
      </c>
      <c r="H575" s="7" t="s">
        <v>79</v>
      </c>
      <c r="I575" s="6" t="s">
        <v>43</v>
      </c>
      <c r="J575" s="7" t="s">
        <v>44</v>
      </c>
      <c r="K575" s="7" t="s">
        <v>75</v>
      </c>
      <c r="L575" s="1" t="n">
        <v>65</v>
      </c>
      <c r="M575" s="1" t="n">
        <v>21.3</v>
      </c>
      <c r="N575" s="1" t="n">
        <v>6.1</v>
      </c>
      <c r="O575" s="1" t="n">
        <v>0</v>
      </c>
      <c r="P575" s="6" t="s">
        <v>43</v>
      </c>
      <c r="Q575" s="6" t="s">
        <v>43</v>
      </c>
      <c r="R575" s="1" t="n">
        <v>1003.1</v>
      </c>
      <c r="S575" s="1" t="n">
        <v>0</v>
      </c>
      <c r="T575" s="1" t="n">
        <v>66.6</v>
      </c>
      <c r="U575" s="1" t="n">
        <v>270.1</v>
      </c>
      <c r="V575" s="1" t="n">
        <v>647</v>
      </c>
      <c r="W575" s="1" t="n">
        <v>53.6</v>
      </c>
      <c r="X575" s="1" t="n">
        <v>23.7</v>
      </c>
      <c r="Y575" s="1" t="n">
        <v>39</v>
      </c>
      <c r="Z575" s="1" t="n">
        <v>398</v>
      </c>
      <c r="AA575" s="1" t="n">
        <v>182</v>
      </c>
      <c r="AB575" s="7" t="s">
        <v>81</v>
      </c>
      <c r="AC575" s="7" t="s">
        <v>88</v>
      </c>
      <c r="AD575" s="6" t="s">
        <v>43</v>
      </c>
      <c r="AE575" s="6" t="s">
        <v>43</v>
      </c>
      <c r="AF575" s="4" t="n">
        <f aca="false">IF(T575="","",IF(T575&lt;=30,(50/30)*T575,IF(T575&lt;=60,50+((100-50)/(60-30))*(T575-30),IF(T575&lt;=90,100+((200-100)/(90-60))*(T575-60),IF(T575&lt;=120,200+((300-200)/(120-90))*(T575-90),IF(T575&lt;=250,300+((400-300)/(250-120))*(T575-120),IF(T575&lt;=380,400+((500-400)/(380-250))*(T575-250),500)))))))</f>
        <v>122</v>
      </c>
      <c r="AG575" s="4" t="n">
        <f aca="false">IF(U575="","",IF(U575&lt;=50,(50/50)*U575,IF(U575&lt;=100,50+((100-50)/(100-50))*(U575-50),IF(U575&lt;=250,100+((200-100)/(250-100))*(U575-100),IF(U575&lt;=350,200+((300-200)/(350-250))*(U575-250),IF(U575&lt;=430,300+((400-300)/(430-350))*(U575-350),IF(U575&lt;=600,400+((500-400)/(600-430))*(U575-430),500)))))))</f>
        <v>220.1</v>
      </c>
      <c r="AH575" s="4" t="n">
        <f aca="false">IF(V575="","",IF((V575/1000)&lt;=1,(50/1)*(V575/1000),IF((V575/1000)&lt;=2,50+((100-50)/(2-1))*(V575/1000-1),IF((V575/1000)&lt;=10,100+((200-100)/(10-2))*(V575/1000-2),IF((V575/1000)&lt;=17,200+((300-200)/(17-10))*(V575/1000-10),IF((V575/1000)&lt;=34,300+((400-300)/(34-17))*(V575/1000-17),IF((V575/1000)&lt;=57,400+((500-400)/(57-34))*(V575/1000-34),500)))))))</f>
        <v>32.35</v>
      </c>
      <c r="AI575" s="4" t="n">
        <f aca="false">IF(W575="","",IF(W575&lt;=40,(50/40)*W575,IF(W575&lt;=80,50+((100-50)/(80-40))*(W575-40),IF(W575&lt;=180,100+((200-100)/(180-80))*(W575-80),IF(W575&lt;=280,200+((300-200)/(280-180))*(W575-180),IF(W575&lt;=400,300+((400-300)/(400-280))*(W575-280),IF(W575&lt;=800,400+((500-400)/(800-400))*(W575-400),500)))))))</f>
        <v>67</v>
      </c>
      <c r="AJ575" s="4" t="n">
        <f aca="false">IF(X575="","",IF(X575&lt;=40,(50/40)*X575,IF(X575&lt;=80,50+((100-50)/(80-40))*(X575-40),IF(X575&lt;=380,100+((200-100)/(380-80))*(X575-80),IF(X575&lt;=800,200+((300-200)/(800-380))*(X575-380),IF(X575&lt;=1600,300+((400-300)/(1600-800))*(X575-800),IF(X575&lt;=2100,400+((500-400)/(2100-1600))*(X575-1600),500)))))))</f>
        <v>29.625</v>
      </c>
      <c r="AK575" s="4" t="n">
        <f aca="false">IF(Y575="","",IF(Y575&lt;=50,(50/50)*Y575,IF(Y575&lt;=100,50+((100-50)/(100-50))*(Y575-50),IF(Y575&lt;=168,100+((200-100)/(168-100))*(Y575-100),IF(Y575&lt;=208,200+((300-200)/(208-168))*(Y575-168),IF(Y575&lt;=748,300+((400-300)/(748-208))*(Y575-208),IF(Y575&lt;=1000,400+((500-400)/(1000-748))*(Y575-748),500)))))))</f>
        <v>39</v>
      </c>
      <c r="AL575" s="4" t="n">
        <f aca="false">ROUND(MAX(AF575,AG575,AH575,AI575,AJ575,AK575),0)</f>
        <v>220</v>
      </c>
      <c r="AM575" s="4" t="str">
        <f aca="false">IF(AL575="","",IF(AL575&lt;=50,"Good",IF(AL575&lt;=100,"Satisfactory",IF(AL575&lt;=200,"Moderate",IF(AL575&lt;=300,"Poor",IF(AL575&lt;=400,"Very Poor","Severe"))))))</f>
        <v>Poor</v>
      </c>
    </row>
    <row r="576" customFormat="false" ht="15.75" hidden="false" customHeight="false" outlineLevel="0" collapsed="false">
      <c r="A576" s="1" t="s">
        <v>39</v>
      </c>
      <c r="B576" s="1" t="s">
        <v>40</v>
      </c>
      <c r="C576" s="1" t="n">
        <v>28.4595</v>
      </c>
      <c r="D576" s="1" t="n">
        <v>77.0266</v>
      </c>
      <c r="E576" s="5" t="n">
        <v>45924</v>
      </c>
      <c r="F576" s="6" t="s">
        <v>76</v>
      </c>
      <c r="G576" s="1" t="n">
        <v>9</v>
      </c>
      <c r="H576" s="7" t="s">
        <v>79</v>
      </c>
      <c r="I576" s="6" t="s">
        <v>43</v>
      </c>
      <c r="J576" s="7" t="s">
        <v>44</v>
      </c>
      <c r="K576" s="7" t="s">
        <v>75</v>
      </c>
      <c r="L576" s="1" t="n">
        <v>71</v>
      </c>
      <c r="M576" s="1" t="n">
        <v>21.5</v>
      </c>
      <c r="N576" s="1" t="n">
        <v>11.2</v>
      </c>
      <c r="O576" s="1" t="n">
        <v>0</v>
      </c>
      <c r="P576" s="6" t="s">
        <v>43</v>
      </c>
      <c r="Q576" s="6" t="s">
        <v>43</v>
      </c>
      <c r="R576" s="1" t="n">
        <v>1003.5</v>
      </c>
      <c r="S576" s="1" t="n">
        <v>0</v>
      </c>
      <c r="T576" s="1" t="n">
        <v>70.5</v>
      </c>
      <c r="U576" s="1" t="n">
        <v>273.8</v>
      </c>
      <c r="V576" s="1" t="n">
        <v>601</v>
      </c>
      <c r="W576" s="1" t="n">
        <v>58.6</v>
      </c>
      <c r="X576" s="1" t="n">
        <v>26.6</v>
      </c>
      <c r="Y576" s="1" t="n">
        <v>33</v>
      </c>
      <c r="Z576" s="1" t="n">
        <v>398</v>
      </c>
      <c r="AA576" s="1" t="n">
        <v>181</v>
      </c>
      <c r="AB576" s="7" t="s">
        <v>81</v>
      </c>
      <c r="AC576" s="7" t="s">
        <v>88</v>
      </c>
      <c r="AD576" s="6" t="s">
        <v>43</v>
      </c>
      <c r="AE576" s="6" t="s">
        <v>43</v>
      </c>
      <c r="AF576" s="4" t="n">
        <f aca="false">IF(T576="","",IF(T576&lt;=30,(50/30)*T576,IF(T576&lt;=60,50+((100-50)/(60-30))*(T576-30),IF(T576&lt;=90,100+((200-100)/(90-60))*(T576-60),IF(T576&lt;=120,200+((300-200)/(120-90))*(T576-90),IF(T576&lt;=250,300+((400-300)/(250-120))*(T576-120),IF(T576&lt;=380,400+((500-400)/(380-250))*(T576-250),500)))))))</f>
        <v>135</v>
      </c>
      <c r="AG576" s="4" t="n">
        <f aca="false">IF(U576="","",IF(U576&lt;=50,(50/50)*U576,IF(U576&lt;=100,50+((100-50)/(100-50))*(U576-50),IF(U576&lt;=250,100+((200-100)/(250-100))*(U576-100),IF(U576&lt;=350,200+((300-200)/(350-250))*(U576-250),IF(U576&lt;=430,300+((400-300)/(430-350))*(U576-350),IF(U576&lt;=600,400+((500-400)/(600-430))*(U576-430),500)))))))</f>
        <v>223.8</v>
      </c>
      <c r="AH576" s="4" t="n">
        <f aca="false">IF(V576="","",IF((V576/1000)&lt;=1,(50/1)*(V576/1000),IF((V576/1000)&lt;=2,50+((100-50)/(2-1))*(V576/1000-1),IF((V576/1000)&lt;=10,100+((200-100)/(10-2))*(V576/1000-2),IF((V576/1000)&lt;=17,200+((300-200)/(17-10))*(V576/1000-10),IF((V576/1000)&lt;=34,300+((400-300)/(34-17))*(V576/1000-17),IF((V576/1000)&lt;=57,400+((500-400)/(57-34))*(V576/1000-34),500)))))))</f>
        <v>30.05</v>
      </c>
      <c r="AI576" s="4" t="n">
        <f aca="false">IF(W576="","",IF(W576&lt;=40,(50/40)*W576,IF(W576&lt;=80,50+((100-50)/(80-40))*(W576-40),IF(W576&lt;=180,100+((200-100)/(180-80))*(W576-80),IF(W576&lt;=280,200+((300-200)/(280-180))*(W576-180),IF(W576&lt;=400,300+((400-300)/(400-280))*(W576-280),IF(W576&lt;=800,400+((500-400)/(800-400))*(W576-400),500)))))))</f>
        <v>73.25</v>
      </c>
      <c r="AJ576" s="4" t="n">
        <f aca="false">IF(X576="","",IF(X576&lt;=40,(50/40)*X576,IF(X576&lt;=80,50+((100-50)/(80-40))*(X576-40),IF(X576&lt;=380,100+((200-100)/(380-80))*(X576-80),IF(X576&lt;=800,200+((300-200)/(800-380))*(X576-380),IF(X576&lt;=1600,300+((400-300)/(1600-800))*(X576-800),IF(X576&lt;=2100,400+((500-400)/(2100-1600))*(X576-1600),500)))))))</f>
        <v>33.25</v>
      </c>
      <c r="AK576" s="4" t="n">
        <f aca="false">IF(Y576="","",IF(Y576&lt;=50,(50/50)*Y576,IF(Y576&lt;=100,50+((100-50)/(100-50))*(Y576-50),IF(Y576&lt;=168,100+((200-100)/(168-100))*(Y576-100),IF(Y576&lt;=208,200+((300-200)/(208-168))*(Y576-168),IF(Y576&lt;=748,300+((400-300)/(748-208))*(Y576-208),IF(Y576&lt;=1000,400+((500-400)/(1000-748))*(Y576-748),500)))))))</f>
        <v>33</v>
      </c>
      <c r="AL576" s="4" t="n">
        <f aca="false">ROUND(MAX(AF576,AG576,AH576,AI576,AJ576,AK576),0)</f>
        <v>224</v>
      </c>
      <c r="AM576" s="4" t="str">
        <f aca="false">IF(AL576="","",IF(AL576&lt;=50,"Good",IF(AL576&lt;=100,"Satisfactory",IF(AL576&lt;=200,"Moderate",IF(AL576&lt;=300,"Poor",IF(AL576&lt;=400,"Very Poor","Severe"))))))</f>
        <v>Poor</v>
      </c>
    </row>
    <row r="577" customFormat="false" ht="15.75" hidden="false" customHeight="false" outlineLevel="0" collapsed="false">
      <c r="A577" s="1" t="s">
        <v>39</v>
      </c>
      <c r="B577" s="1" t="s">
        <v>40</v>
      </c>
      <c r="C577" s="1" t="n">
        <v>28.4595</v>
      </c>
      <c r="D577" s="1" t="n">
        <v>77.0266</v>
      </c>
      <c r="E577" s="5" t="n">
        <v>45924</v>
      </c>
      <c r="F577" s="6" t="s">
        <v>77</v>
      </c>
      <c r="G577" s="1" t="n">
        <v>9</v>
      </c>
      <c r="H577" s="7" t="s">
        <v>79</v>
      </c>
      <c r="I577" s="6" t="s">
        <v>43</v>
      </c>
      <c r="J577" s="7" t="s">
        <v>44</v>
      </c>
      <c r="K577" s="7" t="s">
        <v>75</v>
      </c>
      <c r="L577" s="1" t="n">
        <v>74</v>
      </c>
      <c r="M577" s="1" t="n">
        <v>21.5</v>
      </c>
      <c r="N577" s="1" t="n">
        <v>11.2</v>
      </c>
      <c r="O577" s="1" t="n">
        <v>0</v>
      </c>
      <c r="P577" s="6" t="s">
        <v>43</v>
      </c>
      <c r="Q577" s="6" t="s">
        <v>43</v>
      </c>
      <c r="R577" s="1" t="n">
        <v>1003.4</v>
      </c>
      <c r="S577" s="1" t="n">
        <v>0</v>
      </c>
      <c r="T577" s="1" t="n">
        <v>71.5</v>
      </c>
      <c r="U577" s="1" t="n">
        <v>273.8</v>
      </c>
      <c r="V577" s="1" t="n">
        <v>544</v>
      </c>
      <c r="W577" s="1" t="n">
        <v>61</v>
      </c>
      <c r="X577" s="1" t="n">
        <v>28</v>
      </c>
      <c r="Y577" s="1" t="n">
        <v>29</v>
      </c>
      <c r="Z577" s="1" t="n">
        <v>391</v>
      </c>
      <c r="AA577" s="1" t="n">
        <v>181</v>
      </c>
      <c r="AB577" s="7" t="s">
        <v>81</v>
      </c>
      <c r="AC577" s="7" t="s">
        <v>88</v>
      </c>
      <c r="AD577" s="6" t="s">
        <v>43</v>
      </c>
      <c r="AE577" s="6" t="s">
        <v>43</v>
      </c>
      <c r="AF577" s="4" t="n">
        <f aca="false">IF(T577="","",IF(T577&lt;=30,(50/30)*T577,IF(T577&lt;=60,50+((100-50)/(60-30))*(T577-30),IF(T577&lt;=90,100+((200-100)/(90-60))*(T577-60),IF(T577&lt;=120,200+((300-200)/(120-90))*(T577-90),IF(T577&lt;=250,300+((400-300)/(250-120))*(T577-120),IF(T577&lt;=380,400+((500-400)/(380-250))*(T577-250),500)))))))</f>
        <v>138.333333333333</v>
      </c>
      <c r="AG577" s="4" t="n">
        <f aca="false">IF(U577="","",IF(U577&lt;=50,(50/50)*U577,IF(U577&lt;=100,50+((100-50)/(100-50))*(U577-50),IF(U577&lt;=250,100+((200-100)/(250-100))*(U577-100),IF(U577&lt;=350,200+((300-200)/(350-250))*(U577-250),IF(U577&lt;=430,300+((400-300)/(430-350))*(U577-350),IF(U577&lt;=600,400+((500-400)/(600-430))*(U577-430),500)))))))</f>
        <v>223.8</v>
      </c>
      <c r="AH577" s="4" t="n">
        <f aca="false">IF(V577="","",IF((V577/1000)&lt;=1,(50/1)*(V577/1000),IF((V577/1000)&lt;=2,50+((100-50)/(2-1))*(V577/1000-1),IF((V577/1000)&lt;=10,100+((200-100)/(10-2))*(V577/1000-2),IF((V577/1000)&lt;=17,200+((300-200)/(17-10))*(V577/1000-10),IF((V577/1000)&lt;=34,300+((400-300)/(34-17))*(V577/1000-17),IF((V577/1000)&lt;=57,400+((500-400)/(57-34))*(V577/1000-34),500)))))))</f>
        <v>27.2</v>
      </c>
      <c r="AI577" s="4" t="n">
        <f aca="false">IF(W577="","",IF(W577&lt;=40,(50/40)*W577,IF(W577&lt;=80,50+((100-50)/(80-40))*(W577-40),IF(W577&lt;=180,100+((200-100)/(180-80))*(W577-80),IF(W577&lt;=280,200+((300-200)/(280-180))*(W577-180),IF(W577&lt;=400,300+((400-300)/(400-280))*(W577-280),IF(W577&lt;=800,400+((500-400)/(800-400))*(W577-400),500)))))))</f>
        <v>76.25</v>
      </c>
      <c r="AJ577" s="4" t="n">
        <f aca="false">IF(X577="","",IF(X577&lt;=40,(50/40)*X577,IF(X577&lt;=80,50+((100-50)/(80-40))*(X577-40),IF(X577&lt;=380,100+((200-100)/(380-80))*(X577-80),IF(X577&lt;=800,200+((300-200)/(800-380))*(X577-380),IF(X577&lt;=1600,300+((400-300)/(1600-800))*(X577-800),IF(X577&lt;=2100,400+((500-400)/(2100-1600))*(X577-1600),500)))))))</f>
        <v>35</v>
      </c>
      <c r="AK577" s="4" t="n">
        <f aca="false">IF(Y577="","",IF(Y577&lt;=50,(50/50)*Y577,IF(Y577&lt;=100,50+((100-50)/(100-50))*(Y577-50),IF(Y577&lt;=168,100+((200-100)/(168-100))*(Y577-100),IF(Y577&lt;=208,200+((300-200)/(208-168))*(Y577-168),IF(Y577&lt;=748,300+((400-300)/(748-208))*(Y577-208),IF(Y577&lt;=1000,400+((500-400)/(1000-748))*(Y577-748),500)))))))</f>
        <v>29</v>
      </c>
      <c r="AL577" s="4" t="n">
        <f aca="false">ROUND(MAX(AF577,AG577,AH577,AI577,AJ577,AK577),0)</f>
        <v>224</v>
      </c>
      <c r="AM577" s="4" t="str">
        <f aca="false">IF(AL577="","",IF(AL577&lt;=50,"Good",IF(AL577&lt;=100,"Satisfactory",IF(AL577&lt;=200,"Moderate",IF(AL577&lt;=300,"Poor",IF(AL577&lt;=400,"Very Poor","Severe"))))))</f>
        <v>Poor</v>
      </c>
    </row>
    <row r="578" customFormat="false" ht="15.75" hidden="false" customHeight="false" outlineLevel="0" collapsed="false">
      <c r="A578" s="1" t="s">
        <v>39</v>
      </c>
      <c r="B578" s="1" t="s">
        <v>40</v>
      </c>
      <c r="C578" s="1" t="n">
        <v>28.4595</v>
      </c>
      <c r="D578" s="1" t="n">
        <v>77.0266</v>
      </c>
      <c r="E578" s="5" t="n">
        <v>45925</v>
      </c>
      <c r="F578" s="6" t="s">
        <v>41</v>
      </c>
      <c r="G578" s="1" t="n">
        <v>9</v>
      </c>
      <c r="H578" s="7" t="s">
        <v>80</v>
      </c>
      <c r="I578" s="6" t="s">
        <v>43</v>
      </c>
      <c r="J578" s="7" t="s">
        <v>44</v>
      </c>
      <c r="K578" s="7" t="s">
        <v>45</v>
      </c>
      <c r="L578" s="1" t="n">
        <v>75</v>
      </c>
      <c r="M578" s="1" t="n">
        <v>21.5</v>
      </c>
      <c r="N578" s="1" t="n">
        <v>11.2</v>
      </c>
      <c r="O578" s="1" t="n">
        <v>0</v>
      </c>
      <c r="P578" s="6" t="s">
        <v>43</v>
      </c>
      <c r="Q578" s="6" t="s">
        <v>43</v>
      </c>
      <c r="R578" s="1" t="n">
        <v>1003.6</v>
      </c>
      <c r="S578" s="1" t="n">
        <v>0</v>
      </c>
      <c r="T578" s="1" t="n">
        <v>70.1</v>
      </c>
      <c r="U578" s="1" t="n">
        <v>263.6</v>
      </c>
      <c r="V578" s="1" t="n">
        <v>476</v>
      </c>
      <c r="W578" s="1" t="n">
        <v>59.8</v>
      </c>
      <c r="X578" s="1" t="n">
        <v>27.2</v>
      </c>
      <c r="Y578" s="1" t="n">
        <v>27</v>
      </c>
      <c r="Z578" s="1" t="n">
        <v>366</v>
      </c>
      <c r="AA578" s="1" t="n">
        <v>181</v>
      </c>
      <c r="AB578" s="7" t="s">
        <v>81</v>
      </c>
      <c r="AC578" s="7" t="s">
        <v>88</v>
      </c>
      <c r="AD578" s="6" t="s">
        <v>43</v>
      </c>
      <c r="AE578" s="6" t="s">
        <v>43</v>
      </c>
      <c r="AF578" s="4" t="n">
        <f aca="false">IF(T578="","",IF(T578&lt;=30,(50/30)*T578,IF(T578&lt;=60,50+((100-50)/(60-30))*(T578-30),IF(T578&lt;=90,100+((200-100)/(90-60))*(T578-60),IF(T578&lt;=120,200+((300-200)/(120-90))*(T578-90),IF(T578&lt;=250,300+((400-300)/(250-120))*(T578-120),IF(T578&lt;=380,400+((500-400)/(380-250))*(T578-250),500)))))))</f>
        <v>133.666666666667</v>
      </c>
      <c r="AG578" s="4" t="n">
        <f aca="false">IF(U578="","",IF(U578&lt;=50,(50/50)*U578,IF(U578&lt;=100,50+((100-50)/(100-50))*(U578-50),IF(U578&lt;=250,100+((200-100)/(250-100))*(U578-100),IF(U578&lt;=350,200+((300-200)/(350-250))*(U578-250),IF(U578&lt;=430,300+((400-300)/(430-350))*(U578-350),IF(U578&lt;=600,400+((500-400)/(600-430))*(U578-430),500)))))))</f>
        <v>213.6</v>
      </c>
      <c r="AH578" s="4" t="n">
        <f aca="false">IF(V578="","",IF((V578/1000)&lt;=1,(50/1)*(V578/1000),IF((V578/1000)&lt;=2,50+((100-50)/(2-1))*(V578/1000-1),IF((V578/1000)&lt;=10,100+((200-100)/(10-2))*(V578/1000-2),IF((V578/1000)&lt;=17,200+((300-200)/(17-10))*(V578/1000-10),IF((V578/1000)&lt;=34,300+((400-300)/(34-17))*(V578/1000-17),IF((V578/1000)&lt;=57,400+((500-400)/(57-34))*(V578/1000-34),500)))))))</f>
        <v>23.8</v>
      </c>
      <c r="AI578" s="4" t="n">
        <f aca="false">IF(W578="","",IF(W578&lt;=40,(50/40)*W578,IF(W578&lt;=80,50+((100-50)/(80-40))*(W578-40),IF(W578&lt;=180,100+((200-100)/(180-80))*(W578-80),IF(W578&lt;=280,200+((300-200)/(280-180))*(W578-180),IF(W578&lt;=400,300+((400-300)/(400-280))*(W578-280),IF(W578&lt;=800,400+((500-400)/(800-400))*(W578-400),500)))))))</f>
        <v>74.75</v>
      </c>
      <c r="AJ578" s="4" t="n">
        <f aca="false">IF(X578="","",IF(X578&lt;=40,(50/40)*X578,IF(X578&lt;=80,50+((100-50)/(80-40))*(X578-40),IF(X578&lt;=380,100+((200-100)/(380-80))*(X578-80),IF(X578&lt;=800,200+((300-200)/(800-380))*(X578-380),IF(X578&lt;=1600,300+((400-300)/(1600-800))*(X578-800),IF(X578&lt;=2100,400+((500-400)/(2100-1600))*(X578-1600),500)))))))</f>
        <v>34</v>
      </c>
      <c r="AK578" s="4" t="n">
        <f aca="false">IF(Y578="","",IF(Y578&lt;=50,(50/50)*Y578,IF(Y578&lt;=100,50+((100-50)/(100-50))*(Y578-50),IF(Y578&lt;=168,100+((200-100)/(168-100))*(Y578-100),IF(Y578&lt;=208,200+((300-200)/(208-168))*(Y578-168),IF(Y578&lt;=748,300+((400-300)/(748-208))*(Y578-208),IF(Y578&lt;=1000,400+((500-400)/(1000-748))*(Y578-748),500)))))))</f>
        <v>27</v>
      </c>
      <c r="AL578" s="4" t="n">
        <f aca="false">ROUND(MAX(AF578,AG578,AH578,AI578,AJ578,AK578),0)</f>
        <v>214</v>
      </c>
      <c r="AM578" s="4" t="str">
        <f aca="false">IF(AL578="","",IF(AL578&lt;=50,"Good",IF(AL578&lt;=100,"Satisfactory",IF(AL578&lt;=200,"Moderate",IF(AL578&lt;=300,"Poor",IF(AL578&lt;=400,"Very Poor","Severe"))))))</f>
        <v>Poor</v>
      </c>
    </row>
    <row r="579" customFormat="false" ht="15.75" hidden="false" customHeight="false" outlineLevel="0" collapsed="false">
      <c r="A579" s="1" t="s">
        <v>39</v>
      </c>
      <c r="B579" s="1" t="s">
        <v>40</v>
      </c>
      <c r="C579" s="1" t="n">
        <v>28.4595</v>
      </c>
      <c r="D579" s="1" t="n">
        <v>77.0266</v>
      </c>
      <c r="E579" s="5" t="n">
        <v>45925</v>
      </c>
      <c r="F579" s="6" t="s">
        <v>49</v>
      </c>
      <c r="G579" s="1" t="n">
        <v>9</v>
      </c>
      <c r="H579" s="7" t="s">
        <v>80</v>
      </c>
      <c r="I579" s="6" t="s">
        <v>43</v>
      </c>
      <c r="J579" s="7" t="s">
        <v>44</v>
      </c>
      <c r="K579" s="7" t="s">
        <v>45</v>
      </c>
      <c r="L579" s="1" t="n">
        <v>78</v>
      </c>
      <c r="M579" s="1" t="n">
        <v>21.5</v>
      </c>
      <c r="N579" s="1" t="n">
        <v>9.7</v>
      </c>
      <c r="O579" s="1" t="n">
        <v>0</v>
      </c>
      <c r="P579" s="6" t="s">
        <v>43</v>
      </c>
      <c r="Q579" s="6" t="s">
        <v>43</v>
      </c>
      <c r="R579" s="1" t="n">
        <v>1003.4</v>
      </c>
      <c r="S579" s="1" t="n">
        <v>0</v>
      </c>
      <c r="T579" s="1" t="n">
        <v>68.2</v>
      </c>
      <c r="U579" s="1" t="n">
        <v>247.7</v>
      </c>
      <c r="V579" s="1" t="n">
        <v>398</v>
      </c>
      <c r="W579" s="1" t="n">
        <v>56</v>
      </c>
      <c r="X579" s="1" t="n">
        <v>25</v>
      </c>
      <c r="Y579" s="1" t="n">
        <v>27</v>
      </c>
      <c r="Z579" s="1" t="n">
        <v>335</v>
      </c>
      <c r="AA579" s="1" t="n">
        <v>182</v>
      </c>
      <c r="AB579" s="7" t="s">
        <v>81</v>
      </c>
      <c r="AC579" s="7" t="s">
        <v>88</v>
      </c>
      <c r="AD579" s="6" t="s">
        <v>43</v>
      </c>
      <c r="AE579" s="6" t="s">
        <v>43</v>
      </c>
      <c r="AF579" s="4" t="n">
        <f aca="false">IF(T579="","",IF(T579&lt;=30,(50/30)*T579,IF(T579&lt;=60,50+((100-50)/(60-30))*(T579-30),IF(T579&lt;=90,100+((200-100)/(90-60))*(T579-60),IF(T579&lt;=120,200+((300-200)/(120-90))*(T579-90),IF(T579&lt;=250,300+((400-300)/(250-120))*(T579-120),IF(T579&lt;=380,400+((500-400)/(380-250))*(T579-250),500)))))))</f>
        <v>127.333333333333</v>
      </c>
      <c r="AG579" s="4" t="n">
        <f aca="false">IF(U579="","",IF(U579&lt;=50,(50/50)*U579,IF(U579&lt;=100,50+((100-50)/(100-50))*(U579-50),IF(U579&lt;=250,100+((200-100)/(250-100))*(U579-100),IF(U579&lt;=350,200+((300-200)/(350-250))*(U579-250),IF(U579&lt;=430,300+((400-300)/(430-350))*(U579-350),IF(U579&lt;=600,400+((500-400)/(600-430))*(U579-430),500)))))))</f>
        <v>198.466666666667</v>
      </c>
      <c r="AH579" s="4" t="n">
        <f aca="false">IF(V579="","",IF((V579/1000)&lt;=1,(50/1)*(V579/1000),IF((V579/1000)&lt;=2,50+((100-50)/(2-1))*(V579/1000-1),IF((V579/1000)&lt;=10,100+((200-100)/(10-2))*(V579/1000-2),IF((V579/1000)&lt;=17,200+((300-200)/(17-10))*(V579/1000-10),IF((V579/1000)&lt;=34,300+((400-300)/(34-17))*(V579/1000-17),IF((V579/1000)&lt;=57,400+((500-400)/(57-34))*(V579/1000-34),500)))))))</f>
        <v>19.9</v>
      </c>
      <c r="AI579" s="4" t="n">
        <f aca="false">IF(W579="","",IF(W579&lt;=40,(50/40)*W579,IF(W579&lt;=80,50+((100-50)/(80-40))*(W579-40),IF(W579&lt;=180,100+((200-100)/(180-80))*(W579-80),IF(W579&lt;=280,200+((300-200)/(280-180))*(W579-180),IF(W579&lt;=400,300+((400-300)/(400-280))*(W579-280),IF(W579&lt;=800,400+((500-400)/(800-400))*(W579-400),500)))))))</f>
        <v>70</v>
      </c>
      <c r="AJ579" s="4" t="n">
        <f aca="false">IF(X579="","",IF(X579&lt;=40,(50/40)*X579,IF(X579&lt;=80,50+((100-50)/(80-40))*(X579-40),IF(X579&lt;=380,100+((200-100)/(380-80))*(X579-80),IF(X579&lt;=800,200+((300-200)/(800-380))*(X579-380),IF(X579&lt;=1600,300+((400-300)/(1600-800))*(X579-800),IF(X579&lt;=2100,400+((500-400)/(2100-1600))*(X579-1600),500)))))))</f>
        <v>31.25</v>
      </c>
      <c r="AK579" s="4" t="n">
        <f aca="false">IF(Y579="","",IF(Y579&lt;=50,(50/50)*Y579,IF(Y579&lt;=100,50+((100-50)/(100-50))*(Y579-50),IF(Y579&lt;=168,100+((200-100)/(168-100))*(Y579-100),IF(Y579&lt;=208,200+((300-200)/(208-168))*(Y579-168),IF(Y579&lt;=748,300+((400-300)/(748-208))*(Y579-208),IF(Y579&lt;=1000,400+((500-400)/(1000-748))*(Y579-748),500)))))))</f>
        <v>27</v>
      </c>
      <c r="AL579" s="4" t="n">
        <f aca="false">ROUND(MAX(AF579,AG579,AH579,AI579,AJ579,AK579),0)</f>
        <v>198</v>
      </c>
      <c r="AM579" s="4" t="str">
        <f aca="false">IF(AL579="","",IF(AL579&lt;=50,"Good",IF(AL579&lt;=100,"Satisfactory",IF(AL579&lt;=200,"Moderate",IF(AL579&lt;=300,"Poor",IF(AL579&lt;=400,"Very Poor","Severe"))))))</f>
        <v>Moderate</v>
      </c>
    </row>
    <row r="580" customFormat="false" ht="15.75" hidden="false" customHeight="false" outlineLevel="0" collapsed="false">
      <c r="A580" s="1" t="s">
        <v>39</v>
      </c>
      <c r="B580" s="1" t="s">
        <v>40</v>
      </c>
      <c r="C580" s="1" t="n">
        <v>28.4595</v>
      </c>
      <c r="D580" s="1" t="n">
        <v>77.0266</v>
      </c>
      <c r="E580" s="5" t="n">
        <v>45925</v>
      </c>
      <c r="F580" s="6" t="s">
        <v>51</v>
      </c>
      <c r="G580" s="1" t="n">
        <v>9</v>
      </c>
      <c r="H580" s="7" t="s">
        <v>80</v>
      </c>
      <c r="I580" s="6" t="s">
        <v>43</v>
      </c>
      <c r="J580" s="7" t="s">
        <v>44</v>
      </c>
      <c r="K580" s="7" t="s">
        <v>45</v>
      </c>
      <c r="L580" s="1" t="n">
        <v>81</v>
      </c>
      <c r="M580" s="1" t="n">
        <v>21.3</v>
      </c>
      <c r="N580" s="1" t="n">
        <v>10.8</v>
      </c>
      <c r="O580" s="1" t="n">
        <v>0</v>
      </c>
      <c r="P580" s="6" t="s">
        <v>43</v>
      </c>
      <c r="Q580" s="6" t="s">
        <v>43</v>
      </c>
      <c r="R580" s="1" t="n">
        <v>1003.3</v>
      </c>
      <c r="S580" s="1" t="n">
        <v>0</v>
      </c>
      <c r="T580" s="1" t="n">
        <v>65.9</v>
      </c>
      <c r="U580" s="1" t="n">
        <v>228.2</v>
      </c>
      <c r="V580" s="1" t="n">
        <v>346</v>
      </c>
      <c r="W580" s="1" t="n">
        <v>51.9</v>
      </c>
      <c r="X580" s="1" t="n">
        <v>22.7</v>
      </c>
      <c r="Y580" s="1" t="n">
        <v>27</v>
      </c>
      <c r="Z580" s="1" t="n">
        <v>311</v>
      </c>
      <c r="AA580" s="1" t="n">
        <v>182</v>
      </c>
      <c r="AB580" s="7" t="s">
        <v>81</v>
      </c>
      <c r="AC580" s="7" t="s">
        <v>88</v>
      </c>
      <c r="AD580" s="6" t="s">
        <v>43</v>
      </c>
      <c r="AE580" s="6" t="s">
        <v>43</v>
      </c>
      <c r="AF580" s="4" t="n">
        <f aca="false">IF(T580="","",IF(T580&lt;=30,(50/30)*T580,IF(T580&lt;=60,50+((100-50)/(60-30))*(T580-30),IF(T580&lt;=90,100+((200-100)/(90-60))*(T580-60),IF(T580&lt;=120,200+((300-200)/(120-90))*(T580-90),IF(T580&lt;=250,300+((400-300)/(250-120))*(T580-120),IF(T580&lt;=380,400+((500-400)/(380-250))*(T580-250),500)))))))</f>
        <v>119.666666666667</v>
      </c>
      <c r="AG580" s="4" t="n">
        <f aca="false">IF(U580="","",IF(U580&lt;=50,(50/50)*U580,IF(U580&lt;=100,50+((100-50)/(100-50))*(U580-50),IF(U580&lt;=250,100+((200-100)/(250-100))*(U580-100),IF(U580&lt;=350,200+((300-200)/(350-250))*(U580-250),IF(U580&lt;=430,300+((400-300)/(430-350))*(U580-350),IF(U580&lt;=600,400+((500-400)/(600-430))*(U580-430),500)))))))</f>
        <v>185.466666666667</v>
      </c>
      <c r="AH580" s="4" t="n">
        <f aca="false">IF(V580="","",IF((V580/1000)&lt;=1,(50/1)*(V580/1000),IF((V580/1000)&lt;=2,50+((100-50)/(2-1))*(V580/1000-1),IF((V580/1000)&lt;=10,100+((200-100)/(10-2))*(V580/1000-2),IF((V580/1000)&lt;=17,200+((300-200)/(17-10))*(V580/1000-10),IF((V580/1000)&lt;=34,300+((400-300)/(34-17))*(V580/1000-17),IF((V580/1000)&lt;=57,400+((500-400)/(57-34))*(V580/1000-34),500)))))))</f>
        <v>17.3</v>
      </c>
      <c r="AI580" s="4" t="n">
        <f aca="false">IF(W580="","",IF(W580&lt;=40,(50/40)*W580,IF(W580&lt;=80,50+((100-50)/(80-40))*(W580-40),IF(W580&lt;=180,100+((200-100)/(180-80))*(W580-80),IF(W580&lt;=280,200+((300-200)/(280-180))*(W580-180),IF(W580&lt;=400,300+((400-300)/(400-280))*(W580-280),IF(W580&lt;=800,400+((500-400)/(800-400))*(W580-400),500)))))))</f>
        <v>64.875</v>
      </c>
      <c r="AJ580" s="4" t="n">
        <f aca="false">IF(X580="","",IF(X580&lt;=40,(50/40)*X580,IF(X580&lt;=80,50+((100-50)/(80-40))*(X580-40),IF(X580&lt;=380,100+((200-100)/(380-80))*(X580-80),IF(X580&lt;=800,200+((300-200)/(800-380))*(X580-380),IF(X580&lt;=1600,300+((400-300)/(1600-800))*(X580-800),IF(X580&lt;=2100,400+((500-400)/(2100-1600))*(X580-1600),500)))))))</f>
        <v>28.375</v>
      </c>
      <c r="AK580" s="4" t="n">
        <f aca="false">IF(Y580="","",IF(Y580&lt;=50,(50/50)*Y580,IF(Y580&lt;=100,50+((100-50)/(100-50))*(Y580-50),IF(Y580&lt;=168,100+((200-100)/(168-100))*(Y580-100),IF(Y580&lt;=208,200+((300-200)/(208-168))*(Y580-168),IF(Y580&lt;=748,300+((400-300)/(748-208))*(Y580-208),IF(Y580&lt;=1000,400+((500-400)/(1000-748))*(Y580-748),500)))))))</f>
        <v>27</v>
      </c>
      <c r="AL580" s="4" t="n">
        <f aca="false">ROUND(MAX(AF580,AG580,AH580,AI580,AJ580,AK580),0)</f>
        <v>185</v>
      </c>
      <c r="AM580" s="4" t="str">
        <f aca="false">IF(AL580="","",IF(AL580&lt;=50,"Good",IF(AL580&lt;=100,"Satisfactory",IF(AL580&lt;=200,"Moderate",IF(AL580&lt;=300,"Poor",IF(AL580&lt;=400,"Very Poor","Severe"))))))</f>
        <v>Moderate</v>
      </c>
    </row>
    <row r="581" customFormat="false" ht="15.75" hidden="false" customHeight="false" outlineLevel="0" collapsed="false">
      <c r="A581" s="1" t="s">
        <v>39</v>
      </c>
      <c r="B581" s="1" t="s">
        <v>40</v>
      </c>
      <c r="C581" s="1" t="n">
        <v>28.4595</v>
      </c>
      <c r="D581" s="1" t="n">
        <v>77.0266</v>
      </c>
      <c r="E581" s="5" t="n">
        <v>45925</v>
      </c>
      <c r="F581" s="6" t="s">
        <v>52</v>
      </c>
      <c r="G581" s="1" t="n">
        <v>9</v>
      </c>
      <c r="H581" s="7" t="s">
        <v>80</v>
      </c>
      <c r="I581" s="6" t="s">
        <v>43</v>
      </c>
      <c r="J581" s="7" t="s">
        <v>44</v>
      </c>
      <c r="K581" s="7" t="s">
        <v>45</v>
      </c>
      <c r="L581" s="1" t="n">
        <v>82</v>
      </c>
      <c r="M581" s="1" t="n">
        <v>21</v>
      </c>
      <c r="N581" s="1" t="n">
        <v>10.1</v>
      </c>
      <c r="O581" s="1" t="n">
        <v>0</v>
      </c>
      <c r="P581" s="6" t="s">
        <v>43</v>
      </c>
      <c r="Q581" s="6" t="s">
        <v>43</v>
      </c>
      <c r="R581" s="1" t="n">
        <v>1003.5</v>
      </c>
      <c r="S581" s="1" t="n">
        <v>0</v>
      </c>
      <c r="T581" s="1" t="n">
        <v>62.9</v>
      </c>
      <c r="U581" s="1" t="n">
        <v>212.8</v>
      </c>
      <c r="V581" s="1" t="n">
        <v>342</v>
      </c>
      <c r="W581" s="1" t="n">
        <v>48.2</v>
      </c>
      <c r="X581" s="1" t="n">
        <v>20.4</v>
      </c>
      <c r="Y581" s="1" t="n">
        <v>25</v>
      </c>
      <c r="Z581" s="1" t="n">
        <v>298</v>
      </c>
      <c r="AA581" s="1" t="n">
        <v>181</v>
      </c>
      <c r="AB581" s="7" t="s">
        <v>81</v>
      </c>
      <c r="AC581" s="7" t="s">
        <v>88</v>
      </c>
      <c r="AD581" s="6" t="s">
        <v>43</v>
      </c>
      <c r="AE581" s="6" t="s">
        <v>43</v>
      </c>
      <c r="AF581" s="4" t="n">
        <f aca="false">IF(T581="","",IF(T581&lt;=30,(50/30)*T581,IF(T581&lt;=60,50+((100-50)/(60-30))*(T581-30),IF(T581&lt;=90,100+((200-100)/(90-60))*(T581-60),IF(T581&lt;=120,200+((300-200)/(120-90))*(T581-90),IF(T581&lt;=250,300+((400-300)/(250-120))*(T581-120),IF(T581&lt;=380,400+((500-400)/(380-250))*(T581-250),500)))))))</f>
        <v>109.666666666667</v>
      </c>
      <c r="AG581" s="4" t="n">
        <f aca="false">IF(U581="","",IF(U581&lt;=50,(50/50)*U581,IF(U581&lt;=100,50+((100-50)/(100-50))*(U581-50),IF(U581&lt;=250,100+((200-100)/(250-100))*(U581-100),IF(U581&lt;=350,200+((300-200)/(350-250))*(U581-250),IF(U581&lt;=430,300+((400-300)/(430-350))*(U581-350),IF(U581&lt;=600,400+((500-400)/(600-430))*(U581-430),500)))))))</f>
        <v>175.2</v>
      </c>
      <c r="AH581" s="4" t="n">
        <f aca="false">IF(V581="","",IF((V581/1000)&lt;=1,(50/1)*(V581/1000),IF((V581/1000)&lt;=2,50+((100-50)/(2-1))*(V581/1000-1),IF((V581/1000)&lt;=10,100+((200-100)/(10-2))*(V581/1000-2),IF((V581/1000)&lt;=17,200+((300-200)/(17-10))*(V581/1000-10),IF((V581/1000)&lt;=34,300+((400-300)/(34-17))*(V581/1000-17),IF((V581/1000)&lt;=57,400+((500-400)/(57-34))*(V581/1000-34),500)))))))</f>
        <v>17.1</v>
      </c>
      <c r="AI581" s="4" t="n">
        <f aca="false">IF(W581="","",IF(W581&lt;=40,(50/40)*W581,IF(W581&lt;=80,50+((100-50)/(80-40))*(W581-40),IF(W581&lt;=180,100+((200-100)/(180-80))*(W581-80),IF(W581&lt;=280,200+((300-200)/(280-180))*(W581-180),IF(W581&lt;=400,300+((400-300)/(400-280))*(W581-280),IF(W581&lt;=800,400+((500-400)/(800-400))*(W581-400),500)))))))</f>
        <v>60.25</v>
      </c>
      <c r="AJ581" s="4" t="n">
        <f aca="false">IF(X581="","",IF(X581&lt;=40,(50/40)*X581,IF(X581&lt;=80,50+((100-50)/(80-40))*(X581-40),IF(X581&lt;=380,100+((200-100)/(380-80))*(X581-80),IF(X581&lt;=800,200+((300-200)/(800-380))*(X581-380),IF(X581&lt;=1600,300+((400-300)/(1600-800))*(X581-800),IF(X581&lt;=2100,400+((500-400)/(2100-1600))*(X581-1600),500)))))))</f>
        <v>25.5</v>
      </c>
      <c r="AK581" s="4" t="n">
        <f aca="false">IF(Y581="","",IF(Y581&lt;=50,(50/50)*Y581,IF(Y581&lt;=100,50+((100-50)/(100-50))*(Y581-50),IF(Y581&lt;=168,100+((200-100)/(168-100))*(Y581-100),IF(Y581&lt;=208,200+((300-200)/(208-168))*(Y581-168),IF(Y581&lt;=748,300+((400-300)/(748-208))*(Y581-208),IF(Y581&lt;=1000,400+((500-400)/(1000-748))*(Y581-748),500)))))))</f>
        <v>25</v>
      </c>
      <c r="AL581" s="4" t="n">
        <f aca="false">ROUND(MAX(AF581,AG581,AH581,AI581,AJ581,AK581),0)</f>
        <v>175</v>
      </c>
      <c r="AM581" s="4" t="str">
        <f aca="false">IF(AL581="","",IF(AL581&lt;=50,"Good",IF(AL581&lt;=100,"Satisfactory",IF(AL581&lt;=200,"Moderate",IF(AL581&lt;=300,"Poor",IF(AL581&lt;=400,"Very Poor","Severe"))))))</f>
        <v>Moderate</v>
      </c>
    </row>
    <row r="582" customFormat="false" ht="15.75" hidden="false" customHeight="false" outlineLevel="0" collapsed="false">
      <c r="A582" s="1" t="s">
        <v>39</v>
      </c>
      <c r="B582" s="1" t="s">
        <v>40</v>
      </c>
      <c r="C582" s="1" t="n">
        <v>28.4595</v>
      </c>
      <c r="D582" s="1" t="n">
        <v>77.0266</v>
      </c>
      <c r="E582" s="5" t="n">
        <v>45925</v>
      </c>
      <c r="F582" s="6" t="s">
        <v>53</v>
      </c>
      <c r="G582" s="1" t="n">
        <v>9</v>
      </c>
      <c r="H582" s="7" t="s">
        <v>80</v>
      </c>
      <c r="I582" s="6" t="s">
        <v>43</v>
      </c>
      <c r="J582" s="7" t="s">
        <v>44</v>
      </c>
      <c r="K582" s="7" t="s">
        <v>45</v>
      </c>
      <c r="L582" s="1" t="n">
        <v>82</v>
      </c>
      <c r="M582" s="1" t="n">
        <v>20.5</v>
      </c>
      <c r="N582" s="1" t="n">
        <v>10.8</v>
      </c>
      <c r="O582" s="1" t="n">
        <v>0</v>
      </c>
      <c r="P582" s="6" t="s">
        <v>43</v>
      </c>
      <c r="Q582" s="6" t="s">
        <v>43</v>
      </c>
      <c r="R582" s="1" t="n">
        <v>1003.7</v>
      </c>
      <c r="S582" s="1" t="n">
        <v>0</v>
      </c>
      <c r="T582" s="1" t="n">
        <v>60.1</v>
      </c>
      <c r="U582" s="1" t="n">
        <v>207.7</v>
      </c>
      <c r="V582" s="1" t="n">
        <v>365</v>
      </c>
      <c r="W582" s="1" t="n">
        <v>44.3</v>
      </c>
      <c r="X582" s="1" t="n">
        <v>17.9</v>
      </c>
      <c r="Y582" s="1" t="n">
        <v>23</v>
      </c>
      <c r="Z582" s="1" t="n">
        <v>293</v>
      </c>
      <c r="AA582" s="1" t="n">
        <v>180</v>
      </c>
      <c r="AB582" s="7" t="s">
        <v>81</v>
      </c>
      <c r="AC582" s="7" t="s">
        <v>88</v>
      </c>
      <c r="AD582" s="6" t="s">
        <v>43</v>
      </c>
      <c r="AE582" s="6" t="s">
        <v>43</v>
      </c>
      <c r="AF582" s="4" t="n">
        <f aca="false">IF(T582="","",IF(T582&lt;=30,(50/30)*T582,IF(T582&lt;=60,50+((100-50)/(60-30))*(T582-30),IF(T582&lt;=90,100+((200-100)/(90-60))*(T582-60),IF(T582&lt;=120,200+((300-200)/(120-90))*(T582-90),IF(T582&lt;=250,300+((400-300)/(250-120))*(T582-120),IF(T582&lt;=380,400+((500-400)/(380-250))*(T582-250),500)))))))</f>
        <v>100.333333333333</v>
      </c>
      <c r="AG582" s="4" t="n">
        <f aca="false">IF(U582="","",IF(U582&lt;=50,(50/50)*U582,IF(U582&lt;=100,50+((100-50)/(100-50))*(U582-50),IF(U582&lt;=250,100+((200-100)/(250-100))*(U582-100),IF(U582&lt;=350,200+((300-200)/(350-250))*(U582-250),IF(U582&lt;=430,300+((400-300)/(430-350))*(U582-350),IF(U582&lt;=600,400+((500-400)/(600-430))*(U582-430),500)))))))</f>
        <v>171.8</v>
      </c>
      <c r="AH582" s="4" t="n">
        <f aca="false">IF(V582="","",IF((V582/1000)&lt;=1,(50/1)*(V582/1000),IF((V582/1000)&lt;=2,50+((100-50)/(2-1))*(V582/1000-1),IF((V582/1000)&lt;=10,100+((200-100)/(10-2))*(V582/1000-2),IF((V582/1000)&lt;=17,200+((300-200)/(17-10))*(V582/1000-10),IF((V582/1000)&lt;=34,300+((400-300)/(34-17))*(V582/1000-17),IF((V582/1000)&lt;=57,400+((500-400)/(57-34))*(V582/1000-34),500)))))))</f>
        <v>18.25</v>
      </c>
      <c r="AI582" s="4" t="n">
        <f aca="false">IF(W582="","",IF(W582&lt;=40,(50/40)*W582,IF(W582&lt;=80,50+((100-50)/(80-40))*(W582-40),IF(W582&lt;=180,100+((200-100)/(180-80))*(W582-80),IF(W582&lt;=280,200+((300-200)/(280-180))*(W582-180),IF(W582&lt;=400,300+((400-300)/(400-280))*(W582-280),IF(W582&lt;=800,400+((500-400)/(800-400))*(W582-400),500)))))))</f>
        <v>55.375</v>
      </c>
      <c r="AJ582" s="4" t="n">
        <f aca="false">IF(X582="","",IF(X582&lt;=40,(50/40)*X582,IF(X582&lt;=80,50+((100-50)/(80-40))*(X582-40),IF(X582&lt;=380,100+((200-100)/(380-80))*(X582-80),IF(X582&lt;=800,200+((300-200)/(800-380))*(X582-380),IF(X582&lt;=1600,300+((400-300)/(1600-800))*(X582-800),IF(X582&lt;=2100,400+((500-400)/(2100-1600))*(X582-1600),500)))))))</f>
        <v>22.375</v>
      </c>
      <c r="AK582" s="4" t="n">
        <f aca="false">IF(Y582="","",IF(Y582&lt;=50,(50/50)*Y582,IF(Y582&lt;=100,50+((100-50)/(100-50))*(Y582-50),IF(Y582&lt;=168,100+((200-100)/(168-100))*(Y582-100),IF(Y582&lt;=208,200+((300-200)/(208-168))*(Y582-168),IF(Y582&lt;=748,300+((400-300)/(748-208))*(Y582-208),IF(Y582&lt;=1000,400+((500-400)/(1000-748))*(Y582-748),500)))))))</f>
        <v>23</v>
      </c>
      <c r="AL582" s="4" t="n">
        <f aca="false">ROUND(MAX(AF582,AG582,AH582,AI582,AJ582,AK582),0)</f>
        <v>172</v>
      </c>
      <c r="AM582" s="4" t="str">
        <f aca="false">IF(AL582="","",IF(AL582&lt;=50,"Good",IF(AL582&lt;=100,"Satisfactory",IF(AL582&lt;=200,"Moderate",IF(AL582&lt;=300,"Poor",IF(AL582&lt;=400,"Very Poor","Severe"))))))</f>
        <v>Moderate</v>
      </c>
    </row>
    <row r="583" customFormat="false" ht="15.75" hidden="false" customHeight="false" outlineLevel="0" collapsed="false">
      <c r="A583" s="1" t="s">
        <v>39</v>
      </c>
      <c r="B583" s="1" t="s">
        <v>40</v>
      </c>
      <c r="C583" s="1" t="n">
        <v>28.4595</v>
      </c>
      <c r="D583" s="1" t="n">
        <v>77.0266</v>
      </c>
      <c r="E583" s="5" t="n">
        <v>45925</v>
      </c>
      <c r="F583" s="6" t="s">
        <v>54</v>
      </c>
      <c r="G583" s="1" t="n">
        <v>9</v>
      </c>
      <c r="H583" s="7" t="s">
        <v>80</v>
      </c>
      <c r="I583" s="6" t="s">
        <v>43</v>
      </c>
      <c r="J583" s="7" t="s">
        <v>44</v>
      </c>
      <c r="K583" s="7" t="s">
        <v>45</v>
      </c>
      <c r="L583" s="1" t="n">
        <v>78</v>
      </c>
      <c r="M583" s="1" t="n">
        <v>19.4</v>
      </c>
      <c r="N583" s="1" t="n">
        <v>13.7</v>
      </c>
      <c r="O583" s="1" t="n">
        <v>0</v>
      </c>
      <c r="P583" s="6" t="s">
        <v>43</v>
      </c>
      <c r="Q583" s="6" t="s">
        <v>43</v>
      </c>
      <c r="R583" s="1" t="n">
        <v>1004.2</v>
      </c>
      <c r="S583" s="1" t="n">
        <v>0</v>
      </c>
      <c r="T583" s="1" t="n">
        <v>55.1</v>
      </c>
      <c r="U583" s="1" t="n">
        <v>251.5</v>
      </c>
      <c r="V583" s="1" t="n">
        <v>391</v>
      </c>
      <c r="W583" s="1" t="n">
        <v>30</v>
      </c>
      <c r="X583" s="1" t="n">
        <v>13.5</v>
      </c>
      <c r="Y583" s="1" t="n">
        <v>37</v>
      </c>
      <c r="Z583" s="1" t="n">
        <v>376</v>
      </c>
      <c r="AA583" s="1" t="n">
        <v>179</v>
      </c>
      <c r="AB583" s="7" t="s">
        <v>81</v>
      </c>
      <c r="AC583" s="7" t="s">
        <v>48</v>
      </c>
      <c r="AD583" s="6" t="s">
        <v>43</v>
      </c>
      <c r="AE583" s="6" t="s">
        <v>43</v>
      </c>
      <c r="AF583" s="4" t="n">
        <f aca="false">IF(T583="","",IF(T583&lt;=30,(50/30)*T583,IF(T583&lt;=60,50+((100-50)/(60-30))*(T583-30),IF(T583&lt;=90,100+((200-100)/(90-60))*(T583-60),IF(T583&lt;=120,200+((300-200)/(120-90))*(T583-90),IF(T583&lt;=250,300+((400-300)/(250-120))*(T583-120),IF(T583&lt;=380,400+((500-400)/(380-250))*(T583-250),500)))))))</f>
        <v>91.8333333333333</v>
      </c>
      <c r="AG583" s="4" t="n">
        <f aca="false">IF(U583="","",IF(U583&lt;=50,(50/50)*U583,IF(U583&lt;=100,50+((100-50)/(100-50))*(U583-50),IF(U583&lt;=250,100+((200-100)/(250-100))*(U583-100),IF(U583&lt;=350,200+((300-200)/(350-250))*(U583-250),IF(U583&lt;=430,300+((400-300)/(430-350))*(U583-350),IF(U583&lt;=600,400+((500-400)/(600-430))*(U583-430),500)))))))</f>
        <v>201.5</v>
      </c>
      <c r="AH583" s="4" t="n">
        <f aca="false">IF(V583="","",IF((V583/1000)&lt;=1,(50/1)*(V583/1000),IF((V583/1000)&lt;=2,50+((100-50)/(2-1))*(V583/1000-1),IF((V583/1000)&lt;=10,100+((200-100)/(10-2))*(V583/1000-2),IF((V583/1000)&lt;=17,200+((300-200)/(17-10))*(V583/1000-10),IF((V583/1000)&lt;=34,300+((400-300)/(34-17))*(V583/1000-17),IF((V583/1000)&lt;=57,400+((500-400)/(57-34))*(V583/1000-34),500)))))))</f>
        <v>19.55</v>
      </c>
      <c r="AI583" s="4" t="n">
        <f aca="false">IF(W583="","",IF(W583&lt;=40,(50/40)*W583,IF(W583&lt;=80,50+((100-50)/(80-40))*(W583-40),IF(W583&lt;=180,100+((200-100)/(180-80))*(W583-80),IF(W583&lt;=280,200+((300-200)/(280-180))*(W583-180),IF(W583&lt;=400,300+((400-300)/(400-280))*(W583-280),IF(W583&lt;=800,400+((500-400)/(800-400))*(W583-400),500)))))))</f>
        <v>37.5</v>
      </c>
      <c r="AJ583" s="4" t="n">
        <f aca="false">IF(X583="","",IF(X583&lt;=40,(50/40)*X583,IF(X583&lt;=80,50+((100-50)/(80-40))*(X583-40),IF(X583&lt;=380,100+((200-100)/(380-80))*(X583-80),IF(X583&lt;=800,200+((300-200)/(800-380))*(X583-380),IF(X583&lt;=1600,300+((400-300)/(1600-800))*(X583-800),IF(X583&lt;=2100,400+((500-400)/(2100-1600))*(X583-1600),500)))))))</f>
        <v>16.875</v>
      </c>
      <c r="AK583" s="4" t="n">
        <f aca="false">IF(Y583="","",IF(Y583&lt;=50,(50/50)*Y583,IF(Y583&lt;=100,50+((100-50)/(100-50))*(Y583-50),IF(Y583&lt;=168,100+((200-100)/(168-100))*(Y583-100),IF(Y583&lt;=208,200+((300-200)/(208-168))*(Y583-168),IF(Y583&lt;=748,300+((400-300)/(748-208))*(Y583-208),IF(Y583&lt;=1000,400+((500-400)/(1000-748))*(Y583-748),500)))))))</f>
        <v>37</v>
      </c>
      <c r="AL583" s="4" t="n">
        <f aca="false">ROUND(MAX(AF583,AG583,AH583,AI583,AJ583,AK583),0)</f>
        <v>202</v>
      </c>
      <c r="AM583" s="4" t="str">
        <f aca="false">IF(AL583="","",IF(AL583&lt;=50,"Good",IF(AL583&lt;=100,"Satisfactory",IF(AL583&lt;=200,"Moderate",IF(AL583&lt;=300,"Poor",IF(AL583&lt;=400,"Very Poor","Severe"))))))</f>
        <v>Poor</v>
      </c>
    </row>
    <row r="584" customFormat="false" ht="15.75" hidden="false" customHeight="false" outlineLevel="0" collapsed="false">
      <c r="A584" s="1" t="s">
        <v>39</v>
      </c>
      <c r="B584" s="1" t="s">
        <v>40</v>
      </c>
      <c r="C584" s="1" t="n">
        <v>28.4595</v>
      </c>
      <c r="D584" s="1" t="n">
        <v>77.0266</v>
      </c>
      <c r="E584" s="5" t="n">
        <v>45925</v>
      </c>
      <c r="F584" s="6" t="s">
        <v>55</v>
      </c>
      <c r="G584" s="1" t="n">
        <v>9</v>
      </c>
      <c r="H584" s="7" t="s">
        <v>80</v>
      </c>
      <c r="I584" s="6" t="s">
        <v>43</v>
      </c>
      <c r="J584" s="7" t="s">
        <v>44</v>
      </c>
      <c r="K584" s="7" t="s">
        <v>56</v>
      </c>
      <c r="L584" s="1" t="n">
        <v>75</v>
      </c>
      <c r="M584" s="1" t="n">
        <v>19.4</v>
      </c>
      <c r="N584" s="1" t="n">
        <v>17.6</v>
      </c>
      <c r="O584" s="1" t="n">
        <v>0</v>
      </c>
      <c r="P584" s="6" t="s">
        <v>43</v>
      </c>
      <c r="Q584" s="6" t="s">
        <v>43</v>
      </c>
      <c r="R584" s="1" t="n">
        <v>1004.9</v>
      </c>
      <c r="S584" s="1" t="n">
        <v>0</v>
      </c>
      <c r="T584" s="1" t="n">
        <v>55.1</v>
      </c>
      <c r="U584" s="1" t="n">
        <v>272.9</v>
      </c>
      <c r="V584" s="1" t="n">
        <v>426</v>
      </c>
      <c r="W584" s="1" t="n">
        <v>29.4</v>
      </c>
      <c r="X584" s="1" t="n">
        <v>13.5</v>
      </c>
      <c r="Y584" s="1" t="n">
        <v>42</v>
      </c>
      <c r="Z584" s="1" t="n">
        <v>405</v>
      </c>
      <c r="AA584" s="1" t="n">
        <v>176</v>
      </c>
      <c r="AB584" s="7" t="s">
        <v>81</v>
      </c>
      <c r="AC584" s="7" t="s">
        <v>48</v>
      </c>
      <c r="AD584" s="6" t="s">
        <v>43</v>
      </c>
      <c r="AE584" s="6" t="s">
        <v>43</v>
      </c>
      <c r="AF584" s="4" t="n">
        <f aca="false">IF(T584="","",IF(T584&lt;=30,(50/30)*T584,IF(T584&lt;=60,50+((100-50)/(60-30))*(T584-30),IF(T584&lt;=90,100+((200-100)/(90-60))*(T584-60),IF(T584&lt;=120,200+((300-200)/(120-90))*(T584-90),IF(T584&lt;=250,300+((400-300)/(250-120))*(T584-120),IF(T584&lt;=380,400+((500-400)/(380-250))*(T584-250),500)))))))</f>
        <v>91.8333333333333</v>
      </c>
      <c r="AG584" s="4" t="n">
        <f aca="false">IF(U584="","",IF(U584&lt;=50,(50/50)*U584,IF(U584&lt;=100,50+((100-50)/(100-50))*(U584-50),IF(U584&lt;=250,100+((200-100)/(250-100))*(U584-100),IF(U584&lt;=350,200+((300-200)/(350-250))*(U584-250),IF(U584&lt;=430,300+((400-300)/(430-350))*(U584-350),IF(U584&lt;=600,400+((500-400)/(600-430))*(U584-430),500)))))))</f>
        <v>222.9</v>
      </c>
      <c r="AH584" s="4" t="n">
        <f aca="false">IF(V584="","",IF((V584/1000)&lt;=1,(50/1)*(V584/1000),IF((V584/1000)&lt;=2,50+((100-50)/(2-1))*(V584/1000-1),IF((V584/1000)&lt;=10,100+((200-100)/(10-2))*(V584/1000-2),IF((V584/1000)&lt;=17,200+((300-200)/(17-10))*(V584/1000-10),IF((V584/1000)&lt;=34,300+((400-300)/(34-17))*(V584/1000-17),IF((V584/1000)&lt;=57,400+((500-400)/(57-34))*(V584/1000-34),500)))))))</f>
        <v>21.3</v>
      </c>
      <c r="AI584" s="4" t="n">
        <f aca="false">IF(W584="","",IF(W584&lt;=40,(50/40)*W584,IF(W584&lt;=80,50+((100-50)/(80-40))*(W584-40),IF(W584&lt;=180,100+((200-100)/(180-80))*(W584-80),IF(W584&lt;=280,200+((300-200)/(280-180))*(W584-180),IF(W584&lt;=400,300+((400-300)/(400-280))*(W584-280),IF(W584&lt;=800,400+((500-400)/(800-400))*(W584-400),500)))))))</f>
        <v>36.75</v>
      </c>
      <c r="AJ584" s="4" t="n">
        <f aca="false">IF(X584="","",IF(X584&lt;=40,(50/40)*X584,IF(X584&lt;=80,50+((100-50)/(80-40))*(X584-40),IF(X584&lt;=380,100+((200-100)/(380-80))*(X584-80),IF(X584&lt;=800,200+((300-200)/(800-380))*(X584-380),IF(X584&lt;=1600,300+((400-300)/(1600-800))*(X584-800),IF(X584&lt;=2100,400+((500-400)/(2100-1600))*(X584-1600),500)))))))</f>
        <v>16.875</v>
      </c>
      <c r="AK584" s="4" t="n">
        <f aca="false">IF(Y584="","",IF(Y584&lt;=50,(50/50)*Y584,IF(Y584&lt;=100,50+((100-50)/(100-50))*(Y584-50),IF(Y584&lt;=168,100+((200-100)/(168-100))*(Y584-100),IF(Y584&lt;=208,200+((300-200)/(208-168))*(Y584-168),IF(Y584&lt;=748,300+((400-300)/(748-208))*(Y584-208),IF(Y584&lt;=1000,400+((500-400)/(1000-748))*(Y584-748),500)))))))</f>
        <v>42</v>
      </c>
      <c r="AL584" s="4" t="n">
        <f aca="false">ROUND(MAX(AF584,AG584,AH584,AI584,AJ584,AK584),0)</f>
        <v>223</v>
      </c>
      <c r="AM584" s="4" t="str">
        <f aca="false">IF(AL584="","",IF(AL584&lt;=50,"Good",IF(AL584&lt;=100,"Satisfactory",IF(AL584&lt;=200,"Moderate",IF(AL584&lt;=300,"Poor",IF(AL584&lt;=400,"Very Poor","Severe"))))))</f>
        <v>Poor</v>
      </c>
    </row>
    <row r="585" customFormat="false" ht="15.75" hidden="false" customHeight="false" outlineLevel="0" collapsed="false">
      <c r="A585" s="1" t="s">
        <v>39</v>
      </c>
      <c r="B585" s="1" t="s">
        <v>40</v>
      </c>
      <c r="C585" s="1" t="n">
        <v>28.4595</v>
      </c>
      <c r="D585" s="1" t="n">
        <v>77.0266</v>
      </c>
      <c r="E585" s="5" t="n">
        <v>45925</v>
      </c>
      <c r="F585" s="6" t="s">
        <v>57</v>
      </c>
      <c r="G585" s="1" t="n">
        <v>9</v>
      </c>
      <c r="H585" s="7" t="s">
        <v>80</v>
      </c>
      <c r="I585" s="6" t="s">
        <v>43</v>
      </c>
      <c r="J585" s="7" t="s">
        <v>44</v>
      </c>
      <c r="K585" s="7" t="s">
        <v>56</v>
      </c>
      <c r="L585" s="1" t="n">
        <v>71</v>
      </c>
      <c r="M585" s="1" t="n">
        <v>19.9</v>
      </c>
      <c r="N585" s="1" t="n">
        <v>19.4</v>
      </c>
      <c r="O585" s="1" t="n">
        <v>0</v>
      </c>
      <c r="P585" s="6" t="s">
        <v>43</v>
      </c>
      <c r="Q585" s="6" t="s">
        <v>43</v>
      </c>
      <c r="R585" s="1" t="n">
        <v>1005.5</v>
      </c>
      <c r="S585" s="1" t="n">
        <v>0</v>
      </c>
      <c r="T585" s="1" t="n">
        <v>59.8</v>
      </c>
      <c r="U585" s="1" t="n">
        <v>304.5</v>
      </c>
      <c r="V585" s="1" t="n">
        <v>465</v>
      </c>
      <c r="W585" s="1" t="n">
        <v>28.3</v>
      </c>
      <c r="X585" s="1" t="n">
        <v>13.4</v>
      </c>
      <c r="Y585" s="1" t="n">
        <v>50</v>
      </c>
      <c r="Z585" s="1" t="n">
        <v>446</v>
      </c>
      <c r="AA585" s="1" t="n">
        <v>175</v>
      </c>
      <c r="AB585" s="7" t="s">
        <v>81</v>
      </c>
      <c r="AC585" s="7" t="s">
        <v>48</v>
      </c>
      <c r="AD585" s="6" t="s">
        <v>43</v>
      </c>
      <c r="AE585" s="6" t="s">
        <v>43</v>
      </c>
      <c r="AF585" s="4" t="n">
        <f aca="false">IF(T585="","",IF(T585&lt;=30,(50/30)*T585,IF(T585&lt;=60,50+((100-50)/(60-30))*(T585-30),IF(T585&lt;=90,100+((200-100)/(90-60))*(T585-60),IF(T585&lt;=120,200+((300-200)/(120-90))*(T585-90),IF(T585&lt;=250,300+((400-300)/(250-120))*(T585-120),IF(T585&lt;=380,400+((500-400)/(380-250))*(T585-250),500)))))))</f>
        <v>99.6666666666667</v>
      </c>
      <c r="AG585" s="4" t="n">
        <f aca="false">IF(U585="","",IF(U585&lt;=50,(50/50)*U585,IF(U585&lt;=100,50+((100-50)/(100-50))*(U585-50),IF(U585&lt;=250,100+((200-100)/(250-100))*(U585-100),IF(U585&lt;=350,200+((300-200)/(350-250))*(U585-250),IF(U585&lt;=430,300+((400-300)/(430-350))*(U585-350),IF(U585&lt;=600,400+((500-400)/(600-430))*(U585-430),500)))))))</f>
        <v>254.5</v>
      </c>
      <c r="AH585" s="4" t="n">
        <f aca="false">IF(V585="","",IF((V585/1000)&lt;=1,(50/1)*(V585/1000),IF((V585/1000)&lt;=2,50+((100-50)/(2-1))*(V585/1000-1),IF((V585/1000)&lt;=10,100+((200-100)/(10-2))*(V585/1000-2),IF((V585/1000)&lt;=17,200+((300-200)/(17-10))*(V585/1000-10),IF((V585/1000)&lt;=34,300+((400-300)/(34-17))*(V585/1000-17),IF((V585/1000)&lt;=57,400+((500-400)/(57-34))*(V585/1000-34),500)))))))</f>
        <v>23.25</v>
      </c>
      <c r="AI585" s="4" t="n">
        <f aca="false">IF(W585="","",IF(W585&lt;=40,(50/40)*W585,IF(W585&lt;=80,50+((100-50)/(80-40))*(W585-40),IF(W585&lt;=180,100+((200-100)/(180-80))*(W585-80),IF(W585&lt;=280,200+((300-200)/(280-180))*(W585-180),IF(W585&lt;=400,300+((400-300)/(400-280))*(W585-280),IF(W585&lt;=800,400+((500-400)/(800-400))*(W585-400),500)))))))</f>
        <v>35.375</v>
      </c>
      <c r="AJ585" s="4" t="n">
        <f aca="false">IF(X585="","",IF(X585&lt;=40,(50/40)*X585,IF(X585&lt;=80,50+((100-50)/(80-40))*(X585-40),IF(X585&lt;=380,100+((200-100)/(380-80))*(X585-80),IF(X585&lt;=800,200+((300-200)/(800-380))*(X585-380),IF(X585&lt;=1600,300+((400-300)/(1600-800))*(X585-800),IF(X585&lt;=2100,400+((500-400)/(2100-1600))*(X585-1600),500)))))))</f>
        <v>16.75</v>
      </c>
      <c r="AK585" s="4" t="n">
        <f aca="false">IF(Y585="","",IF(Y585&lt;=50,(50/50)*Y585,IF(Y585&lt;=100,50+((100-50)/(100-50))*(Y585-50),IF(Y585&lt;=168,100+((200-100)/(168-100))*(Y585-100),IF(Y585&lt;=208,200+((300-200)/(208-168))*(Y585-168),IF(Y585&lt;=748,300+((400-300)/(748-208))*(Y585-208),IF(Y585&lt;=1000,400+((500-400)/(1000-748))*(Y585-748),500)))))))</f>
        <v>50</v>
      </c>
      <c r="AL585" s="4" t="n">
        <f aca="false">ROUND(MAX(AF585,AG585,AH585,AI585,AJ585,AK585),0)</f>
        <v>255</v>
      </c>
      <c r="AM585" s="4" t="str">
        <f aca="false">IF(AL585="","",IF(AL585&lt;=50,"Good",IF(AL585&lt;=100,"Satisfactory",IF(AL585&lt;=200,"Moderate",IF(AL585&lt;=300,"Poor",IF(AL585&lt;=400,"Very Poor","Severe"))))))</f>
        <v>Poor</v>
      </c>
    </row>
    <row r="586" customFormat="false" ht="15.75" hidden="false" customHeight="false" outlineLevel="0" collapsed="false">
      <c r="A586" s="1" t="s">
        <v>39</v>
      </c>
      <c r="B586" s="1" t="s">
        <v>40</v>
      </c>
      <c r="C586" s="1" t="n">
        <v>28.4595</v>
      </c>
      <c r="D586" s="1" t="n">
        <v>77.0266</v>
      </c>
      <c r="E586" s="5" t="n">
        <v>45925</v>
      </c>
      <c r="F586" s="6" t="s">
        <v>58</v>
      </c>
      <c r="G586" s="1" t="n">
        <v>9</v>
      </c>
      <c r="H586" s="7" t="s">
        <v>80</v>
      </c>
      <c r="I586" s="6" t="s">
        <v>43</v>
      </c>
      <c r="J586" s="7" t="s">
        <v>44</v>
      </c>
      <c r="K586" s="7" t="s">
        <v>56</v>
      </c>
      <c r="L586" s="1" t="n">
        <v>64</v>
      </c>
      <c r="M586" s="1" t="n">
        <v>20.4</v>
      </c>
      <c r="N586" s="1" t="n">
        <v>21.2</v>
      </c>
      <c r="O586" s="1" t="n">
        <v>0</v>
      </c>
      <c r="P586" s="6" t="s">
        <v>43</v>
      </c>
      <c r="Q586" s="6" t="s">
        <v>43</v>
      </c>
      <c r="R586" s="1" t="n">
        <v>1006</v>
      </c>
      <c r="S586" s="1" t="n">
        <v>0</v>
      </c>
      <c r="T586" s="1" t="n">
        <v>54.1</v>
      </c>
      <c r="U586" s="1" t="n">
        <v>300.8</v>
      </c>
      <c r="V586" s="1" t="n">
        <v>466</v>
      </c>
      <c r="W586" s="1" t="n">
        <v>25.5</v>
      </c>
      <c r="X586" s="1" t="n">
        <v>13.6</v>
      </c>
      <c r="Y586" s="1" t="n">
        <v>65</v>
      </c>
      <c r="Z586" s="1" t="n">
        <v>478</v>
      </c>
      <c r="AA586" s="1" t="n">
        <v>175</v>
      </c>
      <c r="AB586" s="7" t="s">
        <v>81</v>
      </c>
      <c r="AC586" s="7" t="s">
        <v>48</v>
      </c>
      <c r="AD586" s="6" t="s">
        <v>43</v>
      </c>
      <c r="AE586" s="6" t="s">
        <v>43</v>
      </c>
      <c r="AF586" s="4" t="n">
        <f aca="false">IF(T586="","",IF(T586&lt;=30,(50/30)*T586,IF(T586&lt;=60,50+((100-50)/(60-30))*(T586-30),IF(T586&lt;=90,100+((200-100)/(90-60))*(T586-60),IF(T586&lt;=120,200+((300-200)/(120-90))*(T586-90),IF(T586&lt;=250,300+((400-300)/(250-120))*(T586-120),IF(T586&lt;=380,400+((500-400)/(380-250))*(T586-250),500)))))))</f>
        <v>90.1666666666667</v>
      </c>
      <c r="AG586" s="4" t="n">
        <f aca="false">IF(U586="","",IF(U586&lt;=50,(50/50)*U586,IF(U586&lt;=100,50+((100-50)/(100-50))*(U586-50),IF(U586&lt;=250,100+((200-100)/(250-100))*(U586-100),IF(U586&lt;=350,200+((300-200)/(350-250))*(U586-250),IF(U586&lt;=430,300+((400-300)/(430-350))*(U586-350),IF(U586&lt;=600,400+((500-400)/(600-430))*(U586-430),500)))))))</f>
        <v>250.8</v>
      </c>
      <c r="AH586" s="4" t="n">
        <f aca="false">IF(V586="","",IF((V586/1000)&lt;=1,(50/1)*(V586/1000),IF((V586/1000)&lt;=2,50+((100-50)/(2-1))*(V586/1000-1),IF((V586/1000)&lt;=10,100+((200-100)/(10-2))*(V586/1000-2),IF((V586/1000)&lt;=17,200+((300-200)/(17-10))*(V586/1000-10),IF((V586/1000)&lt;=34,300+((400-300)/(34-17))*(V586/1000-17),IF((V586/1000)&lt;=57,400+((500-400)/(57-34))*(V586/1000-34),500)))))))</f>
        <v>23.3</v>
      </c>
      <c r="AI586" s="4" t="n">
        <f aca="false">IF(W586="","",IF(W586&lt;=40,(50/40)*W586,IF(W586&lt;=80,50+((100-50)/(80-40))*(W586-40),IF(W586&lt;=180,100+((200-100)/(180-80))*(W586-80),IF(W586&lt;=280,200+((300-200)/(280-180))*(W586-180),IF(W586&lt;=400,300+((400-300)/(400-280))*(W586-280),IF(W586&lt;=800,400+((500-400)/(800-400))*(W586-400),500)))))))</f>
        <v>31.875</v>
      </c>
      <c r="AJ586" s="4" t="n">
        <f aca="false">IF(X586="","",IF(X586&lt;=40,(50/40)*X586,IF(X586&lt;=80,50+((100-50)/(80-40))*(X586-40),IF(X586&lt;=380,100+((200-100)/(380-80))*(X586-80),IF(X586&lt;=800,200+((300-200)/(800-380))*(X586-380),IF(X586&lt;=1600,300+((400-300)/(1600-800))*(X586-800),IF(X586&lt;=2100,400+((500-400)/(2100-1600))*(X586-1600),500)))))))</f>
        <v>17</v>
      </c>
      <c r="AK586" s="4" t="n">
        <f aca="false">IF(Y586="","",IF(Y586&lt;=50,(50/50)*Y586,IF(Y586&lt;=100,50+((100-50)/(100-50))*(Y586-50),IF(Y586&lt;=168,100+((200-100)/(168-100))*(Y586-100),IF(Y586&lt;=208,200+((300-200)/(208-168))*(Y586-168),IF(Y586&lt;=748,300+((400-300)/(748-208))*(Y586-208),IF(Y586&lt;=1000,400+((500-400)/(1000-748))*(Y586-748),500)))))))</f>
        <v>65</v>
      </c>
      <c r="AL586" s="4" t="n">
        <f aca="false">ROUND(MAX(AF586,AG586,AH586,AI586,AJ586,AK586),0)</f>
        <v>251</v>
      </c>
      <c r="AM586" s="4" t="str">
        <f aca="false">IF(AL586="","",IF(AL586&lt;=50,"Good",IF(AL586&lt;=100,"Satisfactory",IF(AL586&lt;=200,"Moderate",IF(AL586&lt;=300,"Poor",IF(AL586&lt;=400,"Very Poor","Severe"))))))</f>
        <v>Poor</v>
      </c>
    </row>
    <row r="587" customFormat="false" ht="15.75" hidden="false" customHeight="false" outlineLevel="0" collapsed="false">
      <c r="A587" s="1" t="s">
        <v>39</v>
      </c>
      <c r="B587" s="1" t="s">
        <v>40</v>
      </c>
      <c r="C587" s="1" t="n">
        <v>28.4595</v>
      </c>
      <c r="D587" s="1" t="n">
        <v>77.0266</v>
      </c>
      <c r="E587" s="5" t="n">
        <v>45925</v>
      </c>
      <c r="F587" s="6" t="s">
        <v>59</v>
      </c>
      <c r="G587" s="1" t="n">
        <v>9</v>
      </c>
      <c r="H587" s="7" t="s">
        <v>80</v>
      </c>
      <c r="I587" s="6" t="s">
        <v>43</v>
      </c>
      <c r="J587" s="7" t="s">
        <v>44</v>
      </c>
      <c r="K587" s="7" t="s">
        <v>60</v>
      </c>
      <c r="L587" s="1" t="n">
        <v>58</v>
      </c>
      <c r="M587" s="1" t="n">
        <v>21.2</v>
      </c>
      <c r="N587" s="1" t="n">
        <v>28.4</v>
      </c>
      <c r="O587" s="1" t="n">
        <v>0</v>
      </c>
      <c r="P587" s="6" t="s">
        <v>43</v>
      </c>
      <c r="Q587" s="6" t="s">
        <v>43</v>
      </c>
      <c r="R587" s="1" t="n">
        <v>1006.3</v>
      </c>
      <c r="S587" s="1" t="n">
        <v>0</v>
      </c>
      <c r="T587" s="1" t="n">
        <v>49.9</v>
      </c>
      <c r="U587" s="1" t="n">
        <v>307.3</v>
      </c>
      <c r="V587" s="1" t="n">
        <v>394</v>
      </c>
      <c r="W587" s="1" t="n">
        <v>19.5</v>
      </c>
      <c r="X587" s="1" t="n">
        <v>14.2</v>
      </c>
      <c r="Y587" s="1" t="n">
        <v>92</v>
      </c>
      <c r="Z587" s="1" t="n">
        <v>491</v>
      </c>
      <c r="AA587" s="1" t="n">
        <v>176</v>
      </c>
      <c r="AB587" s="7" t="s">
        <v>81</v>
      </c>
      <c r="AC587" s="7" t="s">
        <v>48</v>
      </c>
      <c r="AD587" s="6" t="s">
        <v>43</v>
      </c>
      <c r="AE587" s="6" t="s">
        <v>43</v>
      </c>
      <c r="AF587" s="4" t="n">
        <f aca="false">IF(T587="","",IF(T587&lt;=30,(50/30)*T587,IF(T587&lt;=60,50+((100-50)/(60-30))*(T587-30),IF(T587&lt;=90,100+((200-100)/(90-60))*(T587-60),IF(T587&lt;=120,200+((300-200)/(120-90))*(T587-90),IF(T587&lt;=250,300+((400-300)/(250-120))*(T587-120),IF(T587&lt;=380,400+((500-400)/(380-250))*(T587-250),500)))))))</f>
        <v>83.1666666666667</v>
      </c>
      <c r="AG587" s="4" t="n">
        <f aca="false">IF(U587="","",IF(U587&lt;=50,(50/50)*U587,IF(U587&lt;=100,50+((100-50)/(100-50))*(U587-50),IF(U587&lt;=250,100+((200-100)/(250-100))*(U587-100),IF(U587&lt;=350,200+((300-200)/(350-250))*(U587-250),IF(U587&lt;=430,300+((400-300)/(430-350))*(U587-350),IF(U587&lt;=600,400+((500-400)/(600-430))*(U587-430),500)))))))</f>
        <v>257.3</v>
      </c>
      <c r="AH587" s="4" t="n">
        <f aca="false">IF(V587="","",IF((V587/1000)&lt;=1,(50/1)*(V587/1000),IF((V587/1000)&lt;=2,50+((100-50)/(2-1))*(V587/1000-1),IF((V587/1000)&lt;=10,100+((200-100)/(10-2))*(V587/1000-2),IF((V587/1000)&lt;=17,200+((300-200)/(17-10))*(V587/1000-10),IF((V587/1000)&lt;=34,300+((400-300)/(34-17))*(V587/1000-17),IF((V587/1000)&lt;=57,400+((500-400)/(57-34))*(V587/1000-34),500)))))))</f>
        <v>19.7</v>
      </c>
      <c r="AI587" s="4" t="n">
        <f aca="false">IF(W587="","",IF(W587&lt;=40,(50/40)*W587,IF(W587&lt;=80,50+((100-50)/(80-40))*(W587-40),IF(W587&lt;=180,100+((200-100)/(180-80))*(W587-80),IF(W587&lt;=280,200+((300-200)/(280-180))*(W587-180),IF(W587&lt;=400,300+((400-300)/(400-280))*(W587-280),IF(W587&lt;=800,400+((500-400)/(800-400))*(W587-400),500)))))))</f>
        <v>24.375</v>
      </c>
      <c r="AJ587" s="4" t="n">
        <f aca="false">IF(X587="","",IF(X587&lt;=40,(50/40)*X587,IF(X587&lt;=80,50+((100-50)/(80-40))*(X587-40),IF(X587&lt;=380,100+((200-100)/(380-80))*(X587-80),IF(X587&lt;=800,200+((300-200)/(800-380))*(X587-380),IF(X587&lt;=1600,300+((400-300)/(1600-800))*(X587-800),IF(X587&lt;=2100,400+((500-400)/(2100-1600))*(X587-1600),500)))))))</f>
        <v>17.75</v>
      </c>
      <c r="AK587" s="4" t="n">
        <f aca="false">IF(Y587="","",IF(Y587&lt;=50,(50/50)*Y587,IF(Y587&lt;=100,50+((100-50)/(100-50))*(Y587-50),IF(Y587&lt;=168,100+((200-100)/(168-100))*(Y587-100),IF(Y587&lt;=208,200+((300-200)/(208-168))*(Y587-168),IF(Y587&lt;=748,300+((400-300)/(748-208))*(Y587-208),IF(Y587&lt;=1000,400+((500-400)/(1000-748))*(Y587-748),500)))))))</f>
        <v>92</v>
      </c>
      <c r="AL587" s="4" t="n">
        <f aca="false">ROUND(MAX(AF587,AG587,AH587,AI587,AJ587,AK587),0)</f>
        <v>257</v>
      </c>
      <c r="AM587" s="4" t="str">
        <f aca="false">IF(AL587="","",IF(AL587&lt;=50,"Good",IF(AL587&lt;=100,"Satisfactory",IF(AL587&lt;=200,"Moderate",IF(AL587&lt;=300,"Poor",IF(AL587&lt;=400,"Very Poor","Severe"))))))</f>
        <v>Poor</v>
      </c>
    </row>
    <row r="588" customFormat="false" ht="15.75" hidden="false" customHeight="false" outlineLevel="0" collapsed="false">
      <c r="A588" s="1" t="s">
        <v>39</v>
      </c>
      <c r="B588" s="1" t="s">
        <v>40</v>
      </c>
      <c r="C588" s="1" t="n">
        <v>28.4595</v>
      </c>
      <c r="D588" s="1" t="n">
        <v>77.0266</v>
      </c>
      <c r="E588" s="5" t="n">
        <v>45925</v>
      </c>
      <c r="F588" s="6" t="s">
        <v>61</v>
      </c>
      <c r="G588" s="1" t="n">
        <v>9</v>
      </c>
      <c r="H588" s="7" t="s">
        <v>80</v>
      </c>
      <c r="I588" s="6" t="s">
        <v>43</v>
      </c>
      <c r="J588" s="7" t="s">
        <v>44</v>
      </c>
      <c r="K588" s="7" t="s">
        <v>60</v>
      </c>
      <c r="L588" s="1" t="n">
        <v>52</v>
      </c>
      <c r="M588" s="1" t="n">
        <v>21</v>
      </c>
      <c r="N588" s="1" t="n">
        <v>33.5</v>
      </c>
      <c r="O588" s="1" t="n">
        <v>0</v>
      </c>
      <c r="P588" s="6" t="s">
        <v>43</v>
      </c>
      <c r="Q588" s="6" t="s">
        <v>43</v>
      </c>
      <c r="R588" s="1" t="n">
        <v>1006.1</v>
      </c>
      <c r="S588" s="1" t="n">
        <v>0</v>
      </c>
      <c r="T588" s="1" t="n">
        <v>46.4</v>
      </c>
      <c r="U588" s="1" t="n">
        <v>307.3</v>
      </c>
      <c r="V588" s="1" t="n">
        <v>285</v>
      </c>
      <c r="W588" s="1" t="n">
        <v>11.9</v>
      </c>
      <c r="X588" s="1" t="n">
        <v>15.1</v>
      </c>
      <c r="Y588" s="1" t="n">
        <v>125</v>
      </c>
      <c r="Z588" s="1" t="n">
        <v>495</v>
      </c>
      <c r="AA588" s="1" t="n">
        <v>177</v>
      </c>
      <c r="AB588" s="7" t="s">
        <v>81</v>
      </c>
      <c r="AC588" s="7" t="s">
        <v>48</v>
      </c>
      <c r="AD588" s="6" t="s">
        <v>43</v>
      </c>
      <c r="AE588" s="6" t="s">
        <v>43</v>
      </c>
      <c r="AF588" s="4" t="n">
        <f aca="false">IF(T588="","",IF(T588&lt;=30,(50/30)*T588,IF(T588&lt;=60,50+((100-50)/(60-30))*(T588-30),IF(T588&lt;=90,100+((200-100)/(90-60))*(T588-60),IF(T588&lt;=120,200+((300-200)/(120-90))*(T588-90),IF(T588&lt;=250,300+((400-300)/(250-120))*(T588-120),IF(T588&lt;=380,400+((500-400)/(380-250))*(T588-250),500)))))))</f>
        <v>77.3333333333333</v>
      </c>
      <c r="AG588" s="4" t="n">
        <f aca="false">IF(U588="","",IF(U588&lt;=50,(50/50)*U588,IF(U588&lt;=100,50+((100-50)/(100-50))*(U588-50),IF(U588&lt;=250,100+((200-100)/(250-100))*(U588-100),IF(U588&lt;=350,200+((300-200)/(350-250))*(U588-250),IF(U588&lt;=430,300+((400-300)/(430-350))*(U588-350),IF(U588&lt;=600,400+((500-400)/(600-430))*(U588-430),500)))))))</f>
        <v>257.3</v>
      </c>
      <c r="AH588" s="4" t="n">
        <f aca="false">IF(V588="","",IF((V588/1000)&lt;=1,(50/1)*(V588/1000),IF((V588/1000)&lt;=2,50+((100-50)/(2-1))*(V588/1000-1),IF((V588/1000)&lt;=10,100+((200-100)/(10-2))*(V588/1000-2),IF((V588/1000)&lt;=17,200+((300-200)/(17-10))*(V588/1000-10),IF((V588/1000)&lt;=34,300+((400-300)/(34-17))*(V588/1000-17),IF((V588/1000)&lt;=57,400+((500-400)/(57-34))*(V588/1000-34),500)))))))</f>
        <v>14.25</v>
      </c>
      <c r="AI588" s="4" t="n">
        <f aca="false">IF(W588="","",IF(W588&lt;=40,(50/40)*W588,IF(W588&lt;=80,50+((100-50)/(80-40))*(W588-40),IF(W588&lt;=180,100+((200-100)/(180-80))*(W588-80),IF(W588&lt;=280,200+((300-200)/(280-180))*(W588-180),IF(W588&lt;=400,300+((400-300)/(400-280))*(W588-280),IF(W588&lt;=800,400+((500-400)/(800-400))*(W588-400),500)))))))</f>
        <v>14.875</v>
      </c>
      <c r="AJ588" s="4" t="n">
        <f aca="false">IF(X588="","",IF(X588&lt;=40,(50/40)*X588,IF(X588&lt;=80,50+((100-50)/(80-40))*(X588-40),IF(X588&lt;=380,100+((200-100)/(380-80))*(X588-80),IF(X588&lt;=800,200+((300-200)/(800-380))*(X588-380),IF(X588&lt;=1600,300+((400-300)/(1600-800))*(X588-800),IF(X588&lt;=2100,400+((500-400)/(2100-1600))*(X588-1600),500)))))))</f>
        <v>18.875</v>
      </c>
      <c r="AK588" s="4" t="n">
        <f aca="false">IF(Y588="","",IF(Y588&lt;=50,(50/50)*Y588,IF(Y588&lt;=100,50+((100-50)/(100-50))*(Y588-50),IF(Y588&lt;=168,100+((200-100)/(168-100))*(Y588-100),IF(Y588&lt;=208,200+((300-200)/(208-168))*(Y588-168),IF(Y588&lt;=748,300+((400-300)/(748-208))*(Y588-208),IF(Y588&lt;=1000,400+((500-400)/(1000-748))*(Y588-748),500)))))))</f>
        <v>136.764705882353</v>
      </c>
      <c r="AL588" s="4" t="n">
        <f aca="false">ROUND(MAX(AF588,AG588,AH588,AI588,AJ588,AK588),0)</f>
        <v>257</v>
      </c>
      <c r="AM588" s="4" t="str">
        <f aca="false">IF(AL588="","",IF(AL588&lt;=50,"Good",IF(AL588&lt;=100,"Satisfactory",IF(AL588&lt;=200,"Moderate",IF(AL588&lt;=300,"Poor",IF(AL588&lt;=400,"Very Poor","Severe"))))))</f>
        <v>Poor</v>
      </c>
    </row>
    <row r="589" customFormat="false" ht="15.75" hidden="false" customHeight="false" outlineLevel="0" collapsed="false">
      <c r="A589" s="1" t="s">
        <v>39</v>
      </c>
      <c r="B589" s="1" t="s">
        <v>40</v>
      </c>
      <c r="C589" s="1" t="n">
        <v>28.4595</v>
      </c>
      <c r="D589" s="1" t="n">
        <v>77.0266</v>
      </c>
      <c r="E589" s="5" t="n">
        <v>45925</v>
      </c>
      <c r="F589" s="6" t="s">
        <v>62</v>
      </c>
      <c r="G589" s="1" t="n">
        <v>9</v>
      </c>
      <c r="H589" s="7" t="s">
        <v>80</v>
      </c>
      <c r="I589" s="6" t="s">
        <v>43</v>
      </c>
      <c r="J589" s="7" t="s">
        <v>44</v>
      </c>
      <c r="K589" s="7" t="s">
        <v>60</v>
      </c>
      <c r="L589" s="1" t="n">
        <v>46</v>
      </c>
      <c r="M589" s="1" t="n">
        <v>20.1</v>
      </c>
      <c r="N589" s="1" t="n">
        <v>37.1</v>
      </c>
      <c r="O589" s="1" t="n">
        <v>0</v>
      </c>
      <c r="P589" s="6" t="s">
        <v>43</v>
      </c>
      <c r="Q589" s="6" t="s">
        <v>43</v>
      </c>
      <c r="R589" s="1" t="n">
        <v>1005.6</v>
      </c>
      <c r="S589" s="1" t="n">
        <v>0</v>
      </c>
      <c r="T589" s="1" t="n">
        <v>43.7</v>
      </c>
      <c r="U589" s="1" t="n">
        <v>299.9</v>
      </c>
      <c r="V589" s="1" t="n">
        <v>204</v>
      </c>
      <c r="W589" s="1" t="n">
        <v>6.3</v>
      </c>
      <c r="X589" s="1" t="n">
        <v>15.7</v>
      </c>
      <c r="Y589" s="1" t="n">
        <v>150</v>
      </c>
      <c r="Z589" s="1" t="n">
        <v>501</v>
      </c>
      <c r="AA589" s="1" t="n">
        <v>176</v>
      </c>
      <c r="AB589" s="7" t="s">
        <v>81</v>
      </c>
      <c r="AC589" s="7" t="s">
        <v>48</v>
      </c>
      <c r="AD589" s="6" t="s">
        <v>43</v>
      </c>
      <c r="AE589" s="6" t="s">
        <v>43</v>
      </c>
      <c r="AF589" s="4" t="n">
        <f aca="false">IF(T589="","",IF(T589&lt;=30,(50/30)*T589,IF(T589&lt;=60,50+((100-50)/(60-30))*(T589-30),IF(T589&lt;=90,100+((200-100)/(90-60))*(T589-60),IF(T589&lt;=120,200+((300-200)/(120-90))*(T589-90),IF(T589&lt;=250,300+((400-300)/(250-120))*(T589-120),IF(T589&lt;=380,400+((500-400)/(380-250))*(T589-250),500)))))))</f>
        <v>72.8333333333333</v>
      </c>
      <c r="AG589" s="4" t="n">
        <f aca="false">IF(U589="","",IF(U589&lt;=50,(50/50)*U589,IF(U589&lt;=100,50+((100-50)/(100-50))*(U589-50),IF(U589&lt;=250,100+((200-100)/(250-100))*(U589-100),IF(U589&lt;=350,200+((300-200)/(350-250))*(U589-250),IF(U589&lt;=430,300+((400-300)/(430-350))*(U589-350),IF(U589&lt;=600,400+((500-400)/(600-430))*(U589-430),500)))))))</f>
        <v>249.9</v>
      </c>
      <c r="AH589" s="4" t="n">
        <f aca="false">IF(V589="","",IF((V589/1000)&lt;=1,(50/1)*(V589/1000),IF((V589/1000)&lt;=2,50+((100-50)/(2-1))*(V589/1000-1),IF((V589/1000)&lt;=10,100+((200-100)/(10-2))*(V589/1000-2),IF((V589/1000)&lt;=17,200+((300-200)/(17-10))*(V589/1000-10),IF((V589/1000)&lt;=34,300+((400-300)/(34-17))*(V589/1000-17),IF((V589/1000)&lt;=57,400+((500-400)/(57-34))*(V589/1000-34),500)))))))</f>
        <v>10.2</v>
      </c>
      <c r="AI589" s="4" t="n">
        <f aca="false">IF(W589="","",IF(W589&lt;=40,(50/40)*W589,IF(W589&lt;=80,50+((100-50)/(80-40))*(W589-40),IF(W589&lt;=180,100+((200-100)/(180-80))*(W589-80),IF(W589&lt;=280,200+((300-200)/(280-180))*(W589-180),IF(W589&lt;=400,300+((400-300)/(400-280))*(W589-280),IF(W589&lt;=800,400+((500-400)/(800-400))*(W589-400),500)))))))</f>
        <v>7.875</v>
      </c>
      <c r="AJ589" s="4" t="n">
        <f aca="false">IF(X589="","",IF(X589&lt;=40,(50/40)*X589,IF(X589&lt;=80,50+((100-50)/(80-40))*(X589-40),IF(X589&lt;=380,100+((200-100)/(380-80))*(X589-80),IF(X589&lt;=800,200+((300-200)/(800-380))*(X589-380),IF(X589&lt;=1600,300+((400-300)/(1600-800))*(X589-800),IF(X589&lt;=2100,400+((500-400)/(2100-1600))*(X589-1600),500)))))))</f>
        <v>19.625</v>
      </c>
      <c r="AK589" s="4" t="n">
        <f aca="false">IF(Y589="","",IF(Y589&lt;=50,(50/50)*Y589,IF(Y589&lt;=100,50+((100-50)/(100-50))*(Y589-50),IF(Y589&lt;=168,100+((200-100)/(168-100))*(Y589-100),IF(Y589&lt;=208,200+((300-200)/(208-168))*(Y589-168),IF(Y589&lt;=748,300+((400-300)/(748-208))*(Y589-208),IF(Y589&lt;=1000,400+((500-400)/(1000-748))*(Y589-748),500)))))))</f>
        <v>173.529411764706</v>
      </c>
      <c r="AL589" s="4" t="n">
        <f aca="false">ROUND(MAX(AF589,AG589,AH589,AI589,AJ589,AK589),0)</f>
        <v>250</v>
      </c>
      <c r="AM589" s="4" t="str">
        <f aca="false">IF(AL589="","",IF(AL589&lt;=50,"Good",IF(AL589&lt;=100,"Satisfactory",IF(AL589&lt;=200,"Moderate",IF(AL589&lt;=300,"Poor",IF(AL589&lt;=400,"Very Poor","Severe"))))))</f>
        <v>Poor</v>
      </c>
    </row>
    <row r="590" customFormat="false" ht="15.75" hidden="false" customHeight="false" outlineLevel="0" collapsed="false">
      <c r="A590" s="1" t="s">
        <v>39</v>
      </c>
      <c r="B590" s="1" t="s">
        <v>40</v>
      </c>
      <c r="C590" s="1" t="n">
        <v>28.4595</v>
      </c>
      <c r="D590" s="1" t="n">
        <v>77.0266</v>
      </c>
      <c r="E590" s="5" t="n">
        <v>45925</v>
      </c>
      <c r="F590" s="6" t="s">
        <v>63</v>
      </c>
      <c r="G590" s="1" t="n">
        <v>9</v>
      </c>
      <c r="H590" s="7" t="s">
        <v>80</v>
      </c>
      <c r="I590" s="6" t="s">
        <v>43</v>
      </c>
      <c r="J590" s="7" t="s">
        <v>44</v>
      </c>
      <c r="K590" s="7" t="s">
        <v>60</v>
      </c>
      <c r="L590" s="1" t="n">
        <v>41</v>
      </c>
      <c r="M590" s="1" t="n">
        <v>19.3</v>
      </c>
      <c r="N590" s="1" t="n">
        <v>38.2</v>
      </c>
      <c r="O590" s="1" t="n">
        <v>0</v>
      </c>
      <c r="P590" s="6" t="s">
        <v>43</v>
      </c>
      <c r="Q590" s="6" t="s">
        <v>43</v>
      </c>
      <c r="R590" s="1" t="n">
        <v>1004.7</v>
      </c>
      <c r="S590" s="1" t="n">
        <v>0</v>
      </c>
      <c r="T590" s="1" t="n">
        <v>43</v>
      </c>
      <c r="U590" s="1" t="n">
        <v>298</v>
      </c>
      <c r="V590" s="1" t="n">
        <v>177</v>
      </c>
      <c r="W590" s="1" t="n">
        <v>4</v>
      </c>
      <c r="X590" s="1" t="n">
        <v>15.7</v>
      </c>
      <c r="Y590" s="1" t="n">
        <v>161</v>
      </c>
      <c r="Z590" s="1" t="n">
        <v>515</v>
      </c>
      <c r="AA590" s="1" t="n">
        <v>174</v>
      </c>
      <c r="AB590" s="7" t="s">
        <v>81</v>
      </c>
      <c r="AC590" s="7" t="s">
        <v>48</v>
      </c>
      <c r="AD590" s="6" t="s">
        <v>43</v>
      </c>
      <c r="AE590" s="6" t="s">
        <v>43</v>
      </c>
      <c r="AF590" s="4" t="n">
        <f aca="false">IF(T590="","",IF(T590&lt;=30,(50/30)*T590,IF(T590&lt;=60,50+((100-50)/(60-30))*(T590-30),IF(T590&lt;=90,100+((200-100)/(90-60))*(T590-60),IF(T590&lt;=120,200+((300-200)/(120-90))*(T590-90),IF(T590&lt;=250,300+((400-300)/(250-120))*(T590-120),IF(T590&lt;=380,400+((500-400)/(380-250))*(T590-250),500)))))))</f>
        <v>71.6666666666667</v>
      </c>
      <c r="AG590" s="4" t="n">
        <f aca="false">IF(U590="","",IF(U590&lt;=50,(50/50)*U590,IF(U590&lt;=100,50+((100-50)/(100-50))*(U590-50),IF(U590&lt;=250,100+((200-100)/(250-100))*(U590-100),IF(U590&lt;=350,200+((300-200)/(350-250))*(U590-250),IF(U590&lt;=430,300+((400-300)/(430-350))*(U590-350),IF(U590&lt;=600,400+((500-400)/(600-430))*(U590-430),500)))))))</f>
        <v>248</v>
      </c>
      <c r="AH590" s="4" t="n">
        <f aca="false">IF(V590="","",IF((V590/1000)&lt;=1,(50/1)*(V590/1000),IF((V590/1000)&lt;=2,50+((100-50)/(2-1))*(V590/1000-1),IF((V590/1000)&lt;=10,100+((200-100)/(10-2))*(V590/1000-2),IF((V590/1000)&lt;=17,200+((300-200)/(17-10))*(V590/1000-10),IF((V590/1000)&lt;=34,300+((400-300)/(34-17))*(V590/1000-17),IF((V590/1000)&lt;=57,400+((500-400)/(57-34))*(V590/1000-34),500)))))))</f>
        <v>8.85</v>
      </c>
      <c r="AI590" s="4" t="n">
        <f aca="false">IF(W590="","",IF(W590&lt;=40,(50/40)*W590,IF(W590&lt;=80,50+((100-50)/(80-40))*(W590-40),IF(W590&lt;=180,100+((200-100)/(180-80))*(W590-80),IF(W590&lt;=280,200+((300-200)/(280-180))*(W590-180),IF(W590&lt;=400,300+((400-300)/(400-280))*(W590-280),IF(W590&lt;=800,400+((500-400)/(800-400))*(W590-400),500)))))))</f>
        <v>5</v>
      </c>
      <c r="AJ590" s="4" t="n">
        <f aca="false">IF(X590="","",IF(X590&lt;=40,(50/40)*X590,IF(X590&lt;=80,50+((100-50)/(80-40))*(X590-40),IF(X590&lt;=380,100+((200-100)/(380-80))*(X590-80),IF(X590&lt;=800,200+((300-200)/(800-380))*(X590-380),IF(X590&lt;=1600,300+((400-300)/(1600-800))*(X590-800),IF(X590&lt;=2100,400+((500-400)/(2100-1600))*(X590-1600),500)))))))</f>
        <v>19.625</v>
      </c>
      <c r="AK590" s="4" t="n">
        <f aca="false">IF(Y590="","",IF(Y590&lt;=50,(50/50)*Y590,IF(Y590&lt;=100,50+((100-50)/(100-50))*(Y590-50),IF(Y590&lt;=168,100+((200-100)/(168-100))*(Y590-100),IF(Y590&lt;=208,200+((300-200)/(208-168))*(Y590-168),IF(Y590&lt;=748,300+((400-300)/(748-208))*(Y590-208),IF(Y590&lt;=1000,400+((500-400)/(1000-748))*(Y590-748),500)))))))</f>
        <v>189.705882352941</v>
      </c>
      <c r="AL590" s="4" t="n">
        <f aca="false">ROUND(MAX(AF590,AG590,AH590,AI590,AJ590,AK590),0)</f>
        <v>248</v>
      </c>
      <c r="AM590" s="4" t="str">
        <f aca="false">IF(AL590="","",IF(AL590&lt;=50,"Good",IF(AL590&lt;=100,"Satisfactory",IF(AL590&lt;=200,"Moderate",IF(AL590&lt;=300,"Poor",IF(AL590&lt;=400,"Very Poor","Severe"))))))</f>
        <v>Poor</v>
      </c>
    </row>
    <row r="591" customFormat="false" ht="15.75" hidden="false" customHeight="false" outlineLevel="0" collapsed="false">
      <c r="A591" s="1" t="s">
        <v>39</v>
      </c>
      <c r="B591" s="1" t="s">
        <v>40</v>
      </c>
      <c r="C591" s="1" t="n">
        <v>28.4595</v>
      </c>
      <c r="D591" s="1" t="n">
        <v>77.0266</v>
      </c>
      <c r="E591" s="5" t="n">
        <v>45925</v>
      </c>
      <c r="F591" s="6" t="s">
        <v>64</v>
      </c>
      <c r="G591" s="1" t="n">
        <v>9</v>
      </c>
      <c r="H591" s="7" t="s">
        <v>80</v>
      </c>
      <c r="I591" s="6" t="s">
        <v>43</v>
      </c>
      <c r="J591" s="7" t="s">
        <v>44</v>
      </c>
      <c r="K591" s="7" t="s">
        <v>65</v>
      </c>
      <c r="L591" s="1" t="n">
        <v>39</v>
      </c>
      <c r="M591" s="1" t="n">
        <v>18.8</v>
      </c>
      <c r="N591" s="1" t="n">
        <v>37.8</v>
      </c>
      <c r="O591" s="1" t="n">
        <v>0</v>
      </c>
      <c r="P591" s="6" t="s">
        <v>43</v>
      </c>
      <c r="Q591" s="6" t="s">
        <v>43</v>
      </c>
      <c r="R591" s="1" t="n">
        <v>1003.6</v>
      </c>
      <c r="S591" s="1" t="n">
        <v>0</v>
      </c>
      <c r="T591" s="1" t="n">
        <v>44.8</v>
      </c>
      <c r="U591" s="1" t="n">
        <v>308.3</v>
      </c>
      <c r="V591" s="1" t="n">
        <v>177</v>
      </c>
      <c r="W591" s="1" t="n">
        <v>3.6</v>
      </c>
      <c r="X591" s="1" t="n">
        <v>15.5</v>
      </c>
      <c r="Y591" s="1" t="n">
        <v>163</v>
      </c>
      <c r="Z591" s="1" t="n">
        <v>532</v>
      </c>
      <c r="AA591" s="1" t="n">
        <v>171</v>
      </c>
      <c r="AB591" s="7" t="s">
        <v>81</v>
      </c>
      <c r="AC591" s="7" t="s">
        <v>48</v>
      </c>
      <c r="AD591" s="6" t="s">
        <v>43</v>
      </c>
      <c r="AE591" s="6" t="s">
        <v>43</v>
      </c>
      <c r="AF591" s="4" t="n">
        <f aca="false">IF(T591="","",IF(T591&lt;=30,(50/30)*T591,IF(T591&lt;=60,50+((100-50)/(60-30))*(T591-30),IF(T591&lt;=90,100+((200-100)/(90-60))*(T591-60),IF(T591&lt;=120,200+((300-200)/(120-90))*(T591-90),IF(T591&lt;=250,300+((400-300)/(250-120))*(T591-120),IF(T591&lt;=380,400+((500-400)/(380-250))*(T591-250),500)))))))</f>
        <v>74.6666666666667</v>
      </c>
      <c r="AG591" s="4" t="n">
        <f aca="false">IF(U591="","",IF(U591&lt;=50,(50/50)*U591,IF(U591&lt;=100,50+((100-50)/(100-50))*(U591-50),IF(U591&lt;=250,100+((200-100)/(250-100))*(U591-100),IF(U591&lt;=350,200+((300-200)/(350-250))*(U591-250),IF(U591&lt;=430,300+((400-300)/(430-350))*(U591-350),IF(U591&lt;=600,400+((500-400)/(600-430))*(U591-430),500)))))))</f>
        <v>258.3</v>
      </c>
      <c r="AH591" s="4" t="n">
        <f aca="false">IF(V591="","",IF((V591/1000)&lt;=1,(50/1)*(V591/1000),IF((V591/1000)&lt;=2,50+((100-50)/(2-1))*(V591/1000-1),IF((V591/1000)&lt;=10,100+((200-100)/(10-2))*(V591/1000-2),IF((V591/1000)&lt;=17,200+((300-200)/(17-10))*(V591/1000-10),IF((V591/1000)&lt;=34,300+((400-300)/(34-17))*(V591/1000-17),IF((V591/1000)&lt;=57,400+((500-400)/(57-34))*(V591/1000-34),500)))))))</f>
        <v>8.85</v>
      </c>
      <c r="AI591" s="4" t="n">
        <f aca="false">IF(W591="","",IF(W591&lt;=40,(50/40)*W591,IF(W591&lt;=80,50+((100-50)/(80-40))*(W591-40),IF(W591&lt;=180,100+((200-100)/(180-80))*(W591-80),IF(W591&lt;=280,200+((300-200)/(280-180))*(W591-180),IF(W591&lt;=400,300+((400-300)/(400-280))*(W591-280),IF(W591&lt;=800,400+((500-400)/(800-400))*(W591-400),500)))))))</f>
        <v>4.5</v>
      </c>
      <c r="AJ591" s="4" t="n">
        <f aca="false">IF(X591="","",IF(X591&lt;=40,(50/40)*X591,IF(X591&lt;=80,50+((100-50)/(80-40))*(X591-40),IF(X591&lt;=380,100+((200-100)/(380-80))*(X591-80),IF(X591&lt;=800,200+((300-200)/(800-380))*(X591-380),IF(X591&lt;=1600,300+((400-300)/(1600-800))*(X591-800),IF(X591&lt;=2100,400+((500-400)/(2100-1600))*(X591-1600),500)))))))</f>
        <v>19.375</v>
      </c>
      <c r="AK591" s="4" t="n">
        <f aca="false">IF(Y591="","",IF(Y591&lt;=50,(50/50)*Y591,IF(Y591&lt;=100,50+((100-50)/(100-50))*(Y591-50),IF(Y591&lt;=168,100+((200-100)/(168-100))*(Y591-100),IF(Y591&lt;=208,200+((300-200)/(208-168))*(Y591-168),IF(Y591&lt;=748,300+((400-300)/(748-208))*(Y591-208),IF(Y591&lt;=1000,400+((500-400)/(1000-748))*(Y591-748),500)))))))</f>
        <v>192.647058823529</v>
      </c>
      <c r="AL591" s="4" t="n">
        <f aca="false">ROUND(MAX(AF591,AG591,AH591,AI591,AJ591,AK591),0)</f>
        <v>258</v>
      </c>
      <c r="AM591" s="4" t="str">
        <f aca="false">IF(AL591="","",IF(AL591&lt;=50,"Good",IF(AL591&lt;=100,"Satisfactory",IF(AL591&lt;=200,"Moderate",IF(AL591&lt;=300,"Poor",IF(AL591&lt;=400,"Very Poor","Severe"))))))</f>
        <v>Poor</v>
      </c>
    </row>
    <row r="592" customFormat="false" ht="15.75" hidden="false" customHeight="false" outlineLevel="0" collapsed="false">
      <c r="A592" s="1" t="s">
        <v>39</v>
      </c>
      <c r="B592" s="1" t="s">
        <v>40</v>
      </c>
      <c r="C592" s="1" t="n">
        <v>28.4595</v>
      </c>
      <c r="D592" s="1" t="n">
        <v>77.0266</v>
      </c>
      <c r="E592" s="5" t="n">
        <v>45925</v>
      </c>
      <c r="F592" s="6" t="s">
        <v>66</v>
      </c>
      <c r="G592" s="1" t="n">
        <v>9</v>
      </c>
      <c r="H592" s="7" t="s">
        <v>80</v>
      </c>
      <c r="I592" s="6" t="s">
        <v>43</v>
      </c>
      <c r="J592" s="7" t="s">
        <v>44</v>
      </c>
      <c r="K592" s="7" t="s">
        <v>65</v>
      </c>
      <c r="L592" s="1" t="n">
        <v>38</v>
      </c>
      <c r="M592" s="1" t="n">
        <v>18.6</v>
      </c>
      <c r="N592" s="1" t="n">
        <v>37.1</v>
      </c>
      <c r="O592" s="1" t="n">
        <v>0</v>
      </c>
      <c r="P592" s="6" t="s">
        <v>43</v>
      </c>
      <c r="Q592" s="6" t="s">
        <v>43</v>
      </c>
      <c r="R592" s="1" t="n">
        <v>1002.5</v>
      </c>
      <c r="S592" s="1" t="n">
        <v>0</v>
      </c>
      <c r="T592" s="1" t="n">
        <v>47.5</v>
      </c>
      <c r="U592" s="1" t="n">
        <v>322.2</v>
      </c>
      <c r="V592" s="1" t="n">
        <v>193</v>
      </c>
      <c r="W592" s="1" t="n">
        <v>4.8</v>
      </c>
      <c r="X592" s="1" t="n">
        <v>15.3</v>
      </c>
      <c r="Y592" s="1" t="n">
        <v>160</v>
      </c>
      <c r="Z592" s="1" t="n">
        <v>543</v>
      </c>
      <c r="AA592" s="1" t="n">
        <v>169</v>
      </c>
      <c r="AB592" s="7" t="s">
        <v>81</v>
      </c>
      <c r="AC592" s="7" t="s">
        <v>48</v>
      </c>
      <c r="AD592" s="6" t="s">
        <v>43</v>
      </c>
      <c r="AE592" s="6" t="s">
        <v>43</v>
      </c>
      <c r="AF592" s="4" t="n">
        <f aca="false">IF(T592="","",IF(T592&lt;=30,(50/30)*T592,IF(T592&lt;=60,50+((100-50)/(60-30))*(T592-30),IF(T592&lt;=90,100+((200-100)/(90-60))*(T592-60),IF(T592&lt;=120,200+((300-200)/(120-90))*(T592-90),IF(T592&lt;=250,300+((400-300)/(250-120))*(T592-120),IF(T592&lt;=380,400+((500-400)/(380-250))*(T592-250),500)))))))</f>
        <v>79.1666666666667</v>
      </c>
      <c r="AG592" s="4" t="n">
        <f aca="false">IF(U592="","",IF(U592&lt;=50,(50/50)*U592,IF(U592&lt;=100,50+((100-50)/(100-50))*(U592-50),IF(U592&lt;=250,100+((200-100)/(250-100))*(U592-100),IF(U592&lt;=350,200+((300-200)/(350-250))*(U592-250),IF(U592&lt;=430,300+((400-300)/(430-350))*(U592-350),IF(U592&lt;=600,400+((500-400)/(600-430))*(U592-430),500)))))))</f>
        <v>272.2</v>
      </c>
      <c r="AH592" s="4" t="n">
        <f aca="false">IF(V592="","",IF((V592/1000)&lt;=1,(50/1)*(V592/1000),IF((V592/1000)&lt;=2,50+((100-50)/(2-1))*(V592/1000-1),IF((V592/1000)&lt;=10,100+((200-100)/(10-2))*(V592/1000-2),IF((V592/1000)&lt;=17,200+((300-200)/(17-10))*(V592/1000-10),IF((V592/1000)&lt;=34,300+((400-300)/(34-17))*(V592/1000-17),IF((V592/1000)&lt;=57,400+((500-400)/(57-34))*(V592/1000-34),500)))))))</f>
        <v>9.65</v>
      </c>
      <c r="AI592" s="4" t="n">
        <f aca="false">IF(W592="","",IF(W592&lt;=40,(50/40)*W592,IF(W592&lt;=80,50+((100-50)/(80-40))*(W592-40),IF(W592&lt;=180,100+((200-100)/(180-80))*(W592-80),IF(W592&lt;=280,200+((300-200)/(280-180))*(W592-180),IF(W592&lt;=400,300+((400-300)/(400-280))*(W592-280),IF(W592&lt;=800,400+((500-400)/(800-400))*(W592-400),500)))))))</f>
        <v>6</v>
      </c>
      <c r="AJ592" s="4" t="n">
        <f aca="false">IF(X592="","",IF(X592&lt;=40,(50/40)*X592,IF(X592&lt;=80,50+((100-50)/(80-40))*(X592-40),IF(X592&lt;=380,100+((200-100)/(380-80))*(X592-80),IF(X592&lt;=800,200+((300-200)/(800-380))*(X592-380),IF(X592&lt;=1600,300+((400-300)/(1600-800))*(X592-800),IF(X592&lt;=2100,400+((500-400)/(2100-1600))*(X592-1600),500)))))))</f>
        <v>19.125</v>
      </c>
      <c r="AK592" s="4" t="n">
        <f aca="false">IF(Y592="","",IF(Y592&lt;=50,(50/50)*Y592,IF(Y592&lt;=100,50+((100-50)/(100-50))*(Y592-50),IF(Y592&lt;=168,100+((200-100)/(168-100))*(Y592-100),IF(Y592&lt;=208,200+((300-200)/(208-168))*(Y592-168),IF(Y592&lt;=748,300+((400-300)/(748-208))*(Y592-208),IF(Y592&lt;=1000,400+((500-400)/(1000-748))*(Y592-748),500)))))))</f>
        <v>188.235294117647</v>
      </c>
      <c r="AL592" s="4" t="n">
        <f aca="false">ROUND(MAX(AF592,AG592,AH592,AI592,AJ592,AK592),0)</f>
        <v>272</v>
      </c>
      <c r="AM592" s="4" t="str">
        <f aca="false">IF(AL592="","",IF(AL592&lt;=50,"Good",IF(AL592&lt;=100,"Satisfactory",IF(AL592&lt;=200,"Moderate",IF(AL592&lt;=300,"Poor",IF(AL592&lt;=400,"Very Poor","Severe"))))))</f>
        <v>Poor</v>
      </c>
    </row>
    <row r="593" customFormat="false" ht="15.75" hidden="false" customHeight="false" outlineLevel="0" collapsed="false">
      <c r="A593" s="1" t="s">
        <v>39</v>
      </c>
      <c r="B593" s="1" t="s">
        <v>40</v>
      </c>
      <c r="C593" s="1" t="n">
        <v>28.4595</v>
      </c>
      <c r="D593" s="1" t="n">
        <v>77.0266</v>
      </c>
      <c r="E593" s="5" t="n">
        <v>45925</v>
      </c>
      <c r="F593" s="6" t="s">
        <v>67</v>
      </c>
      <c r="G593" s="1" t="n">
        <v>9</v>
      </c>
      <c r="H593" s="7" t="s">
        <v>80</v>
      </c>
      <c r="I593" s="6" t="s">
        <v>43</v>
      </c>
      <c r="J593" s="7" t="s">
        <v>44</v>
      </c>
      <c r="K593" s="7" t="s">
        <v>65</v>
      </c>
      <c r="L593" s="1" t="n">
        <v>38</v>
      </c>
      <c r="M593" s="1" t="n">
        <v>18.5</v>
      </c>
      <c r="N593" s="1" t="n">
        <v>36</v>
      </c>
      <c r="O593" s="1" t="n">
        <v>0</v>
      </c>
      <c r="P593" s="6" t="s">
        <v>43</v>
      </c>
      <c r="Q593" s="6" t="s">
        <v>43</v>
      </c>
      <c r="R593" s="1" t="n">
        <v>1002</v>
      </c>
      <c r="S593" s="1" t="n">
        <v>0</v>
      </c>
      <c r="T593" s="1" t="n">
        <v>48.3</v>
      </c>
      <c r="U593" s="1" t="n">
        <v>322.2</v>
      </c>
      <c r="V593" s="1" t="n">
        <v>217</v>
      </c>
      <c r="W593" s="1" t="n">
        <v>7.6</v>
      </c>
      <c r="X593" s="1" t="n">
        <v>15.1</v>
      </c>
      <c r="Y593" s="1" t="n">
        <v>151</v>
      </c>
      <c r="Z593" s="1" t="n">
        <v>548</v>
      </c>
      <c r="AA593" s="1" t="n">
        <v>167</v>
      </c>
      <c r="AB593" s="7" t="s">
        <v>81</v>
      </c>
      <c r="AC593" s="7" t="s">
        <v>48</v>
      </c>
      <c r="AD593" s="6" t="s">
        <v>43</v>
      </c>
      <c r="AE593" s="6" t="s">
        <v>43</v>
      </c>
      <c r="AF593" s="4" t="n">
        <f aca="false">IF(T593="","",IF(T593&lt;=30,(50/30)*T593,IF(T593&lt;=60,50+((100-50)/(60-30))*(T593-30),IF(T593&lt;=90,100+((200-100)/(90-60))*(T593-60),IF(T593&lt;=120,200+((300-200)/(120-90))*(T593-90),IF(T593&lt;=250,300+((400-300)/(250-120))*(T593-120),IF(T593&lt;=380,400+((500-400)/(380-250))*(T593-250),500)))))))</f>
        <v>80.5</v>
      </c>
      <c r="AG593" s="4" t="n">
        <f aca="false">IF(U593="","",IF(U593&lt;=50,(50/50)*U593,IF(U593&lt;=100,50+((100-50)/(100-50))*(U593-50),IF(U593&lt;=250,100+((200-100)/(250-100))*(U593-100),IF(U593&lt;=350,200+((300-200)/(350-250))*(U593-250),IF(U593&lt;=430,300+((400-300)/(430-350))*(U593-350),IF(U593&lt;=600,400+((500-400)/(600-430))*(U593-430),500)))))))</f>
        <v>272.2</v>
      </c>
      <c r="AH593" s="4" t="n">
        <f aca="false">IF(V593="","",IF((V593/1000)&lt;=1,(50/1)*(V593/1000),IF((V593/1000)&lt;=2,50+((100-50)/(2-1))*(V593/1000-1),IF((V593/1000)&lt;=10,100+((200-100)/(10-2))*(V593/1000-2),IF((V593/1000)&lt;=17,200+((300-200)/(17-10))*(V593/1000-10),IF((V593/1000)&lt;=34,300+((400-300)/(34-17))*(V593/1000-17),IF((V593/1000)&lt;=57,400+((500-400)/(57-34))*(V593/1000-34),500)))))))</f>
        <v>10.85</v>
      </c>
      <c r="AI593" s="4" t="n">
        <f aca="false">IF(W593="","",IF(W593&lt;=40,(50/40)*W593,IF(W593&lt;=80,50+((100-50)/(80-40))*(W593-40),IF(W593&lt;=180,100+((200-100)/(180-80))*(W593-80),IF(W593&lt;=280,200+((300-200)/(280-180))*(W593-180),IF(W593&lt;=400,300+((400-300)/(400-280))*(W593-280),IF(W593&lt;=800,400+((500-400)/(800-400))*(W593-400),500)))))))</f>
        <v>9.5</v>
      </c>
      <c r="AJ593" s="4" t="n">
        <f aca="false">IF(X593="","",IF(X593&lt;=40,(50/40)*X593,IF(X593&lt;=80,50+((100-50)/(80-40))*(X593-40),IF(X593&lt;=380,100+((200-100)/(380-80))*(X593-80),IF(X593&lt;=800,200+((300-200)/(800-380))*(X593-380),IF(X593&lt;=1600,300+((400-300)/(1600-800))*(X593-800),IF(X593&lt;=2100,400+((500-400)/(2100-1600))*(X593-1600),500)))))))</f>
        <v>18.875</v>
      </c>
      <c r="AK593" s="4" t="n">
        <f aca="false">IF(Y593="","",IF(Y593&lt;=50,(50/50)*Y593,IF(Y593&lt;=100,50+((100-50)/(100-50))*(Y593-50),IF(Y593&lt;=168,100+((200-100)/(168-100))*(Y593-100),IF(Y593&lt;=208,200+((300-200)/(208-168))*(Y593-168),IF(Y593&lt;=748,300+((400-300)/(748-208))*(Y593-208),IF(Y593&lt;=1000,400+((500-400)/(1000-748))*(Y593-748),500)))))))</f>
        <v>175</v>
      </c>
      <c r="AL593" s="4" t="n">
        <f aca="false">ROUND(MAX(AF593,AG593,AH593,AI593,AJ593,AK593),0)</f>
        <v>272</v>
      </c>
      <c r="AM593" s="4" t="str">
        <f aca="false">IF(AL593="","",IF(AL593&lt;=50,"Good",IF(AL593&lt;=100,"Satisfactory",IF(AL593&lt;=200,"Moderate",IF(AL593&lt;=300,"Poor",IF(AL593&lt;=400,"Very Poor","Severe"))))))</f>
        <v>Poor</v>
      </c>
    </row>
    <row r="594" customFormat="false" ht="15.75" hidden="false" customHeight="false" outlineLevel="0" collapsed="false">
      <c r="A594" s="1" t="s">
        <v>39</v>
      </c>
      <c r="B594" s="1" t="s">
        <v>40</v>
      </c>
      <c r="C594" s="1" t="n">
        <v>28.4595</v>
      </c>
      <c r="D594" s="1" t="n">
        <v>77.0266</v>
      </c>
      <c r="E594" s="5" t="n">
        <v>45925</v>
      </c>
      <c r="F594" s="6" t="s">
        <v>68</v>
      </c>
      <c r="G594" s="1" t="n">
        <v>9</v>
      </c>
      <c r="H594" s="7" t="s">
        <v>80</v>
      </c>
      <c r="I594" s="6" t="s">
        <v>43</v>
      </c>
      <c r="J594" s="7" t="s">
        <v>44</v>
      </c>
      <c r="K594" s="7" t="s">
        <v>65</v>
      </c>
      <c r="L594" s="1" t="n">
        <v>40</v>
      </c>
      <c r="M594" s="1" t="n">
        <v>18.6</v>
      </c>
      <c r="N594" s="1" t="n">
        <v>34.6</v>
      </c>
      <c r="O594" s="1" t="n">
        <v>0</v>
      </c>
      <c r="P594" s="6" t="s">
        <v>43</v>
      </c>
      <c r="Q594" s="6" t="s">
        <v>43</v>
      </c>
      <c r="R594" s="1" t="n">
        <v>1002</v>
      </c>
      <c r="S594" s="1" t="n">
        <v>0</v>
      </c>
      <c r="T594" s="1" t="n">
        <v>49.4</v>
      </c>
      <c r="U594" s="1" t="n">
        <v>322.2</v>
      </c>
      <c r="V594" s="1" t="n">
        <v>256</v>
      </c>
      <c r="W594" s="1" t="n">
        <v>12.1</v>
      </c>
      <c r="X594" s="1" t="n">
        <v>15</v>
      </c>
      <c r="Y594" s="1" t="n">
        <v>137</v>
      </c>
      <c r="Z594" s="1" t="n">
        <v>548</v>
      </c>
      <c r="AA594" s="1" t="n">
        <v>165</v>
      </c>
      <c r="AB594" s="7" t="s">
        <v>81</v>
      </c>
      <c r="AC594" s="7" t="s">
        <v>48</v>
      </c>
      <c r="AD594" s="6" t="s">
        <v>43</v>
      </c>
      <c r="AE594" s="6" t="s">
        <v>43</v>
      </c>
      <c r="AF594" s="4" t="n">
        <f aca="false">IF(T594="","",IF(T594&lt;=30,(50/30)*T594,IF(T594&lt;=60,50+((100-50)/(60-30))*(T594-30),IF(T594&lt;=90,100+((200-100)/(90-60))*(T594-60),IF(T594&lt;=120,200+((300-200)/(120-90))*(T594-90),IF(T594&lt;=250,300+((400-300)/(250-120))*(T594-120),IF(T594&lt;=380,400+((500-400)/(380-250))*(T594-250),500)))))))</f>
        <v>82.3333333333333</v>
      </c>
      <c r="AG594" s="4" t="n">
        <f aca="false">IF(U594="","",IF(U594&lt;=50,(50/50)*U594,IF(U594&lt;=100,50+((100-50)/(100-50))*(U594-50),IF(U594&lt;=250,100+((200-100)/(250-100))*(U594-100),IF(U594&lt;=350,200+((300-200)/(350-250))*(U594-250),IF(U594&lt;=430,300+((400-300)/(430-350))*(U594-350),IF(U594&lt;=600,400+((500-400)/(600-430))*(U594-430),500)))))))</f>
        <v>272.2</v>
      </c>
      <c r="AH594" s="4" t="n">
        <f aca="false">IF(V594="","",IF((V594/1000)&lt;=1,(50/1)*(V594/1000),IF((V594/1000)&lt;=2,50+((100-50)/(2-1))*(V594/1000-1),IF((V594/1000)&lt;=10,100+((200-100)/(10-2))*(V594/1000-2),IF((V594/1000)&lt;=17,200+((300-200)/(17-10))*(V594/1000-10),IF((V594/1000)&lt;=34,300+((400-300)/(34-17))*(V594/1000-17),IF((V594/1000)&lt;=57,400+((500-400)/(57-34))*(V594/1000-34),500)))))))</f>
        <v>12.8</v>
      </c>
      <c r="AI594" s="4" t="n">
        <f aca="false">IF(W594="","",IF(W594&lt;=40,(50/40)*W594,IF(W594&lt;=80,50+((100-50)/(80-40))*(W594-40),IF(W594&lt;=180,100+((200-100)/(180-80))*(W594-80),IF(W594&lt;=280,200+((300-200)/(280-180))*(W594-180),IF(W594&lt;=400,300+((400-300)/(400-280))*(W594-280),IF(W594&lt;=800,400+((500-400)/(800-400))*(W594-400),500)))))))</f>
        <v>15.125</v>
      </c>
      <c r="AJ594" s="4" t="n">
        <f aca="false">IF(X594="","",IF(X594&lt;=40,(50/40)*X594,IF(X594&lt;=80,50+((100-50)/(80-40))*(X594-40),IF(X594&lt;=380,100+((200-100)/(380-80))*(X594-80),IF(X594&lt;=800,200+((300-200)/(800-380))*(X594-380),IF(X594&lt;=1600,300+((400-300)/(1600-800))*(X594-800),IF(X594&lt;=2100,400+((500-400)/(2100-1600))*(X594-1600),500)))))))</f>
        <v>18.75</v>
      </c>
      <c r="AK594" s="4" t="n">
        <f aca="false">IF(Y594="","",IF(Y594&lt;=50,(50/50)*Y594,IF(Y594&lt;=100,50+((100-50)/(100-50))*(Y594-50),IF(Y594&lt;=168,100+((200-100)/(168-100))*(Y594-100),IF(Y594&lt;=208,200+((300-200)/(208-168))*(Y594-168),IF(Y594&lt;=748,300+((400-300)/(748-208))*(Y594-208),IF(Y594&lt;=1000,400+((500-400)/(1000-748))*(Y594-748),500)))))))</f>
        <v>154.411764705882</v>
      </c>
      <c r="AL594" s="4" t="n">
        <f aca="false">ROUND(MAX(AF594,AG594,AH594,AI594,AJ594,AK594),0)</f>
        <v>272</v>
      </c>
      <c r="AM594" s="4" t="str">
        <f aca="false">IF(AL594="","",IF(AL594&lt;=50,"Good",IF(AL594&lt;=100,"Satisfactory",IF(AL594&lt;=200,"Moderate",IF(AL594&lt;=300,"Poor",IF(AL594&lt;=400,"Very Poor","Severe"))))))</f>
        <v>Poor</v>
      </c>
    </row>
    <row r="595" customFormat="false" ht="15.75" hidden="false" customHeight="false" outlineLevel="0" collapsed="false">
      <c r="A595" s="1" t="s">
        <v>39</v>
      </c>
      <c r="B595" s="1" t="s">
        <v>40</v>
      </c>
      <c r="C595" s="1" t="n">
        <v>28.4595</v>
      </c>
      <c r="D595" s="1" t="n">
        <v>77.0266</v>
      </c>
      <c r="E595" s="5" t="n">
        <v>45925</v>
      </c>
      <c r="F595" s="6" t="s">
        <v>69</v>
      </c>
      <c r="G595" s="1" t="n">
        <v>9</v>
      </c>
      <c r="H595" s="7" t="s">
        <v>80</v>
      </c>
      <c r="I595" s="6" t="s">
        <v>43</v>
      </c>
      <c r="J595" s="7" t="s">
        <v>44</v>
      </c>
      <c r="K595" s="7" t="s">
        <v>65</v>
      </c>
      <c r="L595" s="1" t="n">
        <v>45</v>
      </c>
      <c r="M595" s="1" t="n">
        <v>19.2</v>
      </c>
      <c r="N595" s="1" t="n">
        <v>31.3</v>
      </c>
      <c r="O595" s="1" t="n">
        <v>0</v>
      </c>
      <c r="P595" s="6" t="s">
        <v>43</v>
      </c>
      <c r="Q595" s="6" t="s">
        <v>43</v>
      </c>
      <c r="R595" s="1" t="n">
        <v>1002.1</v>
      </c>
      <c r="S595" s="1" t="n">
        <v>0</v>
      </c>
      <c r="T595" s="1" t="n">
        <v>46.8</v>
      </c>
      <c r="U595" s="1" t="n">
        <v>285</v>
      </c>
      <c r="V595" s="1" t="n">
        <v>322</v>
      </c>
      <c r="W595" s="1" t="n">
        <v>18.4</v>
      </c>
      <c r="X595" s="1" t="n">
        <v>17.9</v>
      </c>
      <c r="Y595" s="1" t="n">
        <v>122</v>
      </c>
      <c r="Z595" s="1" t="n">
        <v>468</v>
      </c>
      <c r="AA595" s="1" t="n">
        <v>163</v>
      </c>
      <c r="AB595" s="7" t="s">
        <v>81</v>
      </c>
      <c r="AC595" s="7" t="s">
        <v>48</v>
      </c>
      <c r="AD595" s="6" t="s">
        <v>43</v>
      </c>
      <c r="AE595" s="6" t="s">
        <v>43</v>
      </c>
      <c r="AF595" s="4" t="n">
        <f aca="false">IF(T595="","",IF(T595&lt;=30,(50/30)*T595,IF(T595&lt;=60,50+((100-50)/(60-30))*(T595-30),IF(T595&lt;=90,100+((200-100)/(90-60))*(T595-60),IF(T595&lt;=120,200+((300-200)/(120-90))*(T595-90),IF(T595&lt;=250,300+((400-300)/(250-120))*(T595-120),IF(T595&lt;=380,400+((500-400)/(380-250))*(T595-250),500)))))))</f>
        <v>78</v>
      </c>
      <c r="AG595" s="4" t="n">
        <f aca="false">IF(U595="","",IF(U595&lt;=50,(50/50)*U595,IF(U595&lt;=100,50+((100-50)/(100-50))*(U595-50),IF(U595&lt;=250,100+((200-100)/(250-100))*(U595-100),IF(U595&lt;=350,200+((300-200)/(350-250))*(U595-250),IF(U595&lt;=430,300+((400-300)/(430-350))*(U595-350),IF(U595&lt;=600,400+((500-400)/(600-430))*(U595-430),500)))))))</f>
        <v>235</v>
      </c>
      <c r="AH595" s="4" t="n">
        <f aca="false">IF(V595="","",IF((V595/1000)&lt;=1,(50/1)*(V595/1000),IF((V595/1000)&lt;=2,50+((100-50)/(2-1))*(V595/1000-1),IF((V595/1000)&lt;=10,100+((200-100)/(10-2))*(V595/1000-2),IF((V595/1000)&lt;=17,200+((300-200)/(17-10))*(V595/1000-10),IF((V595/1000)&lt;=34,300+((400-300)/(34-17))*(V595/1000-17),IF((V595/1000)&lt;=57,400+((500-400)/(57-34))*(V595/1000-34),500)))))))</f>
        <v>16.1</v>
      </c>
      <c r="AI595" s="4" t="n">
        <f aca="false">IF(W595="","",IF(W595&lt;=40,(50/40)*W595,IF(W595&lt;=80,50+((100-50)/(80-40))*(W595-40),IF(W595&lt;=180,100+((200-100)/(180-80))*(W595-80),IF(W595&lt;=280,200+((300-200)/(280-180))*(W595-180),IF(W595&lt;=400,300+((400-300)/(400-280))*(W595-280),IF(W595&lt;=800,400+((500-400)/(800-400))*(W595-400),500)))))))</f>
        <v>23</v>
      </c>
      <c r="AJ595" s="4" t="n">
        <f aca="false">IF(X595="","",IF(X595&lt;=40,(50/40)*X595,IF(X595&lt;=80,50+((100-50)/(80-40))*(X595-40),IF(X595&lt;=380,100+((200-100)/(380-80))*(X595-80),IF(X595&lt;=800,200+((300-200)/(800-380))*(X595-380),IF(X595&lt;=1600,300+((400-300)/(1600-800))*(X595-800),IF(X595&lt;=2100,400+((500-400)/(2100-1600))*(X595-1600),500)))))))</f>
        <v>22.375</v>
      </c>
      <c r="AK595" s="4" t="n">
        <f aca="false">IF(Y595="","",IF(Y595&lt;=50,(50/50)*Y595,IF(Y595&lt;=100,50+((100-50)/(100-50))*(Y595-50),IF(Y595&lt;=168,100+((200-100)/(168-100))*(Y595-100),IF(Y595&lt;=208,200+((300-200)/(208-168))*(Y595-168),IF(Y595&lt;=748,300+((400-300)/(748-208))*(Y595-208),IF(Y595&lt;=1000,400+((500-400)/(1000-748))*(Y595-748),500)))))))</f>
        <v>132.352941176471</v>
      </c>
      <c r="AL595" s="4" t="n">
        <f aca="false">ROUND(MAX(AF595,AG595,AH595,AI595,AJ595,AK595),0)</f>
        <v>235</v>
      </c>
      <c r="AM595" s="4" t="str">
        <f aca="false">IF(AL595="","",IF(AL595&lt;=50,"Good",IF(AL595&lt;=100,"Satisfactory",IF(AL595&lt;=200,"Moderate",IF(AL595&lt;=300,"Poor",IF(AL595&lt;=400,"Very Poor","Severe"))))))</f>
        <v>Poor</v>
      </c>
    </row>
    <row r="596" customFormat="false" ht="15.75" hidden="false" customHeight="false" outlineLevel="0" collapsed="false">
      <c r="A596" s="1" t="s">
        <v>39</v>
      </c>
      <c r="B596" s="1" t="s">
        <v>40</v>
      </c>
      <c r="C596" s="1" t="n">
        <v>28.4595</v>
      </c>
      <c r="D596" s="1" t="n">
        <v>77.0266</v>
      </c>
      <c r="E596" s="5" t="n">
        <v>45925</v>
      </c>
      <c r="F596" s="6" t="s">
        <v>70</v>
      </c>
      <c r="G596" s="1" t="n">
        <v>9</v>
      </c>
      <c r="H596" s="7" t="s">
        <v>80</v>
      </c>
      <c r="I596" s="6" t="s">
        <v>43</v>
      </c>
      <c r="J596" s="7" t="s">
        <v>44</v>
      </c>
      <c r="K596" s="7" t="s">
        <v>71</v>
      </c>
      <c r="L596" s="1" t="n">
        <v>53</v>
      </c>
      <c r="M596" s="1" t="n">
        <v>20.5</v>
      </c>
      <c r="N596" s="1" t="n">
        <v>18.4</v>
      </c>
      <c r="O596" s="1" t="n">
        <v>0</v>
      </c>
      <c r="P596" s="6" t="s">
        <v>43</v>
      </c>
      <c r="Q596" s="6" t="s">
        <v>43</v>
      </c>
      <c r="R596" s="1" t="n">
        <v>1003.2</v>
      </c>
      <c r="S596" s="1" t="n">
        <v>0</v>
      </c>
      <c r="T596" s="1" t="n">
        <v>51.2</v>
      </c>
      <c r="U596" s="1" t="n">
        <v>254.3</v>
      </c>
      <c r="V596" s="1" t="n">
        <v>451</v>
      </c>
      <c r="W596" s="1" t="n">
        <v>26.8</v>
      </c>
      <c r="X596" s="1" t="n">
        <v>19.9</v>
      </c>
      <c r="Y596" s="1" t="n">
        <v>102</v>
      </c>
      <c r="Z596" s="1" t="n">
        <v>455</v>
      </c>
      <c r="AA596" s="1" t="n">
        <v>163</v>
      </c>
      <c r="AB596" s="7" t="s">
        <v>81</v>
      </c>
      <c r="AC596" s="7" t="s">
        <v>48</v>
      </c>
      <c r="AD596" s="6" t="s">
        <v>43</v>
      </c>
      <c r="AE596" s="6" t="s">
        <v>43</v>
      </c>
      <c r="AF596" s="4" t="n">
        <f aca="false">IF(T596="","",IF(T596&lt;=30,(50/30)*T596,IF(T596&lt;=60,50+((100-50)/(60-30))*(T596-30),IF(T596&lt;=90,100+((200-100)/(90-60))*(T596-60),IF(T596&lt;=120,200+((300-200)/(120-90))*(T596-90),IF(T596&lt;=250,300+((400-300)/(250-120))*(T596-120),IF(T596&lt;=380,400+((500-400)/(380-250))*(T596-250),500)))))))</f>
        <v>85.3333333333333</v>
      </c>
      <c r="AG596" s="4" t="n">
        <f aca="false">IF(U596="","",IF(U596&lt;=50,(50/50)*U596,IF(U596&lt;=100,50+((100-50)/(100-50))*(U596-50),IF(U596&lt;=250,100+((200-100)/(250-100))*(U596-100),IF(U596&lt;=350,200+((300-200)/(350-250))*(U596-250),IF(U596&lt;=430,300+((400-300)/(430-350))*(U596-350),IF(U596&lt;=600,400+((500-400)/(600-430))*(U596-430),500)))))))</f>
        <v>204.3</v>
      </c>
      <c r="AH596" s="4" t="n">
        <f aca="false">IF(V596="","",IF((V596/1000)&lt;=1,(50/1)*(V596/1000),IF((V596/1000)&lt;=2,50+((100-50)/(2-1))*(V596/1000-1),IF((V596/1000)&lt;=10,100+((200-100)/(10-2))*(V596/1000-2),IF((V596/1000)&lt;=17,200+((300-200)/(17-10))*(V596/1000-10),IF((V596/1000)&lt;=34,300+((400-300)/(34-17))*(V596/1000-17),IF((V596/1000)&lt;=57,400+((500-400)/(57-34))*(V596/1000-34),500)))))))</f>
        <v>22.55</v>
      </c>
      <c r="AI596" s="4" t="n">
        <f aca="false">IF(W596="","",IF(W596&lt;=40,(50/40)*W596,IF(W596&lt;=80,50+((100-50)/(80-40))*(W596-40),IF(W596&lt;=180,100+((200-100)/(180-80))*(W596-80),IF(W596&lt;=280,200+((300-200)/(280-180))*(W596-180),IF(W596&lt;=400,300+((400-300)/(400-280))*(W596-280),IF(W596&lt;=800,400+((500-400)/(800-400))*(W596-400),500)))))))</f>
        <v>33.5</v>
      </c>
      <c r="AJ596" s="4" t="n">
        <f aca="false">IF(X596="","",IF(X596&lt;=40,(50/40)*X596,IF(X596&lt;=80,50+((100-50)/(80-40))*(X596-40),IF(X596&lt;=380,100+((200-100)/(380-80))*(X596-80),IF(X596&lt;=800,200+((300-200)/(800-380))*(X596-380),IF(X596&lt;=1600,300+((400-300)/(1600-800))*(X596-800),IF(X596&lt;=2100,400+((500-400)/(2100-1600))*(X596-1600),500)))))))</f>
        <v>24.875</v>
      </c>
      <c r="AK596" s="4" t="n">
        <f aca="false">IF(Y596="","",IF(Y596&lt;=50,(50/50)*Y596,IF(Y596&lt;=100,50+((100-50)/(100-50))*(Y596-50),IF(Y596&lt;=168,100+((200-100)/(168-100))*(Y596-100),IF(Y596&lt;=208,200+((300-200)/(208-168))*(Y596-168),IF(Y596&lt;=748,300+((400-300)/(748-208))*(Y596-208),IF(Y596&lt;=1000,400+((500-400)/(1000-748))*(Y596-748),500)))))))</f>
        <v>102.941176470588</v>
      </c>
      <c r="AL596" s="4" t="n">
        <f aca="false">ROUND(MAX(AF596,AG596,AH596,AI596,AJ596,AK596),0)</f>
        <v>204</v>
      </c>
      <c r="AM596" s="4" t="str">
        <f aca="false">IF(AL596="","",IF(AL596&lt;=50,"Good",IF(AL596&lt;=100,"Satisfactory",IF(AL596&lt;=200,"Moderate",IF(AL596&lt;=300,"Poor",IF(AL596&lt;=400,"Very Poor","Severe"))))))</f>
        <v>Poor</v>
      </c>
    </row>
    <row r="597" customFormat="false" ht="15.75" hidden="false" customHeight="false" outlineLevel="0" collapsed="false">
      <c r="A597" s="1" t="s">
        <v>39</v>
      </c>
      <c r="B597" s="1" t="s">
        <v>40</v>
      </c>
      <c r="C597" s="1" t="n">
        <v>28.4595</v>
      </c>
      <c r="D597" s="1" t="n">
        <v>77.0266</v>
      </c>
      <c r="E597" s="5" t="n">
        <v>45925</v>
      </c>
      <c r="F597" s="6" t="s">
        <v>72</v>
      </c>
      <c r="G597" s="1" t="n">
        <v>9</v>
      </c>
      <c r="H597" s="7" t="s">
        <v>80</v>
      </c>
      <c r="I597" s="6" t="s">
        <v>43</v>
      </c>
      <c r="J597" s="7" t="s">
        <v>44</v>
      </c>
      <c r="K597" s="7" t="s">
        <v>71</v>
      </c>
      <c r="L597" s="1" t="n">
        <v>59</v>
      </c>
      <c r="M597" s="1" t="n">
        <v>21</v>
      </c>
      <c r="N597" s="1" t="n">
        <v>14.8</v>
      </c>
      <c r="O597" s="1" t="n">
        <v>0</v>
      </c>
      <c r="P597" s="6" t="s">
        <v>43</v>
      </c>
      <c r="Q597" s="6" t="s">
        <v>43</v>
      </c>
      <c r="R597" s="1" t="n">
        <v>1004.1</v>
      </c>
      <c r="S597" s="1" t="n">
        <v>0</v>
      </c>
      <c r="T597" s="1" t="n">
        <v>56.5</v>
      </c>
      <c r="U597" s="1" t="n">
        <v>260.8</v>
      </c>
      <c r="V597" s="1" t="n">
        <v>608</v>
      </c>
      <c r="W597" s="1" t="n">
        <v>38.3</v>
      </c>
      <c r="X597" s="1" t="n">
        <v>22.6</v>
      </c>
      <c r="Y597" s="1" t="n">
        <v>75</v>
      </c>
      <c r="Z597" s="1" t="n">
        <v>436</v>
      </c>
      <c r="AA597" s="1" t="n">
        <v>162</v>
      </c>
      <c r="AB597" s="7" t="s">
        <v>81</v>
      </c>
      <c r="AC597" s="7" t="s">
        <v>48</v>
      </c>
      <c r="AD597" s="6" t="s">
        <v>43</v>
      </c>
      <c r="AE597" s="6" t="s">
        <v>43</v>
      </c>
      <c r="AF597" s="4" t="n">
        <f aca="false">IF(T597="","",IF(T597&lt;=30,(50/30)*T597,IF(T597&lt;=60,50+((100-50)/(60-30))*(T597-30),IF(T597&lt;=90,100+((200-100)/(90-60))*(T597-60),IF(T597&lt;=120,200+((300-200)/(120-90))*(T597-90),IF(T597&lt;=250,300+((400-300)/(250-120))*(T597-120),IF(T597&lt;=380,400+((500-400)/(380-250))*(T597-250),500)))))))</f>
        <v>94.1666666666667</v>
      </c>
      <c r="AG597" s="4" t="n">
        <f aca="false">IF(U597="","",IF(U597&lt;=50,(50/50)*U597,IF(U597&lt;=100,50+((100-50)/(100-50))*(U597-50),IF(U597&lt;=250,100+((200-100)/(250-100))*(U597-100),IF(U597&lt;=350,200+((300-200)/(350-250))*(U597-250),IF(U597&lt;=430,300+((400-300)/(430-350))*(U597-350),IF(U597&lt;=600,400+((500-400)/(600-430))*(U597-430),500)))))))</f>
        <v>210.8</v>
      </c>
      <c r="AH597" s="4" t="n">
        <f aca="false">IF(V597="","",IF((V597/1000)&lt;=1,(50/1)*(V597/1000),IF((V597/1000)&lt;=2,50+((100-50)/(2-1))*(V597/1000-1),IF((V597/1000)&lt;=10,100+((200-100)/(10-2))*(V597/1000-2),IF((V597/1000)&lt;=17,200+((300-200)/(17-10))*(V597/1000-10),IF((V597/1000)&lt;=34,300+((400-300)/(34-17))*(V597/1000-17),IF((V597/1000)&lt;=57,400+((500-400)/(57-34))*(V597/1000-34),500)))))))</f>
        <v>30.4</v>
      </c>
      <c r="AI597" s="4" t="n">
        <f aca="false">IF(W597="","",IF(W597&lt;=40,(50/40)*W597,IF(W597&lt;=80,50+((100-50)/(80-40))*(W597-40),IF(W597&lt;=180,100+((200-100)/(180-80))*(W597-80),IF(W597&lt;=280,200+((300-200)/(280-180))*(W597-180),IF(W597&lt;=400,300+((400-300)/(400-280))*(W597-280),IF(W597&lt;=800,400+((500-400)/(800-400))*(W597-400),500)))))))</f>
        <v>47.875</v>
      </c>
      <c r="AJ597" s="4" t="n">
        <f aca="false">IF(X597="","",IF(X597&lt;=40,(50/40)*X597,IF(X597&lt;=80,50+((100-50)/(80-40))*(X597-40),IF(X597&lt;=380,100+((200-100)/(380-80))*(X597-80),IF(X597&lt;=800,200+((300-200)/(800-380))*(X597-380),IF(X597&lt;=1600,300+((400-300)/(1600-800))*(X597-800),IF(X597&lt;=2100,400+((500-400)/(2100-1600))*(X597-1600),500)))))))</f>
        <v>28.25</v>
      </c>
      <c r="AK597" s="4" t="n">
        <f aca="false">IF(Y597="","",IF(Y597&lt;=50,(50/50)*Y597,IF(Y597&lt;=100,50+((100-50)/(100-50))*(Y597-50),IF(Y597&lt;=168,100+((200-100)/(168-100))*(Y597-100),IF(Y597&lt;=208,200+((300-200)/(208-168))*(Y597-168),IF(Y597&lt;=748,300+((400-300)/(748-208))*(Y597-208),IF(Y597&lt;=1000,400+((500-400)/(1000-748))*(Y597-748),500)))))))</f>
        <v>75</v>
      </c>
      <c r="AL597" s="4" t="n">
        <f aca="false">ROUND(MAX(AF597,AG597,AH597,AI597,AJ597,AK597),0)</f>
        <v>211</v>
      </c>
      <c r="AM597" s="4" t="str">
        <f aca="false">IF(AL597="","",IF(AL597&lt;=50,"Good",IF(AL597&lt;=100,"Satisfactory",IF(AL597&lt;=200,"Moderate",IF(AL597&lt;=300,"Poor",IF(AL597&lt;=400,"Very Poor","Severe"))))))</f>
        <v>Poor</v>
      </c>
    </row>
    <row r="598" customFormat="false" ht="15.75" hidden="false" customHeight="false" outlineLevel="0" collapsed="false">
      <c r="A598" s="1" t="s">
        <v>39</v>
      </c>
      <c r="B598" s="1" t="s">
        <v>40</v>
      </c>
      <c r="C598" s="1" t="n">
        <v>28.4595</v>
      </c>
      <c r="D598" s="1" t="n">
        <v>77.0266</v>
      </c>
      <c r="E598" s="5" t="n">
        <v>45925</v>
      </c>
      <c r="F598" s="6" t="s">
        <v>73</v>
      </c>
      <c r="G598" s="1" t="n">
        <v>9</v>
      </c>
      <c r="H598" s="7" t="s">
        <v>80</v>
      </c>
      <c r="I598" s="6" t="s">
        <v>43</v>
      </c>
      <c r="J598" s="7" t="s">
        <v>44</v>
      </c>
      <c r="K598" s="7" t="s">
        <v>71</v>
      </c>
      <c r="L598" s="1" t="n">
        <v>62</v>
      </c>
      <c r="M598" s="1" t="n">
        <v>21.1</v>
      </c>
      <c r="N598" s="1" t="n">
        <v>11.9</v>
      </c>
      <c r="O598" s="1" t="n">
        <v>0</v>
      </c>
      <c r="P598" s="6" t="s">
        <v>43</v>
      </c>
      <c r="Q598" s="6" t="s">
        <v>43</v>
      </c>
      <c r="R598" s="1" t="n">
        <v>1004.7</v>
      </c>
      <c r="S598" s="1" t="n">
        <v>0</v>
      </c>
      <c r="T598" s="1" t="n">
        <v>59.8</v>
      </c>
      <c r="U598" s="1" t="n">
        <v>273.8</v>
      </c>
      <c r="V598" s="1" t="n">
        <v>695</v>
      </c>
      <c r="W598" s="1" t="n">
        <v>46.7</v>
      </c>
      <c r="X598" s="1" t="n">
        <v>24.9</v>
      </c>
      <c r="Y598" s="1" t="n">
        <v>54</v>
      </c>
      <c r="Z598" s="1" t="n">
        <v>417</v>
      </c>
      <c r="AA598" s="1" t="n">
        <v>161</v>
      </c>
      <c r="AB598" s="7" t="s">
        <v>81</v>
      </c>
      <c r="AC598" s="7" t="s">
        <v>48</v>
      </c>
      <c r="AD598" s="6" t="s">
        <v>43</v>
      </c>
      <c r="AE598" s="6" t="s">
        <v>43</v>
      </c>
      <c r="AF598" s="4" t="n">
        <f aca="false">IF(T598="","",IF(T598&lt;=30,(50/30)*T598,IF(T598&lt;=60,50+((100-50)/(60-30))*(T598-30),IF(T598&lt;=90,100+((200-100)/(90-60))*(T598-60),IF(T598&lt;=120,200+((300-200)/(120-90))*(T598-90),IF(T598&lt;=250,300+((400-300)/(250-120))*(T598-120),IF(T598&lt;=380,400+((500-400)/(380-250))*(T598-250),500)))))))</f>
        <v>99.6666666666667</v>
      </c>
      <c r="AG598" s="4" t="n">
        <f aca="false">IF(U598="","",IF(U598&lt;=50,(50/50)*U598,IF(U598&lt;=100,50+((100-50)/(100-50))*(U598-50),IF(U598&lt;=250,100+((200-100)/(250-100))*(U598-100),IF(U598&lt;=350,200+((300-200)/(350-250))*(U598-250),IF(U598&lt;=430,300+((400-300)/(430-350))*(U598-350),IF(U598&lt;=600,400+((500-400)/(600-430))*(U598-430),500)))))))</f>
        <v>223.8</v>
      </c>
      <c r="AH598" s="4" t="n">
        <f aca="false">IF(V598="","",IF((V598/1000)&lt;=1,(50/1)*(V598/1000),IF((V598/1000)&lt;=2,50+((100-50)/(2-1))*(V598/1000-1),IF((V598/1000)&lt;=10,100+((200-100)/(10-2))*(V598/1000-2),IF((V598/1000)&lt;=17,200+((300-200)/(17-10))*(V598/1000-10),IF((V598/1000)&lt;=34,300+((400-300)/(34-17))*(V598/1000-17),IF((V598/1000)&lt;=57,400+((500-400)/(57-34))*(V598/1000-34),500)))))))</f>
        <v>34.75</v>
      </c>
      <c r="AI598" s="4" t="n">
        <f aca="false">IF(W598="","",IF(W598&lt;=40,(50/40)*W598,IF(W598&lt;=80,50+((100-50)/(80-40))*(W598-40),IF(W598&lt;=180,100+((200-100)/(180-80))*(W598-80),IF(W598&lt;=280,200+((300-200)/(280-180))*(W598-180),IF(W598&lt;=400,300+((400-300)/(400-280))*(W598-280),IF(W598&lt;=800,400+((500-400)/(800-400))*(W598-400),500)))))))</f>
        <v>58.375</v>
      </c>
      <c r="AJ598" s="4" t="n">
        <f aca="false">IF(X598="","",IF(X598&lt;=40,(50/40)*X598,IF(X598&lt;=80,50+((100-50)/(80-40))*(X598-40),IF(X598&lt;=380,100+((200-100)/(380-80))*(X598-80),IF(X598&lt;=800,200+((300-200)/(800-380))*(X598-380),IF(X598&lt;=1600,300+((400-300)/(1600-800))*(X598-800),IF(X598&lt;=2100,400+((500-400)/(2100-1600))*(X598-1600),500)))))))</f>
        <v>31.125</v>
      </c>
      <c r="AK598" s="4" t="n">
        <f aca="false">IF(Y598="","",IF(Y598&lt;=50,(50/50)*Y598,IF(Y598&lt;=100,50+((100-50)/(100-50))*(Y598-50),IF(Y598&lt;=168,100+((200-100)/(168-100))*(Y598-100),IF(Y598&lt;=208,200+((300-200)/(208-168))*(Y598-168),IF(Y598&lt;=748,300+((400-300)/(748-208))*(Y598-208),IF(Y598&lt;=1000,400+((500-400)/(1000-748))*(Y598-748),500)))))))</f>
        <v>54</v>
      </c>
      <c r="AL598" s="4" t="n">
        <f aca="false">ROUND(MAX(AF598,AG598,AH598,AI598,AJ598,AK598),0)</f>
        <v>224</v>
      </c>
      <c r="AM598" s="4" t="str">
        <f aca="false">IF(AL598="","",IF(AL598&lt;=50,"Good",IF(AL598&lt;=100,"Satisfactory",IF(AL598&lt;=200,"Moderate",IF(AL598&lt;=300,"Poor",IF(AL598&lt;=400,"Very Poor","Severe"))))))</f>
        <v>Poor</v>
      </c>
    </row>
    <row r="599" customFormat="false" ht="15.75" hidden="false" customHeight="false" outlineLevel="0" collapsed="false">
      <c r="A599" s="1" t="s">
        <v>39</v>
      </c>
      <c r="B599" s="1" t="s">
        <v>40</v>
      </c>
      <c r="C599" s="1" t="n">
        <v>28.4595</v>
      </c>
      <c r="D599" s="1" t="n">
        <v>77.0266</v>
      </c>
      <c r="E599" s="5" t="n">
        <v>45925</v>
      </c>
      <c r="F599" s="6" t="s">
        <v>74</v>
      </c>
      <c r="G599" s="1" t="n">
        <v>9</v>
      </c>
      <c r="H599" s="7" t="s">
        <v>80</v>
      </c>
      <c r="I599" s="6" t="s">
        <v>43</v>
      </c>
      <c r="J599" s="7" t="s">
        <v>44</v>
      </c>
      <c r="K599" s="7" t="s">
        <v>75</v>
      </c>
      <c r="L599" s="1" t="n">
        <v>62</v>
      </c>
      <c r="M599" s="1" t="n">
        <v>20.7</v>
      </c>
      <c r="N599" s="1" t="n">
        <v>12.2</v>
      </c>
      <c r="O599" s="1" t="n">
        <v>0</v>
      </c>
      <c r="P599" s="6" t="s">
        <v>43</v>
      </c>
      <c r="Q599" s="6" t="s">
        <v>43</v>
      </c>
      <c r="R599" s="1" t="n">
        <v>1005.2</v>
      </c>
      <c r="S599" s="1" t="n">
        <v>0</v>
      </c>
      <c r="T599" s="1" t="n">
        <v>60.8</v>
      </c>
      <c r="U599" s="1" t="n">
        <v>270.1</v>
      </c>
      <c r="V599" s="1" t="n">
        <v>650</v>
      </c>
      <c r="W599" s="1" t="n">
        <v>49.3</v>
      </c>
      <c r="X599" s="1" t="n">
        <v>26.3</v>
      </c>
      <c r="Y599" s="1" t="n">
        <v>45</v>
      </c>
      <c r="Z599" s="1" t="n">
        <v>402</v>
      </c>
      <c r="AA599" s="1" t="n">
        <v>161</v>
      </c>
      <c r="AB599" s="7" t="s">
        <v>81</v>
      </c>
      <c r="AC599" s="7" t="s">
        <v>88</v>
      </c>
      <c r="AD599" s="6" t="s">
        <v>43</v>
      </c>
      <c r="AE599" s="6" t="s">
        <v>43</v>
      </c>
      <c r="AF599" s="4" t="n">
        <f aca="false">IF(T599="","",IF(T599&lt;=30,(50/30)*T599,IF(T599&lt;=60,50+((100-50)/(60-30))*(T599-30),IF(T599&lt;=90,100+((200-100)/(90-60))*(T599-60),IF(T599&lt;=120,200+((300-200)/(120-90))*(T599-90),IF(T599&lt;=250,300+((400-300)/(250-120))*(T599-120),IF(T599&lt;=380,400+((500-400)/(380-250))*(T599-250),500)))))))</f>
        <v>102.666666666667</v>
      </c>
      <c r="AG599" s="4" t="n">
        <f aca="false">IF(U599="","",IF(U599&lt;=50,(50/50)*U599,IF(U599&lt;=100,50+((100-50)/(100-50))*(U599-50),IF(U599&lt;=250,100+((200-100)/(250-100))*(U599-100),IF(U599&lt;=350,200+((300-200)/(350-250))*(U599-250),IF(U599&lt;=430,300+((400-300)/(430-350))*(U599-350),IF(U599&lt;=600,400+((500-400)/(600-430))*(U599-430),500)))))))</f>
        <v>220.1</v>
      </c>
      <c r="AH599" s="4" t="n">
        <f aca="false">IF(V599="","",IF((V599/1000)&lt;=1,(50/1)*(V599/1000),IF((V599/1000)&lt;=2,50+((100-50)/(2-1))*(V599/1000-1),IF((V599/1000)&lt;=10,100+((200-100)/(10-2))*(V599/1000-2),IF((V599/1000)&lt;=17,200+((300-200)/(17-10))*(V599/1000-10),IF((V599/1000)&lt;=34,300+((400-300)/(34-17))*(V599/1000-17),IF((V599/1000)&lt;=57,400+((500-400)/(57-34))*(V599/1000-34),500)))))))</f>
        <v>32.5</v>
      </c>
      <c r="AI599" s="4" t="n">
        <f aca="false">IF(W599="","",IF(W599&lt;=40,(50/40)*W599,IF(W599&lt;=80,50+((100-50)/(80-40))*(W599-40),IF(W599&lt;=180,100+((200-100)/(180-80))*(W599-80),IF(W599&lt;=280,200+((300-200)/(280-180))*(W599-180),IF(W599&lt;=400,300+((400-300)/(400-280))*(W599-280),IF(W599&lt;=800,400+((500-400)/(800-400))*(W599-400),500)))))))</f>
        <v>61.625</v>
      </c>
      <c r="AJ599" s="4" t="n">
        <f aca="false">IF(X599="","",IF(X599&lt;=40,(50/40)*X599,IF(X599&lt;=80,50+((100-50)/(80-40))*(X599-40),IF(X599&lt;=380,100+((200-100)/(380-80))*(X599-80),IF(X599&lt;=800,200+((300-200)/(800-380))*(X599-380),IF(X599&lt;=1600,300+((400-300)/(1600-800))*(X599-800),IF(X599&lt;=2100,400+((500-400)/(2100-1600))*(X599-1600),500)))))))</f>
        <v>32.875</v>
      </c>
      <c r="AK599" s="4" t="n">
        <f aca="false">IF(Y599="","",IF(Y599&lt;=50,(50/50)*Y599,IF(Y599&lt;=100,50+((100-50)/(100-50))*(Y599-50),IF(Y599&lt;=168,100+((200-100)/(168-100))*(Y599-100),IF(Y599&lt;=208,200+((300-200)/(208-168))*(Y599-168),IF(Y599&lt;=748,300+((400-300)/(748-208))*(Y599-208),IF(Y599&lt;=1000,400+((500-400)/(1000-748))*(Y599-748),500)))))))</f>
        <v>45</v>
      </c>
      <c r="AL599" s="4" t="n">
        <f aca="false">ROUND(MAX(AF599,AG599,AH599,AI599,AJ599,AK599),0)</f>
        <v>220</v>
      </c>
      <c r="AM599" s="4" t="str">
        <f aca="false">IF(AL599="","",IF(AL599&lt;=50,"Good",IF(AL599&lt;=100,"Satisfactory",IF(AL599&lt;=200,"Moderate",IF(AL599&lt;=300,"Poor",IF(AL599&lt;=400,"Very Poor","Severe"))))))</f>
        <v>Poor</v>
      </c>
    </row>
    <row r="600" customFormat="false" ht="15.75" hidden="false" customHeight="false" outlineLevel="0" collapsed="false">
      <c r="A600" s="1" t="s">
        <v>39</v>
      </c>
      <c r="B600" s="1" t="s">
        <v>40</v>
      </c>
      <c r="C600" s="1" t="n">
        <v>28.4595</v>
      </c>
      <c r="D600" s="1" t="n">
        <v>77.0266</v>
      </c>
      <c r="E600" s="5" t="n">
        <v>45925</v>
      </c>
      <c r="F600" s="6" t="s">
        <v>76</v>
      </c>
      <c r="G600" s="1" t="n">
        <v>9</v>
      </c>
      <c r="H600" s="7" t="s">
        <v>80</v>
      </c>
      <c r="I600" s="6" t="s">
        <v>43</v>
      </c>
      <c r="J600" s="7" t="s">
        <v>44</v>
      </c>
      <c r="K600" s="7" t="s">
        <v>75</v>
      </c>
      <c r="L600" s="1" t="n">
        <v>62</v>
      </c>
      <c r="M600" s="1" t="n">
        <v>20.1</v>
      </c>
      <c r="N600" s="1" t="n">
        <v>13</v>
      </c>
      <c r="O600" s="1" t="n">
        <v>0</v>
      </c>
      <c r="P600" s="6" t="s">
        <v>43</v>
      </c>
      <c r="Q600" s="6" t="s">
        <v>43</v>
      </c>
      <c r="R600" s="1" t="n">
        <v>1005</v>
      </c>
      <c r="S600" s="1" t="n">
        <v>0</v>
      </c>
      <c r="T600" s="1" t="n">
        <v>61</v>
      </c>
      <c r="U600" s="1" t="n">
        <v>259.8</v>
      </c>
      <c r="V600" s="1" t="n">
        <v>535</v>
      </c>
      <c r="W600" s="1" t="n">
        <v>48.8</v>
      </c>
      <c r="X600" s="1" t="n">
        <v>27.2</v>
      </c>
      <c r="Y600" s="1" t="n">
        <v>42</v>
      </c>
      <c r="Z600" s="1" t="n">
        <v>387</v>
      </c>
      <c r="AA600" s="1" t="n">
        <v>161</v>
      </c>
      <c r="AB600" s="7" t="s">
        <v>81</v>
      </c>
      <c r="AC600" s="7" t="s">
        <v>88</v>
      </c>
      <c r="AD600" s="6" t="s">
        <v>43</v>
      </c>
      <c r="AE600" s="6" t="s">
        <v>43</v>
      </c>
      <c r="AF600" s="4" t="n">
        <f aca="false">IF(T600="","",IF(T600&lt;=30,(50/30)*T600,IF(T600&lt;=60,50+((100-50)/(60-30))*(T600-30),IF(T600&lt;=90,100+((200-100)/(90-60))*(T600-60),IF(T600&lt;=120,200+((300-200)/(120-90))*(T600-90),IF(T600&lt;=250,300+((400-300)/(250-120))*(T600-120),IF(T600&lt;=380,400+((500-400)/(380-250))*(T600-250),500)))))))</f>
        <v>103.333333333333</v>
      </c>
      <c r="AG600" s="4" t="n">
        <f aca="false">IF(U600="","",IF(U600&lt;=50,(50/50)*U600,IF(U600&lt;=100,50+((100-50)/(100-50))*(U600-50),IF(U600&lt;=250,100+((200-100)/(250-100))*(U600-100),IF(U600&lt;=350,200+((300-200)/(350-250))*(U600-250),IF(U600&lt;=430,300+((400-300)/(430-350))*(U600-350),IF(U600&lt;=600,400+((500-400)/(600-430))*(U600-430),500)))))))</f>
        <v>209.8</v>
      </c>
      <c r="AH600" s="4" t="n">
        <f aca="false">IF(V600="","",IF((V600/1000)&lt;=1,(50/1)*(V600/1000),IF((V600/1000)&lt;=2,50+((100-50)/(2-1))*(V600/1000-1),IF((V600/1000)&lt;=10,100+((200-100)/(10-2))*(V600/1000-2),IF((V600/1000)&lt;=17,200+((300-200)/(17-10))*(V600/1000-10),IF((V600/1000)&lt;=34,300+((400-300)/(34-17))*(V600/1000-17),IF((V600/1000)&lt;=57,400+((500-400)/(57-34))*(V600/1000-34),500)))))))</f>
        <v>26.75</v>
      </c>
      <c r="AI600" s="4" t="n">
        <f aca="false">IF(W600="","",IF(W600&lt;=40,(50/40)*W600,IF(W600&lt;=80,50+((100-50)/(80-40))*(W600-40),IF(W600&lt;=180,100+((200-100)/(180-80))*(W600-80),IF(W600&lt;=280,200+((300-200)/(280-180))*(W600-180),IF(W600&lt;=400,300+((400-300)/(400-280))*(W600-280),IF(W600&lt;=800,400+((500-400)/(800-400))*(W600-400),500)))))))</f>
        <v>61</v>
      </c>
      <c r="AJ600" s="4" t="n">
        <f aca="false">IF(X600="","",IF(X600&lt;=40,(50/40)*X600,IF(X600&lt;=80,50+((100-50)/(80-40))*(X600-40),IF(X600&lt;=380,100+((200-100)/(380-80))*(X600-80),IF(X600&lt;=800,200+((300-200)/(800-380))*(X600-380),IF(X600&lt;=1600,300+((400-300)/(1600-800))*(X600-800),IF(X600&lt;=2100,400+((500-400)/(2100-1600))*(X600-1600),500)))))))</f>
        <v>34</v>
      </c>
      <c r="AK600" s="4" t="n">
        <f aca="false">IF(Y600="","",IF(Y600&lt;=50,(50/50)*Y600,IF(Y600&lt;=100,50+((100-50)/(100-50))*(Y600-50),IF(Y600&lt;=168,100+((200-100)/(168-100))*(Y600-100),IF(Y600&lt;=208,200+((300-200)/(208-168))*(Y600-168),IF(Y600&lt;=748,300+((400-300)/(748-208))*(Y600-208),IF(Y600&lt;=1000,400+((500-400)/(1000-748))*(Y600-748),500)))))))</f>
        <v>42</v>
      </c>
      <c r="AL600" s="4" t="n">
        <f aca="false">ROUND(MAX(AF600,AG600,AH600,AI600,AJ600,AK600),0)</f>
        <v>210</v>
      </c>
      <c r="AM600" s="4" t="str">
        <f aca="false">IF(AL600="","",IF(AL600&lt;=50,"Good",IF(AL600&lt;=100,"Satisfactory",IF(AL600&lt;=200,"Moderate",IF(AL600&lt;=300,"Poor",IF(AL600&lt;=400,"Very Poor","Severe"))))))</f>
        <v>Poor</v>
      </c>
    </row>
    <row r="601" customFormat="false" ht="15.75" hidden="false" customHeight="false" outlineLevel="0" collapsed="false">
      <c r="A601" s="1" t="s">
        <v>39</v>
      </c>
      <c r="B601" s="1" t="s">
        <v>40</v>
      </c>
      <c r="C601" s="1" t="n">
        <v>28.4595</v>
      </c>
      <c r="D601" s="1" t="n">
        <v>77.0266</v>
      </c>
      <c r="E601" s="5" t="n">
        <v>45925</v>
      </c>
      <c r="F601" s="6" t="s">
        <v>77</v>
      </c>
      <c r="G601" s="1" t="n">
        <v>9</v>
      </c>
      <c r="H601" s="7" t="s">
        <v>80</v>
      </c>
      <c r="I601" s="6" t="s">
        <v>43</v>
      </c>
      <c r="J601" s="7" t="s">
        <v>44</v>
      </c>
      <c r="K601" s="7" t="s">
        <v>75</v>
      </c>
      <c r="L601" s="1" t="n">
        <v>65</v>
      </c>
      <c r="M601" s="1" t="n">
        <v>20</v>
      </c>
      <c r="N601" s="1" t="n">
        <v>13</v>
      </c>
      <c r="O601" s="1" t="n">
        <v>0</v>
      </c>
      <c r="P601" s="6" t="s">
        <v>43</v>
      </c>
      <c r="Q601" s="6" t="s">
        <v>43</v>
      </c>
      <c r="R601" s="1" t="n">
        <v>1005</v>
      </c>
      <c r="S601" s="1" t="n">
        <v>0</v>
      </c>
      <c r="T601" s="1" t="n">
        <v>59</v>
      </c>
      <c r="U601" s="1" t="n">
        <v>246.8</v>
      </c>
      <c r="V601" s="1" t="n">
        <v>442</v>
      </c>
      <c r="W601" s="1" t="n">
        <v>47</v>
      </c>
      <c r="X601" s="1" t="n">
        <v>27.3</v>
      </c>
      <c r="Y601" s="1" t="n">
        <v>41</v>
      </c>
      <c r="Z601" s="1" t="n">
        <v>363</v>
      </c>
      <c r="AA601" s="1" t="n">
        <v>161</v>
      </c>
      <c r="AB601" s="7" t="s">
        <v>81</v>
      </c>
      <c r="AC601" s="7" t="s">
        <v>48</v>
      </c>
      <c r="AD601" s="6" t="s">
        <v>43</v>
      </c>
      <c r="AE601" s="6" t="s">
        <v>43</v>
      </c>
      <c r="AF601" s="4" t="n">
        <f aca="false">IF(T601="","",IF(T601&lt;=30,(50/30)*T601,IF(T601&lt;=60,50+((100-50)/(60-30))*(T601-30),IF(T601&lt;=90,100+((200-100)/(90-60))*(T601-60),IF(T601&lt;=120,200+((300-200)/(120-90))*(T601-90),IF(T601&lt;=250,300+((400-300)/(250-120))*(T601-120),IF(T601&lt;=380,400+((500-400)/(380-250))*(T601-250),500)))))))</f>
        <v>98.3333333333333</v>
      </c>
      <c r="AG601" s="4" t="n">
        <f aca="false">IF(U601="","",IF(U601&lt;=50,(50/50)*U601,IF(U601&lt;=100,50+((100-50)/(100-50))*(U601-50),IF(U601&lt;=250,100+((200-100)/(250-100))*(U601-100),IF(U601&lt;=350,200+((300-200)/(350-250))*(U601-250),IF(U601&lt;=430,300+((400-300)/(430-350))*(U601-350),IF(U601&lt;=600,400+((500-400)/(600-430))*(U601-430),500)))))))</f>
        <v>197.866666666667</v>
      </c>
      <c r="AH601" s="4" t="n">
        <f aca="false">IF(V601="","",IF((V601/1000)&lt;=1,(50/1)*(V601/1000),IF((V601/1000)&lt;=2,50+((100-50)/(2-1))*(V601/1000-1),IF((V601/1000)&lt;=10,100+((200-100)/(10-2))*(V601/1000-2),IF((V601/1000)&lt;=17,200+((300-200)/(17-10))*(V601/1000-10),IF((V601/1000)&lt;=34,300+((400-300)/(34-17))*(V601/1000-17),IF((V601/1000)&lt;=57,400+((500-400)/(57-34))*(V601/1000-34),500)))))))</f>
        <v>22.1</v>
      </c>
      <c r="AI601" s="4" t="n">
        <f aca="false">IF(W601="","",IF(W601&lt;=40,(50/40)*W601,IF(W601&lt;=80,50+((100-50)/(80-40))*(W601-40),IF(W601&lt;=180,100+((200-100)/(180-80))*(W601-80),IF(W601&lt;=280,200+((300-200)/(280-180))*(W601-180),IF(W601&lt;=400,300+((400-300)/(400-280))*(W601-280),IF(W601&lt;=800,400+((500-400)/(800-400))*(W601-400),500)))))))</f>
        <v>58.75</v>
      </c>
      <c r="AJ601" s="4" t="n">
        <f aca="false">IF(X601="","",IF(X601&lt;=40,(50/40)*X601,IF(X601&lt;=80,50+((100-50)/(80-40))*(X601-40),IF(X601&lt;=380,100+((200-100)/(380-80))*(X601-80),IF(X601&lt;=800,200+((300-200)/(800-380))*(X601-380),IF(X601&lt;=1600,300+((400-300)/(1600-800))*(X601-800),IF(X601&lt;=2100,400+((500-400)/(2100-1600))*(X601-1600),500)))))))</f>
        <v>34.125</v>
      </c>
      <c r="AK601" s="4" t="n">
        <f aca="false">IF(Y601="","",IF(Y601&lt;=50,(50/50)*Y601,IF(Y601&lt;=100,50+((100-50)/(100-50))*(Y601-50),IF(Y601&lt;=168,100+((200-100)/(168-100))*(Y601-100),IF(Y601&lt;=208,200+((300-200)/(208-168))*(Y601-168),IF(Y601&lt;=748,300+((400-300)/(748-208))*(Y601-208),IF(Y601&lt;=1000,400+((500-400)/(1000-748))*(Y601-748),500)))))))</f>
        <v>41</v>
      </c>
      <c r="AL601" s="4" t="n">
        <f aca="false">ROUND(MAX(AF601,AG601,AH601,AI601,AJ601,AK601),0)</f>
        <v>198</v>
      </c>
      <c r="AM601" s="4" t="str">
        <f aca="false">IF(AL601="","",IF(AL601&lt;=50,"Good",IF(AL601&lt;=100,"Satisfactory",IF(AL601&lt;=200,"Moderate",IF(AL601&lt;=300,"Poor",IF(AL601&lt;=400,"Very Poor","Severe"))))))</f>
        <v>Moderate</v>
      </c>
    </row>
    <row r="602" customFormat="false" ht="15.75" hidden="false" customHeight="false" outlineLevel="0" collapsed="false">
      <c r="A602" s="1" t="s">
        <v>39</v>
      </c>
      <c r="B602" s="1" t="s">
        <v>40</v>
      </c>
      <c r="C602" s="1" t="n">
        <v>28.4595</v>
      </c>
      <c r="D602" s="1" t="n">
        <v>77.0266</v>
      </c>
      <c r="E602" s="5" t="n">
        <v>45926</v>
      </c>
      <c r="F602" s="6" t="s">
        <v>41</v>
      </c>
      <c r="G602" s="1" t="n">
        <v>9</v>
      </c>
      <c r="H602" s="7" t="s">
        <v>85</v>
      </c>
      <c r="I602" s="6" t="s">
        <v>43</v>
      </c>
      <c r="J602" s="7" t="s">
        <v>44</v>
      </c>
      <c r="K602" s="7" t="s">
        <v>45</v>
      </c>
      <c r="L602" s="1" t="n">
        <v>71</v>
      </c>
      <c r="M602" s="1" t="n">
        <v>20.4</v>
      </c>
      <c r="N602" s="1" t="n">
        <v>12.2</v>
      </c>
      <c r="O602" s="1" t="n">
        <v>0</v>
      </c>
      <c r="P602" s="6" t="s">
        <v>43</v>
      </c>
      <c r="Q602" s="6" t="s">
        <v>43</v>
      </c>
      <c r="R602" s="1" t="n">
        <v>1005</v>
      </c>
      <c r="S602" s="1" t="n">
        <v>1</v>
      </c>
      <c r="T602" s="1" t="n">
        <v>55.2</v>
      </c>
      <c r="U602" s="1" t="n">
        <v>229.6</v>
      </c>
      <c r="V602" s="1" t="n">
        <v>402</v>
      </c>
      <c r="W602" s="1" t="n">
        <v>43.5</v>
      </c>
      <c r="X602" s="1" t="n">
        <v>26.1</v>
      </c>
      <c r="Y602" s="1" t="n">
        <v>42</v>
      </c>
      <c r="Z602" s="1" t="n">
        <v>322</v>
      </c>
      <c r="AA602" s="1" t="n">
        <v>161</v>
      </c>
      <c r="AB602" s="7" t="s">
        <v>81</v>
      </c>
      <c r="AC602" s="7" t="s">
        <v>48</v>
      </c>
      <c r="AD602" s="6" t="s">
        <v>43</v>
      </c>
      <c r="AE602" s="6" t="s">
        <v>43</v>
      </c>
      <c r="AF602" s="4" t="n">
        <f aca="false">IF(T602="","",IF(T602&lt;=30,(50/30)*T602,IF(T602&lt;=60,50+((100-50)/(60-30))*(T602-30),IF(T602&lt;=90,100+((200-100)/(90-60))*(T602-60),IF(T602&lt;=120,200+((300-200)/(120-90))*(T602-90),IF(T602&lt;=250,300+((400-300)/(250-120))*(T602-120),IF(T602&lt;=380,400+((500-400)/(380-250))*(T602-250),500)))))))</f>
        <v>92</v>
      </c>
      <c r="AG602" s="4" t="n">
        <f aca="false">IF(U602="","",IF(U602&lt;=50,(50/50)*U602,IF(U602&lt;=100,50+((100-50)/(100-50))*(U602-50),IF(U602&lt;=250,100+((200-100)/(250-100))*(U602-100),IF(U602&lt;=350,200+((300-200)/(350-250))*(U602-250),IF(U602&lt;=430,300+((400-300)/(430-350))*(U602-350),IF(U602&lt;=600,400+((500-400)/(600-430))*(U602-430),500)))))))</f>
        <v>186.4</v>
      </c>
      <c r="AH602" s="4" t="n">
        <f aca="false">IF(V602="","",IF((V602/1000)&lt;=1,(50/1)*(V602/1000),IF((V602/1000)&lt;=2,50+((100-50)/(2-1))*(V602/1000-1),IF((V602/1000)&lt;=10,100+((200-100)/(10-2))*(V602/1000-2),IF((V602/1000)&lt;=17,200+((300-200)/(17-10))*(V602/1000-10),IF((V602/1000)&lt;=34,300+((400-300)/(34-17))*(V602/1000-17),IF((V602/1000)&lt;=57,400+((500-400)/(57-34))*(V602/1000-34),500)))))))</f>
        <v>20.1</v>
      </c>
      <c r="AI602" s="4" t="n">
        <f aca="false">IF(W602="","",IF(W602&lt;=40,(50/40)*W602,IF(W602&lt;=80,50+((100-50)/(80-40))*(W602-40),IF(W602&lt;=180,100+((200-100)/(180-80))*(W602-80),IF(W602&lt;=280,200+((300-200)/(280-180))*(W602-180),IF(W602&lt;=400,300+((400-300)/(400-280))*(W602-280),IF(W602&lt;=800,400+((500-400)/(800-400))*(W602-400),500)))))))</f>
        <v>54.375</v>
      </c>
      <c r="AJ602" s="4" t="n">
        <f aca="false">IF(X602="","",IF(X602&lt;=40,(50/40)*X602,IF(X602&lt;=80,50+((100-50)/(80-40))*(X602-40),IF(X602&lt;=380,100+((200-100)/(380-80))*(X602-80),IF(X602&lt;=800,200+((300-200)/(800-380))*(X602-380),IF(X602&lt;=1600,300+((400-300)/(1600-800))*(X602-800),IF(X602&lt;=2100,400+((500-400)/(2100-1600))*(X602-1600),500)))))))</f>
        <v>32.625</v>
      </c>
      <c r="AK602" s="4" t="n">
        <f aca="false">IF(Y602="","",IF(Y602&lt;=50,(50/50)*Y602,IF(Y602&lt;=100,50+((100-50)/(100-50))*(Y602-50),IF(Y602&lt;=168,100+((200-100)/(168-100))*(Y602-100),IF(Y602&lt;=208,200+((300-200)/(208-168))*(Y602-168),IF(Y602&lt;=748,300+((400-300)/(748-208))*(Y602-208),IF(Y602&lt;=1000,400+((500-400)/(1000-748))*(Y602-748),500)))))))</f>
        <v>42</v>
      </c>
      <c r="AL602" s="4" t="n">
        <f aca="false">ROUND(MAX(AF602,AG602,AH602,AI602,AJ602,AK602),0)</f>
        <v>186</v>
      </c>
      <c r="AM602" s="4" t="str">
        <f aca="false">IF(AL602="","",IF(AL602&lt;=50,"Good",IF(AL602&lt;=100,"Satisfactory",IF(AL602&lt;=200,"Moderate",IF(AL602&lt;=300,"Poor",IF(AL602&lt;=400,"Very Poor","Severe"))))))</f>
        <v>Moderate</v>
      </c>
    </row>
    <row r="603" customFormat="false" ht="15.75" hidden="false" customHeight="false" outlineLevel="0" collapsed="false">
      <c r="A603" s="1" t="s">
        <v>39</v>
      </c>
      <c r="B603" s="1" t="s">
        <v>40</v>
      </c>
      <c r="C603" s="1" t="n">
        <v>28.4595</v>
      </c>
      <c r="D603" s="1" t="n">
        <v>77.0266</v>
      </c>
      <c r="E603" s="5" t="n">
        <v>45926</v>
      </c>
      <c r="F603" s="6" t="s">
        <v>49</v>
      </c>
      <c r="G603" s="1" t="n">
        <v>9</v>
      </c>
      <c r="H603" s="7" t="s">
        <v>85</v>
      </c>
      <c r="I603" s="6" t="s">
        <v>43</v>
      </c>
      <c r="J603" s="7" t="s">
        <v>44</v>
      </c>
      <c r="K603" s="7" t="s">
        <v>45</v>
      </c>
      <c r="L603" s="1" t="n">
        <v>78</v>
      </c>
      <c r="M603" s="1" t="n">
        <v>20.8</v>
      </c>
      <c r="N603" s="1" t="n">
        <v>14</v>
      </c>
      <c r="O603" s="1" t="n">
        <v>0</v>
      </c>
      <c r="P603" s="6" t="s">
        <v>43</v>
      </c>
      <c r="Q603" s="6" t="s">
        <v>43</v>
      </c>
      <c r="R603" s="1" t="n">
        <v>1004.9</v>
      </c>
      <c r="S603" s="1" t="n">
        <v>0</v>
      </c>
      <c r="T603" s="1" t="n">
        <v>50.8</v>
      </c>
      <c r="U603" s="1" t="n">
        <v>201.2</v>
      </c>
      <c r="V603" s="1" t="n">
        <v>383</v>
      </c>
      <c r="W603" s="1" t="n">
        <v>38.6</v>
      </c>
      <c r="X603" s="1" t="n">
        <v>24.1</v>
      </c>
      <c r="Y603" s="1" t="n">
        <v>45</v>
      </c>
      <c r="Z603" s="1" t="n">
        <v>272</v>
      </c>
      <c r="AA603" s="1" t="n">
        <v>160</v>
      </c>
      <c r="AB603" s="7" t="s">
        <v>81</v>
      </c>
      <c r="AC603" s="7" t="s">
        <v>48</v>
      </c>
      <c r="AD603" s="6" t="s">
        <v>43</v>
      </c>
      <c r="AE603" s="6" t="s">
        <v>43</v>
      </c>
      <c r="AF603" s="4" t="n">
        <f aca="false">IF(T603="","",IF(T603&lt;=30,(50/30)*T603,IF(T603&lt;=60,50+((100-50)/(60-30))*(T603-30),IF(T603&lt;=90,100+((200-100)/(90-60))*(T603-60),IF(T603&lt;=120,200+((300-200)/(120-90))*(T603-90),IF(T603&lt;=250,300+((400-300)/(250-120))*(T603-120),IF(T603&lt;=380,400+((500-400)/(380-250))*(T603-250),500)))))))</f>
        <v>84.6666666666667</v>
      </c>
      <c r="AG603" s="4" t="n">
        <f aca="false">IF(U603="","",IF(U603&lt;=50,(50/50)*U603,IF(U603&lt;=100,50+((100-50)/(100-50))*(U603-50),IF(U603&lt;=250,100+((200-100)/(250-100))*(U603-100),IF(U603&lt;=350,200+((300-200)/(350-250))*(U603-250),IF(U603&lt;=430,300+((400-300)/(430-350))*(U603-350),IF(U603&lt;=600,400+((500-400)/(600-430))*(U603-430),500)))))))</f>
        <v>167.466666666667</v>
      </c>
      <c r="AH603" s="4" t="n">
        <f aca="false">IF(V603="","",IF((V603/1000)&lt;=1,(50/1)*(V603/1000),IF((V603/1000)&lt;=2,50+((100-50)/(2-1))*(V603/1000-1),IF((V603/1000)&lt;=10,100+((200-100)/(10-2))*(V603/1000-2),IF((V603/1000)&lt;=17,200+((300-200)/(17-10))*(V603/1000-10),IF((V603/1000)&lt;=34,300+((400-300)/(34-17))*(V603/1000-17),IF((V603/1000)&lt;=57,400+((500-400)/(57-34))*(V603/1000-34),500)))))))</f>
        <v>19.15</v>
      </c>
      <c r="AI603" s="4" t="n">
        <f aca="false">IF(W603="","",IF(W603&lt;=40,(50/40)*W603,IF(W603&lt;=80,50+((100-50)/(80-40))*(W603-40),IF(W603&lt;=180,100+((200-100)/(180-80))*(W603-80),IF(W603&lt;=280,200+((300-200)/(280-180))*(W603-180),IF(W603&lt;=400,300+((400-300)/(400-280))*(W603-280),IF(W603&lt;=800,400+((500-400)/(800-400))*(W603-400),500)))))))</f>
        <v>48.25</v>
      </c>
      <c r="AJ603" s="4" t="n">
        <f aca="false">IF(X603="","",IF(X603&lt;=40,(50/40)*X603,IF(X603&lt;=80,50+((100-50)/(80-40))*(X603-40),IF(X603&lt;=380,100+((200-100)/(380-80))*(X603-80),IF(X603&lt;=800,200+((300-200)/(800-380))*(X603-380),IF(X603&lt;=1600,300+((400-300)/(1600-800))*(X603-800),IF(X603&lt;=2100,400+((500-400)/(2100-1600))*(X603-1600),500)))))))</f>
        <v>30.125</v>
      </c>
      <c r="AK603" s="4" t="n">
        <f aca="false">IF(Y603="","",IF(Y603&lt;=50,(50/50)*Y603,IF(Y603&lt;=100,50+((100-50)/(100-50))*(Y603-50),IF(Y603&lt;=168,100+((200-100)/(168-100))*(Y603-100),IF(Y603&lt;=208,200+((300-200)/(208-168))*(Y603-168),IF(Y603&lt;=748,300+((400-300)/(748-208))*(Y603-208),IF(Y603&lt;=1000,400+((500-400)/(1000-748))*(Y603-748),500)))))))</f>
        <v>45</v>
      </c>
      <c r="AL603" s="4" t="n">
        <f aca="false">ROUND(MAX(AF603,AG603,AH603,AI603,AJ603,AK603),0)</f>
        <v>167</v>
      </c>
      <c r="AM603" s="4" t="str">
        <f aca="false">IF(AL603="","",IF(AL603&lt;=50,"Good",IF(AL603&lt;=100,"Satisfactory",IF(AL603&lt;=200,"Moderate",IF(AL603&lt;=300,"Poor",IF(AL603&lt;=400,"Very Poor","Severe"))))))</f>
        <v>Moderate</v>
      </c>
    </row>
    <row r="604" customFormat="false" ht="15.75" hidden="false" customHeight="false" outlineLevel="0" collapsed="false">
      <c r="A604" s="1" t="s">
        <v>39</v>
      </c>
      <c r="B604" s="1" t="s">
        <v>40</v>
      </c>
      <c r="C604" s="1" t="n">
        <v>28.4595</v>
      </c>
      <c r="D604" s="1" t="n">
        <v>77.0266</v>
      </c>
      <c r="E604" s="5" t="n">
        <v>45926</v>
      </c>
      <c r="F604" s="6" t="s">
        <v>51</v>
      </c>
      <c r="G604" s="1" t="n">
        <v>9</v>
      </c>
      <c r="H604" s="7" t="s">
        <v>85</v>
      </c>
      <c r="I604" s="6" t="s">
        <v>43</v>
      </c>
      <c r="J604" s="7" t="s">
        <v>44</v>
      </c>
      <c r="K604" s="7" t="s">
        <v>45</v>
      </c>
      <c r="L604" s="1" t="n">
        <v>80</v>
      </c>
      <c r="M604" s="1" t="n">
        <v>21</v>
      </c>
      <c r="N604" s="1" t="n">
        <v>11.9</v>
      </c>
      <c r="O604" s="1" t="n">
        <v>0</v>
      </c>
      <c r="P604" s="6" t="s">
        <v>43</v>
      </c>
      <c r="Q604" s="6" t="s">
        <v>43</v>
      </c>
      <c r="R604" s="1" t="n">
        <v>1004.8</v>
      </c>
      <c r="S604" s="1" t="n">
        <v>0</v>
      </c>
      <c r="T604" s="1" t="n">
        <v>46.3</v>
      </c>
      <c r="U604" s="1" t="n">
        <v>163.4</v>
      </c>
      <c r="V604" s="1" t="n">
        <v>380</v>
      </c>
      <c r="W604" s="1" t="n">
        <v>35.2</v>
      </c>
      <c r="X604" s="1" t="n">
        <v>22.4</v>
      </c>
      <c r="Y604" s="1" t="n">
        <v>46</v>
      </c>
      <c r="Z604" s="1" t="n">
        <v>224</v>
      </c>
      <c r="AA604" s="1" t="n">
        <v>159</v>
      </c>
      <c r="AB604" s="7" t="s">
        <v>81</v>
      </c>
      <c r="AC604" s="7" t="s">
        <v>48</v>
      </c>
      <c r="AD604" s="6" t="s">
        <v>43</v>
      </c>
      <c r="AE604" s="6" t="s">
        <v>43</v>
      </c>
      <c r="AF604" s="4" t="n">
        <f aca="false">IF(T604="","",IF(T604&lt;=30,(50/30)*T604,IF(T604&lt;=60,50+((100-50)/(60-30))*(T604-30),IF(T604&lt;=90,100+((200-100)/(90-60))*(T604-60),IF(T604&lt;=120,200+((300-200)/(120-90))*(T604-90),IF(T604&lt;=250,300+((400-300)/(250-120))*(T604-120),IF(T604&lt;=380,400+((500-400)/(380-250))*(T604-250),500)))))))</f>
        <v>77.1666666666667</v>
      </c>
      <c r="AG604" s="4" t="n">
        <f aca="false">IF(U604="","",IF(U604&lt;=50,(50/50)*U604,IF(U604&lt;=100,50+((100-50)/(100-50))*(U604-50),IF(U604&lt;=250,100+((200-100)/(250-100))*(U604-100),IF(U604&lt;=350,200+((300-200)/(350-250))*(U604-250),IF(U604&lt;=430,300+((400-300)/(430-350))*(U604-350),IF(U604&lt;=600,400+((500-400)/(600-430))*(U604-430),500)))))))</f>
        <v>142.266666666667</v>
      </c>
      <c r="AH604" s="4" t="n">
        <f aca="false">IF(V604="","",IF((V604/1000)&lt;=1,(50/1)*(V604/1000),IF((V604/1000)&lt;=2,50+((100-50)/(2-1))*(V604/1000-1),IF((V604/1000)&lt;=10,100+((200-100)/(10-2))*(V604/1000-2),IF((V604/1000)&lt;=17,200+((300-200)/(17-10))*(V604/1000-10),IF((V604/1000)&lt;=34,300+((400-300)/(34-17))*(V604/1000-17),IF((V604/1000)&lt;=57,400+((500-400)/(57-34))*(V604/1000-34),500)))))))</f>
        <v>19</v>
      </c>
      <c r="AI604" s="4" t="n">
        <f aca="false">IF(W604="","",IF(W604&lt;=40,(50/40)*W604,IF(W604&lt;=80,50+((100-50)/(80-40))*(W604-40),IF(W604&lt;=180,100+((200-100)/(180-80))*(W604-80),IF(W604&lt;=280,200+((300-200)/(280-180))*(W604-180),IF(W604&lt;=400,300+((400-300)/(400-280))*(W604-280),IF(W604&lt;=800,400+((500-400)/(800-400))*(W604-400),500)))))))</f>
        <v>44</v>
      </c>
      <c r="AJ604" s="4" t="n">
        <f aca="false">IF(X604="","",IF(X604&lt;=40,(50/40)*X604,IF(X604&lt;=80,50+((100-50)/(80-40))*(X604-40),IF(X604&lt;=380,100+((200-100)/(380-80))*(X604-80),IF(X604&lt;=800,200+((300-200)/(800-380))*(X604-380),IF(X604&lt;=1600,300+((400-300)/(1600-800))*(X604-800),IF(X604&lt;=2100,400+((500-400)/(2100-1600))*(X604-1600),500)))))))</f>
        <v>28</v>
      </c>
      <c r="AK604" s="4" t="n">
        <f aca="false">IF(Y604="","",IF(Y604&lt;=50,(50/50)*Y604,IF(Y604&lt;=100,50+((100-50)/(100-50))*(Y604-50),IF(Y604&lt;=168,100+((200-100)/(168-100))*(Y604-100),IF(Y604&lt;=208,200+((300-200)/(208-168))*(Y604-168),IF(Y604&lt;=748,300+((400-300)/(748-208))*(Y604-208),IF(Y604&lt;=1000,400+((500-400)/(1000-748))*(Y604-748),500)))))))</f>
        <v>46</v>
      </c>
      <c r="AL604" s="4" t="n">
        <f aca="false">ROUND(MAX(AF604,AG604,AH604,AI604,AJ604,AK604),0)</f>
        <v>142</v>
      </c>
      <c r="AM604" s="4" t="str">
        <f aca="false">IF(AL604="","",IF(AL604&lt;=50,"Good",IF(AL604&lt;=100,"Satisfactory",IF(AL604&lt;=200,"Moderate",IF(AL604&lt;=300,"Poor",IF(AL604&lt;=400,"Very Poor","Severe"))))))</f>
        <v>Moderate</v>
      </c>
    </row>
    <row r="605" customFormat="false" ht="15.75" hidden="false" customHeight="false" outlineLevel="0" collapsed="false">
      <c r="A605" s="1" t="s">
        <v>39</v>
      </c>
      <c r="B605" s="1" t="s">
        <v>40</v>
      </c>
      <c r="C605" s="1" t="n">
        <v>28.4595</v>
      </c>
      <c r="D605" s="1" t="n">
        <v>77.0266</v>
      </c>
      <c r="E605" s="5" t="n">
        <v>45926</v>
      </c>
      <c r="F605" s="6" t="s">
        <v>52</v>
      </c>
      <c r="G605" s="1" t="n">
        <v>9</v>
      </c>
      <c r="H605" s="7" t="s">
        <v>85</v>
      </c>
      <c r="I605" s="6" t="s">
        <v>43</v>
      </c>
      <c r="J605" s="7" t="s">
        <v>44</v>
      </c>
      <c r="K605" s="7" t="s">
        <v>45</v>
      </c>
      <c r="L605" s="1" t="n">
        <v>82</v>
      </c>
      <c r="M605" s="1" t="n">
        <v>21</v>
      </c>
      <c r="N605" s="1" t="n">
        <v>10.4</v>
      </c>
      <c r="O605" s="1" t="n">
        <v>0</v>
      </c>
      <c r="P605" s="6" t="s">
        <v>43</v>
      </c>
      <c r="Q605" s="6" t="s">
        <v>43</v>
      </c>
      <c r="R605" s="1" t="n">
        <v>1004.7</v>
      </c>
      <c r="S605" s="1" t="n">
        <v>0</v>
      </c>
      <c r="T605" s="1" t="n">
        <v>42.6</v>
      </c>
      <c r="U605" s="1" t="n">
        <v>128.1</v>
      </c>
      <c r="V605" s="1" t="n">
        <v>392</v>
      </c>
      <c r="W605" s="1" t="n">
        <v>34.8</v>
      </c>
      <c r="X605" s="1" t="n">
        <v>21.2</v>
      </c>
      <c r="Y605" s="1" t="n">
        <v>42</v>
      </c>
      <c r="Z605" s="1" t="n">
        <v>173</v>
      </c>
      <c r="AA605" s="1" t="n">
        <v>158</v>
      </c>
      <c r="AB605" s="7" t="s">
        <v>81</v>
      </c>
      <c r="AC605" s="7" t="s">
        <v>48</v>
      </c>
      <c r="AD605" s="6" t="s">
        <v>43</v>
      </c>
      <c r="AE605" s="6" t="s">
        <v>43</v>
      </c>
      <c r="AF605" s="4" t="n">
        <f aca="false">IF(T605="","",IF(T605&lt;=30,(50/30)*T605,IF(T605&lt;=60,50+((100-50)/(60-30))*(T605-30),IF(T605&lt;=90,100+((200-100)/(90-60))*(T605-60),IF(T605&lt;=120,200+((300-200)/(120-90))*(T605-90),IF(T605&lt;=250,300+((400-300)/(250-120))*(T605-120),IF(T605&lt;=380,400+((500-400)/(380-250))*(T605-250),500)))))))</f>
        <v>71</v>
      </c>
      <c r="AG605" s="4" t="n">
        <f aca="false">IF(U605="","",IF(U605&lt;=50,(50/50)*U605,IF(U605&lt;=100,50+((100-50)/(100-50))*(U605-50),IF(U605&lt;=250,100+((200-100)/(250-100))*(U605-100),IF(U605&lt;=350,200+((300-200)/(350-250))*(U605-250),IF(U605&lt;=430,300+((400-300)/(430-350))*(U605-350),IF(U605&lt;=600,400+((500-400)/(600-430))*(U605-430),500)))))))</f>
        <v>118.733333333333</v>
      </c>
      <c r="AH605" s="4" t="n">
        <f aca="false">IF(V605="","",IF((V605/1000)&lt;=1,(50/1)*(V605/1000),IF((V605/1000)&lt;=2,50+((100-50)/(2-1))*(V605/1000-1),IF((V605/1000)&lt;=10,100+((200-100)/(10-2))*(V605/1000-2),IF((V605/1000)&lt;=17,200+((300-200)/(17-10))*(V605/1000-10),IF((V605/1000)&lt;=34,300+((400-300)/(34-17))*(V605/1000-17),IF((V605/1000)&lt;=57,400+((500-400)/(57-34))*(V605/1000-34),500)))))))</f>
        <v>19.6</v>
      </c>
      <c r="AI605" s="4" t="n">
        <f aca="false">IF(W605="","",IF(W605&lt;=40,(50/40)*W605,IF(W605&lt;=80,50+((100-50)/(80-40))*(W605-40),IF(W605&lt;=180,100+((200-100)/(180-80))*(W605-80),IF(W605&lt;=280,200+((300-200)/(280-180))*(W605-180),IF(W605&lt;=400,300+((400-300)/(400-280))*(W605-280),IF(W605&lt;=800,400+((500-400)/(800-400))*(W605-400),500)))))))</f>
        <v>43.5</v>
      </c>
      <c r="AJ605" s="4" t="n">
        <f aca="false">IF(X605="","",IF(X605&lt;=40,(50/40)*X605,IF(X605&lt;=80,50+((100-50)/(80-40))*(X605-40),IF(X605&lt;=380,100+((200-100)/(380-80))*(X605-80),IF(X605&lt;=800,200+((300-200)/(800-380))*(X605-380),IF(X605&lt;=1600,300+((400-300)/(1600-800))*(X605-800),IF(X605&lt;=2100,400+((500-400)/(2100-1600))*(X605-1600),500)))))))</f>
        <v>26.5</v>
      </c>
      <c r="AK605" s="4" t="n">
        <f aca="false">IF(Y605="","",IF(Y605&lt;=50,(50/50)*Y605,IF(Y605&lt;=100,50+((100-50)/(100-50))*(Y605-50),IF(Y605&lt;=168,100+((200-100)/(168-100))*(Y605-100),IF(Y605&lt;=208,200+((300-200)/(208-168))*(Y605-168),IF(Y605&lt;=748,300+((400-300)/(748-208))*(Y605-208),IF(Y605&lt;=1000,400+((500-400)/(1000-748))*(Y605-748),500)))))))</f>
        <v>42</v>
      </c>
      <c r="AL605" s="4" t="n">
        <f aca="false">ROUND(MAX(AF605,AG605,AH605,AI605,AJ605,AK605),0)</f>
        <v>119</v>
      </c>
      <c r="AM605" s="4" t="str">
        <f aca="false">IF(AL605="","",IF(AL605&lt;=50,"Good",IF(AL605&lt;=100,"Satisfactory",IF(AL605&lt;=200,"Moderate",IF(AL605&lt;=300,"Poor",IF(AL605&lt;=400,"Very Poor","Severe"))))))</f>
        <v>Moderate</v>
      </c>
    </row>
    <row r="606" customFormat="false" ht="15.75" hidden="false" customHeight="false" outlineLevel="0" collapsed="false">
      <c r="A606" s="1" t="s">
        <v>39</v>
      </c>
      <c r="B606" s="1" t="s">
        <v>40</v>
      </c>
      <c r="C606" s="1" t="n">
        <v>28.4595</v>
      </c>
      <c r="D606" s="1" t="n">
        <v>77.0266</v>
      </c>
      <c r="E606" s="5" t="n">
        <v>45926</v>
      </c>
      <c r="F606" s="6" t="s">
        <v>53</v>
      </c>
      <c r="G606" s="1" t="n">
        <v>9</v>
      </c>
      <c r="H606" s="7" t="s">
        <v>85</v>
      </c>
      <c r="I606" s="6" t="s">
        <v>43</v>
      </c>
      <c r="J606" s="7" t="s">
        <v>44</v>
      </c>
      <c r="K606" s="7" t="s">
        <v>45</v>
      </c>
      <c r="L606" s="1" t="n">
        <v>84</v>
      </c>
      <c r="M606" s="1" t="n">
        <v>21</v>
      </c>
      <c r="N606" s="1" t="n">
        <v>11.2</v>
      </c>
      <c r="O606" s="1" t="n">
        <v>0</v>
      </c>
      <c r="P606" s="6" t="s">
        <v>43</v>
      </c>
      <c r="Q606" s="6" t="s">
        <v>43</v>
      </c>
      <c r="R606" s="1" t="n">
        <v>1005.1</v>
      </c>
      <c r="S606" s="1" t="n">
        <v>0</v>
      </c>
      <c r="T606" s="1" t="n">
        <v>40.4</v>
      </c>
      <c r="U606" s="1" t="n">
        <v>106.9</v>
      </c>
      <c r="V606" s="1" t="n">
        <v>420</v>
      </c>
      <c r="W606" s="1" t="n">
        <v>36</v>
      </c>
      <c r="X606" s="1" t="n">
        <v>20.2</v>
      </c>
      <c r="Y606" s="1" t="n">
        <v>36</v>
      </c>
      <c r="Z606" s="1" t="n">
        <v>124</v>
      </c>
      <c r="AA606" s="1" t="n">
        <v>156</v>
      </c>
      <c r="AB606" s="7" t="s">
        <v>81</v>
      </c>
      <c r="AC606" s="7" t="s">
        <v>48</v>
      </c>
      <c r="AD606" s="6" t="s">
        <v>43</v>
      </c>
      <c r="AE606" s="6" t="s">
        <v>43</v>
      </c>
      <c r="AF606" s="4" t="n">
        <f aca="false">IF(T606="","",IF(T606&lt;=30,(50/30)*T606,IF(T606&lt;=60,50+((100-50)/(60-30))*(T606-30),IF(T606&lt;=90,100+((200-100)/(90-60))*(T606-60),IF(T606&lt;=120,200+((300-200)/(120-90))*(T606-90),IF(T606&lt;=250,300+((400-300)/(250-120))*(T606-120),IF(T606&lt;=380,400+((500-400)/(380-250))*(T606-250),500)))))))</f>
        <v>67.3333333333333</v>
      </c>
      <c r="AG606" s="4" t="n">
        <f aca="false">IF(U606="","",IF(U606&lt;=50,(50/50)*U606,IF(U606&lt;=100,50+((100-50)/(100-50))*(U606-50),IF(U606&lt;=250,100+((200-100)/(250-100))*(U606-100),IF(U606&lt;=350,200+((300-200)/(350-250))*(U606-250),IF(U606&lt;=430,300+((400-300)/(430-350))*(U606-350),IF(U606&lt;=600,400+((500-400)/(600-430))*(U606-430),500)))))))</f>
        <v>104.6</v>
      </c>
      <c r="AH606" s="4" t="n">
        <f aca="false">IF(V606="","",IF((V606/1000)&lt;=1,(50/1)*(V606/1000),IF((V606/1000)&lt;=2,50+((100-50)/(2-1))*(V606/1000-1),IF((V606/1000)&lt;=10,100+((200-100)/(10-2))*(V606/1000-2),IF((V606/1000)&lt;=17,200+((300-200)/(17-10))*(V606/1000-10),IF((V606/1000)&lt;=34,300+((400-300)/(34-17))*(V606/1000-17),IF((V606/1000)&lt;=57,400+((500-400)/(57-34))*(V606/1000-34),500)))))))</f>
        <v>21</v>
      </c>
      <c r="AI606" s="4" t="n">
        <f aca="false">IF(W606="","",IF(W606&lt;=40,(50/40)*W606,IF(W606&lt;=80,50+((100-50)/(80-40))*(W606-40),IF(W606&lt;=180,100+((200-100)/(180-80))*(W606-80),IF(W606&lt;=280,200+((300-200)/(280-180))*(W606-180),IF(W606&lt;=400,300+((400-300)/(400-280))*(W606-280),IF(W606&lt;=800,400+((500-400)/(800-400))*(W606-400),500)))))))</f>
        <v>45</v>
      </c>
      <c r="AJ606" s="4" t="n">
        <f aca="false">IF(X606="","",IF(X606&lt;=40,(50/40)*X606,IF(X606&lt;=80,50+((100-50)/(80-40))*(X606-40),IF(X606&lt;=380,100+((200-100)/(380-80))*(X606-80),IF(X606&lt;=800,200+((300-200)/(800-380))*(X606-380),IF(X606&lt;=1600,300+((400-300)/(1600-800))*(X606-800),IF(X606&lt;=2100,400+((500-400)/(2100-1600))*(X606-1600),500)))))))</f>
        <v>25.25</v>
      </c>
      <c r="AK606" s="4" t="n">
        <f aca="false">IF(Y606="","",IF(Y606&lt;=50,(50/50)*Y606,IF(Y606&lt;=100,50+((100-50)/(100-50))*(Y606-50),IF(Y606&lt;=168,100+((200-100)/(168-100))*(Y606-100),IF(Y606&lt;=208,200+((300-200)/(208-168))*(Y606-168),IF(Y606&lt;=748,300+((400-300)/(748-208))*(Y606-208),IF(Y606&lt;=1000,400+((500-400)/(1000-748))*(Y606-748),500)))))))</f>
        <v>36</v>
      </c>
      <c r="AL606" s="4" t="n">
        <f aca="false">ROUND(MAX(AF606,AG606,AH606,AI606,AJ606,AK606),0)</f>
        <v>105</v>
      </c>
      <c r="AM606" s="4" t="str">
        <f aca="false">IF(AL606="","",IF(AL606&lt;=50,"Good",IF(AL606&lt;=100,"Satisfactory",IF(AL606&lt;=200,"Moderate",IF(AL606&lt;=300,"Poor",IF(AL606&lt;=400,"Very Poor","Severe"))))))</f>
        <v>Moderate</v>
      </c>
    </row>
    <row r="607" customFormat="false" ht="15.75" hidden="false" customHeight="false" outlineLevel="0" collapsed="false">
      <c r="A607" s="1" t="s">
        <v>39</v>
      </c>
      <c r="B607" s="1" t="s">
        <v>40</v>
      </c>
      <c r="C607" s="1" t="n">
        <v>28.4595</v>
      </c>
      <c r="D607" s="1" t="n">
        <v>77.0266</v>
      </c>
      <c r="E607" s="5" t="n">
        <v>45926</v>
      </c>
      <c r="F607" s="6" t="s">
        <v>54</v>
      </c>
      <c r="G607" s="1" t="n">
        <v>9</v>
      </c>
      <c r="H607" s="7" t="s">
        <v>85</v>
      </c>
      <c r="I607" s="6" t="s">
        <v>43</v>
      </c>
      <c r="J607" s="7" t="s">
        <v>44</v>
      </c>
      <c r="K607" s="7" t="s">
        <v>45</v>
      </c>
      <c r="L607" s="1" t="n">
        <v>86</v>
      </c>
      <c r="M607" s="1" t="n">
        <v>21</v>
      </c>
      <c r="N607" s="1" t="n">
        <v>11.5</v>
      </c>
      <c r="O607" s="1" t="n">
        <v>0</v>
      </c>
      <c r="P607" s="6" t="s">
        <v>43</v>
      </c>
      <c r="Q607" s="6" t="s">
        <v>43</v>
      </c>
      <c r="R607" s="1" t="n">
        <v>1005.7</v>
      </c>
      <c r="S607" s="1" t="n">
        <v>0</v>
      </c>
      <c r="T607" s="1" t="n">
        <v>34</v>
      </c>
      <c r="U607" s="1" t="n">
        <v>89.9</v>
      </c>
      <c r="V607" s="1" t="n">
        <v>456</v>
      </c>
      <c r="W607" s="1" t="n">
        <v>27.9</v>
      </c>
      <c r="X607" s="1" t="n">
        <v>20.3</v>
      </c>
      <c r="Y607" s="1" t="n">
        <v>50</v>
      </c>
      <c r="Z607" s="1" t="n">
        <v>105</v>
      </c>
      <c r="AA607" s="1" t="n">
        <v>154</v>
      </c>
      <c r="AB607" s="7" t="s">
        <v>81</v>
      </c>
      <c r="AC607" s="7" t="s">
        <v>48</v>
      </c>
      <c r="AD607" s="6" t="s">
        <v>43</v>
      </c>
      <c r="AE607" s="6" t="s">
        <v>43</v>
      </c>
      <c r="AF607" s="4" t="n">
        <f aca="false">IF(T607="","",IF(T607&lt;=30,(50/30)*T607,IF(T607&lt;=60,50+((100-50)/(60-30))*(T607-30),IF(T607&lt;=90,100+((200-100)/(90-60))*(T607-60),IF(T607&lt;=120,200+((300-200)/(120-90))*(T607-90),IF(T607&lt;=250,300+((400-300)/(250-120))*(T607-120),IF(T607&lt;=380,400+((500-400)/(380-250))*(T607-250),500)))))))</f>
        <v>56.6666666666667</v>
      </c>
      <c r="AG607" s="4" t="n">
        <f aca="false">IF(U607="","",IF(U607&lt;=50,(50/50)*U607,IF(U607&lt;=100,50+((100-50)/(100-50))*(U607-50),IF(U607&lt;=250,100+((200-100)/(250-100))*(U607-100),IF(U607&lt;=350,200+((300-200)/(350-250))*(U607-250),IF(U607&lt;=430,300+((400-300)/(430-350))*(U607-350),IF(U607&lt;=600,400+((500-400)/(600-430))*(U607-430),500)))))))</f>
        <v>89.9</v>
      </c>
      <c r="AH607" s="4" t="n">
        <f aca="false">IF(V607="","",IF((V607/1000)&lt;=1,(50/1)*(V607/1000),IF((V607/1000)&lt;=2,50+((100-50)/(2-1))*(V607/1000-1),IF((V607/1000)&lt;=10,100+((200-100)/(10-2))*(V607/1000-2),IF((V607/1000)&lt;=17,200+((300-200)/(17-10))*(V607/1000-10),IF((V607/1000)&lt;=34,300+((400-300)/(34-17))*(V607/1000-17),IF((V607/1000)&lt;=57,400+((500-400)/(57-34))*(V607/1000-34),500)))))))</f>
        <v>22.8</v>
      </c>
      <c r="AI607" s="4" t="n">
        <f aca="false">IF(W607="","",IF(W607&lt;=40,(50/40)*W607,IF(W607&lt;=80,50+((100-50)/(80-40))*(W607-40),IF(W607&lt;=180,100+((200-100)/(180-80))*(W607-80),IF(W607&lt;=280,200+((300-200)/(280-180))*(W607-180),IF(W607&lt;=400,300+((400-300)/(400-280))*(W607-280),IF(W607&lt;=800,400+((500-400)/(800-400))*(W607-400),500)))))))</f>
        <v>34.875</v>
      </c>
      <c r="AJ607" s="4" t="n">
        <f aca="false">IF(X607="","",IF(X607&lt;=40,(50/40)*X607,IF(X607&lt;=80,50+((100-50)/(80-40))*(X607-40),IF(X607&lt;=380,100+((200-100)/(380-80))*(X607-80),IF(X607&lt;=800,200+((300-200)/(800-380))*(X607-380),IF(X607&lt;=1600,300+((400-300)/(1600-800))*(X607-800),IF(X607&lt;=2100,400+((500-400)/(2100-1600))*(X607-1600),500)))))))</f>
        <v>25.375</v>
      </c>
      <c r="AK607" s="4" t="n">
        <f aca="false">IF(Y607="","",IF(Y607&lt;=50,(50/50)*Y607,IF(Y607&lt;=100,50+((100-50)/(100-50))*(Y607-50),IF(Y607&lt;=168,100+((200-100)/(168-100))*(Y607-100),IF(Y607&lt;=208,200+((300-200)/(208-168))*(Y607-168),IF(Y607&lt;=748,300+((400-300)/(748-208))*(Y607-208),IF(Y607&lt;=1000,400+((500-400)/(1000-748))*(Y607-748),500)))))))</f>
        <v>50</v>
      </c>
      <c r="AL607" s="4" t="n">
        <f aca="false">ROUND(MAX(AF607,AG607,AH607,AI607,AJ607,AK607),0)</f>
        <v>90</v>
      </c>
      <c r="AM607" s="4" t="str">
        <f aca="false">IF(AL607="","",IF(AL607&lt;=50,"Good",IF(AL607&lt;=100,"Satisfactory",IF(AL607&lt;=200,"Moderate",IF(AL607&lt;=300,"Poor",IF(AL607&lt;=400,"Very Poor","Severe"))))))</f>
        <v>Satisfactory</v>
      </c>
    </row>
    <row r="608" customFormat="false" ht="15.75" hidden="false" customHeight="false" outlineLevel="0" collapsed="false">
      <c r="A608" s="1" t="s">
        <v>39</v>
      </c>
      <c r="B608" s="1" t="s">
        <v>40</v>
      </c>
      <c r="C608" s="1" t="n">
        <v>28.4595</v>
      </c>
      <c r="D608" s="1" t="n">
        <v>77.0266</v>
      </c>
      <c r="E608" s="5" t="n">
        <v>45926</v>
      </c>
      <c r="F608" s="6" t="s">
        <v>55</v>
      </c>
      <c r="G608" s="1" t="n">
        <v>9</v>
      </c>
      <c r="H608" s="7" t="s">
        <v>85</v>
      </c>
      <c r="I608" s="6" t="s">
        <v>43</v>
      </c>
      <c r="J608" s="7" t="s">
        <v>44</v>
      </c>
      <c r="K608" s="7" t="s">
        <v>56</v>
      </c>
      <c r="L608" s="1" t="n">
        <v>89</v>
      </c>
      <c r="M608" s="1" t="n">
        <v>22.4</v>
      </c>
      <c r="N608" s="1" t="n">
        <v>15.5</v>
      </c>
      <c r="O608" s="1" t="n">
        <v>0</v>
      </c>
      <c r="P608" s="6" t="s">
        <v>43</v>
      </c>
      <c r="Q608" s="6" t="s">
        <v>43</v>
      </c>
      <c r="R608" s="1" t="n">
        <v>1006.4</v>
      </c>
      <c r="S608" s="1" t="n">
        <v>0</v>
      </c>
      <c r="T608" s="1" t="n">
        <v>36.9</v>
      </c>
      <c r="U608" s="1" t="n">
        <v>102</v>
      </c>
      <c r="V608" s="1" t="n">
        <v>520</v>
      </c>
      <c r="W608" s="1" t="n">
        <v>29.8</v>
      </c>
      <c r="X608" s="1" t="n">
        <v>20.7</v>
      </c>
      <c r="Y608" s="1" t="n">
        <v>51</v>
      </c>
      <c r="Z608" s="1" t="n">
        <v>143</v>
      </c>
      <c r="AA608" s="1" t="n">
        <v>150</v>
      </c>
      <c r="AB608" s="7" t="s">
        <v>81</v>
      </c>
      <c r="AC608" s="7" t="s">
        <v>82</v>
      </c>
      <c r="AD608" s="7" t="s">
        <v>83</v>
      </c>
      <c r="AE608" s="7" t="s">
        <v>84</v>
      </c>
      <c r="AF608" s="4" t="n">
        <f aca="false">IF(T608="","",IF(T608&lt;=30,(50/30)*T608,IF(T608&lt;=60,50+((100-50)/(60-30))*(T608-30),IF(T608&lt;=90,100+((200-100)/(90-60))*(T608-60),IF(T608&lt;=120,200+((300-200)/(120-90))*(T608-90),IF(T608&lt;=250,300+((400-300)/(250-120))*(T608-120),IF(T608&lt;=380,400+((500-400)/(380-250))*(T608-250),500)))))))</f>
        <v>61.5</v>
      </c>
      <c r="AG608" s="4" t="n">
        <f aca="false">IF(U608="","",IF(U608&lt;=50,(50/50)*U608,IF(U608&lt;=100,50+((100-50)/(100-50))*(U608-50),IF(U608&lt;=250,100+((200-100)/(250-100))*(U608-100),IF(U608&lt;=350,200+((300-200)/(350-250))*(U608-250),IF(U608&lt;=430,300+((400-300)/(430-350))*(U608-350),IF(U608&lt;=600,400+((500-400)/(600-430))*(U608-430),500)))))))</f>
        <v>101.333333333333</v>
      </c>
      <c r="AH608" s="4" t="n">
        <f aca="false">IF(V608="","",IF((V608/1000)&lt;=1,(50/1)*(V608/1000),IF((V608/1000)&lt;=2,50+((100-50)/(2-1))*(V608/1000-1),IF((V608/1000)&lt;=10,100+((200-100)/(10-2))*(V608/1000-2),IF((V608/1000)&lt;=17,200+((300-200)/(17-10))*(V608/1000-10),IF((V608/1000)&lt;=34,300+((400-300)/(34-17))*(V608/1000-17),IF((V608/1000)&lt;=57,400+((500-400)/(57-34))*(V608/1000-34),500)))))))</f>
        <v>26</v>
      </c>
      <c r="AI608" s="4" t="n">
        <f aca="false">IF(W608="","",IF(W608&lt;=40,(50/40)*W608,IF(W608&lt;=80,50+((100-50)/(80-40))*(W608-40),IF(W608&lt;=180,100+((200-100)/(180-80))*(W608-80),IF(W608&lt;=280,200+((300-200)/(280-180))*(W608-180),IF(W608&lt;=400,300+((400-300)/(400-280))*(W608-280),IF(W608&lt;=800,400+((500-400)/(800-400))*(W608-400),500)))))))</f>
        <v>37.25</v>
      </c>
      <c r="AJ608" s="4" t="n">
        <f aca="false">IF(X608="","",IF(X608&lt;=40,(50/40)*X608,IF(X608&lt;=80,50+((100-50)/(80-40))*(X608-40),IF(X608&lt;=380,100+((200-100)/(380-80))*(X608-80),IF(X608&lt;=800,200+((300-200)/(800-380))*(X608-380),IF(X608&lt;=1600,300+((400-300)/(1600-800))*(X608-800),IF(X608&lt;=2100,400+((500-400)/(2100-1600))*(X608-1600),500)))))))</f>
        <v>25.875</v>
      </c>
      <c r="AK608" s="4" t="n">
        <f aca="false">IF(Y608="","",IF(Y608&lt;=50,(50/50)*Y608,IF(Y608&lt;=100,50+((100-50)/(100-50))*(Y608-50),IF(Y608&lt;=168,100+((200-100)/(168-100))*(Y608-100),IF(Y608&lt;=208,200+((300-200)/(208-168))*(Y608-168),IF(Y608&lt;=748,300+((400-300)/(748-208))*(Y608-208),IF(Y608&lt;=1000,400+((500-400)/(1000-748))*(Y608-748),500)))))))</f>
        <v>51</v>
      </c>
      <c r="AL608" s="4" t="n">
        <f aca="false">ROUND(MAX(AF608,AG608,AH608,AI608,AJ608,AK608),0)</f>
        <v>101</v>
      </c>
      <c r="AM608" s="4" t="str">
        <f aca="false">IF(AL608="","",IF(AL608&lt;=50,"Good",IF(AL608&lt;=100,"Satisfactory",IF(AL608&lt;=200,"Moderate",IF(AL608&lt;=300,"Poor",IF(AL608&lt;=400,"Very Poor","Severe"))))))</f>
        <v>Moderate</v>
      </c>
    </row>
    <row r="609" customFormat="false" ht="15.75" hidden="false" customHeight="false" outlineLevel="0" collapsed="false">
      <c r="A609" s="1" t="s">
        <v>39</v>
      </c>
      <c r="B609" s="1" t="s">
        <v>40</v>
      </c>
      <c r="C609" s="1" t="n">
        <v>28.4595</v>
      </c>
      <c r="D609" s="1" t="n">
        <v>77.0266</v>
      </c>
      <c r="E609" s="5" t="n">
        <v>45926</v>
      </c>
      <c r="F609" s="6" t="s">
        <v>57</v>
      </c>
      <c r="G609" s="1" t="n">
        <v>9</v>
      </c>
      <c r="H609" s="7" t="s">
        <v>85</v>
      </c>
      <c r="I609" s="6" t="s">
        <v>43</v>
      </c>
      <c r="J609" s="7" t="s">
        <v>44</v>
      </c>
      <c r="K609" s="7" t="s">
        <v>56</v>
      </c>
      <c r="L609" s="1" t="n">
        <v>83</v>
      </c>
      <c r="M609" s="1" t="n">
        <v>22.5</v>
      </c>
      <c r="N609" s="1" t="n">
        <v>14.4</v>
      </c>
      <c r="O609" s="1" t="n">
        <v>0</v>
      </c>
      <c r="P609" s="6" t="s">
        <v>43</v>
      </c>
      <c r="Q609" s="6" t="s">
        <v>43</v>
      </c>
      <c r="R609" s="1" t="n">
        <v>1007.1</v>
      </c>
      <c r="S609" s="1" t="n">
        <v>0</v>
      </c>
      <c r="T609" s="1" t="n">
        <v>45.9</v>
      </c>
      <c r="U609" s="1" t="n">
        <v>155.1</v>
      </c>
      <c r="V609" s="1" t="n">
        <v>592</v>
      </c>
      <c r="W609" s="1" t="n">
        <v>32.1</v>
      </c>
      <c r="X609" s="1" t="n">
        <v>21.2</v>
      </c>
      <c r="Y609" s="1" t="n">
        <v>53</v>
      </c>
      <c r="Z609" s="1" t="n">
        <v>196</v>
      </c>
      <c r="AA609" s="1" t="n">
        <v>147</v>
      </c>
      <c r="AB609" s="7" t="s">
        <v>81</v>
      </c>
      <c r="AC609" s="7" t="s">
        <v>82</v>
      </c>
      <c r="AD609" s="7" t="s">
        <v>83</v>
      </c>
      <c r="AE609" s="7" t="s">
        <v>84</v>
      </c>
      <c r="AF609" s="4" t="n">
        <f aca="false">IF(T609="","",IF(T609&lt;=30,(50/30)*T609,IF(T609&lt;=60,50+((100-50)/(60-30))*(T609-30),IF(T609&lt;=90,100+((200-100)/(90-60))*(T609-60),IF(T609&lt;=120,200+((300-200)/(120-90))*(T609-90),IF(T609&lt;=250,300+((400-300)/(250-120))*(T609-120),IF(T609&lt;=380,400+((500-400)/(380-250))*(T609-250),500)))))))</f>
        <v>76.5</v>
      </c>
      <c r="AG609" s="4" t="n">
        <f aca="false">IF(U609="","",IF(U609&lt;=50,(50/50)*U609,IF(U609&lt;=100,50+((100-50)/(100-50))*(U609-50),IF(U609&lt;=250,100+((200-100)/(250-100))*(U609-100),IF(U609&lt;=350,200+((300-200)/(350-250))*(U609-250),IF(U609&lt;=430,300+((400-300)/(430-350))*(U609-350),IF(U609&lt;=600,400+((500-400)/(600-430))*(U609-430),500)))))))</f>
        <v>136.733333333333</v>
      </c>
      <c r="AH609" s="4" t="n">
        <f aca="false">IF(V609="","",IF((V609/1000)&lt;=1,(50/1)*(V609/1000),IF((V609/1000)&lt;=2,50+((100-50)/(2-1))*(V609/1000-1),IF((V609/1000)&lt;=10,100+((200-100)/(10-2))*(V609/1000-2),IF((V609/1000)&lt;=17,200+((300-200)/(17-10))*(V609/1000-10),IF((V609/1000)&lt;=34,300+((400-300)/(34-17))*(V609/1000-17),IF((V609/1000)&lt;=57,400+((500-400)/(57-34))*(V609/1000-34),500)))))))</f>
        <v>29.6</v>
      </c>
      <c r="AI609" s="4" t="n">
        <f aca="false">IF(W609="","",IF(W609&lt;=40,(50/40)*W609,IF(W609&lt;=80,50+((100-50)/(80-40))*(W609-40),IF(W609&lt;=180,100+((200-100)/(180-80))*(W609-80),IF(W609&lt;=280,200+((300-200)/(280-180))*(W609-180),IF(W609&lt;=400,300+((400-300)/(400-280))*(W609-280),IF(W609&lt;=800,400+((500-400)/(800-400))*(W609-400),500)))))))</f>
        <v>40.125</v>
      </c>
      <c r="AJ609" s="4" t="n">
        <f aca="false">IF(X609="","",IF(X609&lt;=40,(50/40)*X609,IF(X609&lt;=80,50+((100-50)/(80-40))*(X609-40),IF(X609&lt;=380,100+((200-100)/(380-80))*(X609-80),IF(X609&lt;=800,200+((300-200)/(800-380))*(X609-380),IF(X609&lt;=1600,300+((400-300)/(1600-800))*(X609-800),IF(X609&lt;=2100,400+((500-400)/(2100-1600))*(X609-1600),500)))))))</f>
        <v>26.5</v>
      </c>
      <c r="AK609" s="4" t="n">
        <f aca="false">IF(Y609="","",IF(Y609&lt;=50,(50/50)*Y609,IF(Y609&lt;=100,50+((100-50)/(100-50))*(Y609-50),IF(Y609&lt;=168,100+((200-100)/(168-100))*(Y609-100),IF(Y609&lt;=208,200+((300-200)/(208-168))*(Y609-168),IF(Y609&lt;=748,300+((400-300)/(748-208))*(Y609-208),IF(Y609&lt;=1000,400+((500-400)/(1000-748))*(Y609-748),500)))))))</f>
        <v>53</v>
      </c>
      <c r="AL609" s="4" t="n">
        <f aca="false">ROUND(MAX(AF609,AG609,AH609,AI609,AJ609,AK609),0)</f>
        <v>137</v>
      </c>
      <c r="AM609" s="4" t="str">
        <f aca="false">IF(AL609="","",IF(AL609&lt;=50,"Good",IF(AL609&lt;=100,"Satisfactory",IF(AL609&lt;=200,"Moderate",IF(AL609&lt;=300,"Poor",IF(AL609&lt;=400,"Very Poor","Severe"))))))</f>
        <v>Moderate</v>
      </c>
    </row>
    <row r="610" customFormat="false" ht="15.75" hidden="false" customHeight="false" outlineLevel="0" collapsed="false">
      <c r="A610" s="1" t="s">
        <v>39</v>
      </c>
      <c r="B610" s="1" t="s">
        <v>40</v>
      </c>
      <c r="C610" s="1" t="n">
        <v>28.4595</v>
      </c>
      <c r="D610" s="1" t="n">
        <v>77.0266</v>
      </c>
      <c r="E610" s="5" t="n">
        <v>45926</v>
      </c>
      <c r="F610" s="6" t="s">
        <v>58</v>
      </c>
      <c r="G610" s="1" t="n">
        <v>9</v>
      </c>
      <c r="H610" s="7" t="s">
        <v>85</v>
      </c>
      <c r="I610" s="6" t="s">
        <v>43</v>
      </c>
      <c r="J610" s="7" t="s">
        <v>44</v>
      </c>
      <c r="K610" s="7" t="s">
        <v>56</v>
      </c>
      <c r="L610" s="1" t="n">
        <v>72</v>
      </c>
      <c r="M610" s="1" t="n">
        <v>22.6</v>
      </c>
      <c r="N610" s="1" t="n">
        <v>18</v>
      </c>
      <c r="O610" s="1" t="n">
        <v>0</v>
      </c>
      <c r="P610" s="6" t="s">
        <v>43</v>
      </c>
      <c r="Q610" s="6" t="s">
        <v>43</v>
      </c>
      <c r="R610" s="1" t="n">
        <v>1007.3</v>
      </c>
      <c r="S610" s="1" t="n">
        <v>0</v>
      </c>
      <c r="T610" s="1" t="n">
        <v>47</v>
      </c>
      <c r="U610" s="1" t="n">
        <v>173.2</v>
      </c>
      <c r="V610" s="1" t="n">
        <v>605</v>
      </c>
      <c r="W610" s="1" t="n">
        <v>31.5</v>
      </c>
      <c r="X610" s="1" t="n">
        <v>21.9</v>
      </c>
      <c r="Y610" s="1" t="n">
        <v>66</v>
      </c>
      <c r="Z610" s="1" t="n">
        <v>243</v>
      </c>
      <c r="AA610" s="1" t="n">
        <v>144</v>
      </c>
      <c r="AB610" s="7" t="s">
        <v>81</v>
      </c>
      <c r="AC610" s="7" t="s">
        <v>82</v>
      </c>
      <c r="AD610" s="7" t="s">
        <v>83</v>
      </c>
      <c r="AE610" s="7" t="s">
        <v>84</v>
      </c>
      <c r="AF610" s="4" t="n">
        <f aca="false">IF(T610="","",IF(T610&lt;=30,(50/30)*T610,IF(T610&lt;=60,50+((100-50)/(60-30))*(T610-30),IF(T610&lt;=90,100+((200-100)/(90-60))*(T610-60),IF(T610&lt;=120,200+((300-200)/(120-90))*(T610-90),IF(T610&lt;=250,300+((400-300)/(250-120))*(T610-120),IF(T610&lt;=380,400+((500-400)/(380-250))*(T610-250),500)))))))</f>
        <v>78.3333333333333</v>
      </c>
      <c r="AG610" s="4" t="n">
        <f aca="false">IF(U610="","",IF(U610&lt;=50,(50/50)*U610,IF(U610&lt;=100,50+((100-50)/(100-50))*(U610-50),IF(U610&lt;=250,100+((200-100)/(250-100))*(U610-100),IF(U610&lt;=350,200+((300-200)/(350-250))*(U610-250),IF(U610&lt;=430,300+((400-300)/(430-350))*(U610-350),IF(U610&lt;=600,400+((500-400)/(600-430))*(U610-430),500)))))))</f>
        <v>148.8</v>
      </c>
      <c r="AH610" s="4" t="n">
        <f aca="false">IF(V610="","",IF((V610/1000)&lt;=1,(50/1)*(V610/1000),IF((V610/1000)&lt;=2,50+((100-50)/(2-1))*(V610/1000-1),IF((V610/1000)&lt;=10,100+((200-100)/(10-2))*(V610/1000-2),IF((V610/1000)&lt;=17,200+((300-200)/(17-10))*(V610/1000-10),IF((V610/1000)&lt;=34,300+((400-300)/(34-17))*(V610/1000-17),IF((V610/1000)&lt;=57,400+((500-400)/(57-34))*(V610/1000-34),500)))))))</f>
        <v>30.25</v>
      </c>
      <c r="AI610" s="4" t="n">
        <f aca="false">IF(W610="","",IF(W610&lt;=40,(50/40)*W610,IF(W610&lt;=80,50+((100-50)/(80-40))*(W610-40),IF(W610&lt;=180,100+((200-100)/(180-80))*(W610-80),IF(W610&lt;=280,200+((300-200)/(280-180))*(W610-180),IF(W610&lt;=400,300+((400-300)/(400-280))*(W610-280),IF(W610&lt;=800,400+((500-400)/(800-400))*(W610-400),500)))))))</f>
        <v>39.375</v>
      </c>
      <c r="AJ610" s="4" t="n">
        <f aca="false">IF(X610="","",IF(X610&lt;=40,(50/40)*X610,IF(X610&lt;=80,50+((100-50)/(80-40))*(X610-40),IF(X610&lt;=380,100+((200-100)/(380-80))*(X610-80),IF(X610&lt;=800,200+((300-200)/(800-380))*(X610-380),IF(X610&lt;=1600,300+((400-300)/(1600-800))*(X610-800),IF(X610&lt;=2100,400+((500-400)/(2100-1600))*(X610-1600),500)))))))</f>
        <v>27.375</v>
      </c>
      <c r="AK610" s="4" t="n">
        <f aca="false">IF(Y610="","",IF(Y610&lt;=50,(50/50)*Y610,IF(Y610&lt;=100,50+((100-50)/(100-50))*(Y610-50),IF(Y610&lt;=168,100+((200-100)/(168-100))*(Y610-100),IF(Y610&lt;=208,200+((300-200)/(208-168))*(Y610-168),IF(Y610&lt;=748,300+((400-300)/(748-208))*(Y610-208),IF(Y610&lt;=1000,400+((500-400)/(1000-748))*(Y610-748),500)))))))</f>
        <v>66</v>
      </c>
      <c r="AL610" s="4" t="n">
        <f aca="false">ROUND(MAX(AF610,AG610,AH610,AI610,AJ610,AK610),0)</f>
        <v>149</v>
      </c>
      <c r="AM610" s="4" t="str">
        <f aca="false">IF(AL610="","",IF(AL610&lt;=50,"Good",IF(AL610&lt;=100,"Satisfactory",IF(AL610&lt;=200,"Moderate",IF(AL610&lt;=300,"Poor",IF(AL610&lt;=400,"Very Poor","Severe"))))))</f>
        <v>Moderate</v>
      </c>
    </row>
    <row r="611" customFormat="false" ht="15.75" hidden="false" customHeight="false" outlineLevel="0" collapsed="false">
      <c r="A611" s="1" t="s">
        <v>39</v>
      </c>
      <c r="B611" s="1" t="s">
        <v>40</v>
      </c>
      <c r="C611" s="1" t="n">
        <v>28.4595</v>
      </c>
      <c r="D611" s="1" t="n">
        <v>77.0266</v>
      </c>
      <c r="E611" s="5" t="n">
        <v>45926</v>
      </c>
      <c r="F611" s="6" t="s">
        <v>59</v>
      </c>
      <c r="G611" s="1" t="n">
        <v>9</v>
      </c>
      <c r="H611" s="7" t="s">
        <v>85</v>
      </c>
      <c r="I611" s="6" t="s">
        <v>43</v>
      </c>
      <c r="J611" s="7" t="s">
        <v>44</v>
      </c>
      <c r="K611" s="7" t="s">
        <v>60</v>
      </c>
      <c r="L611" s="1" t="n">
        <v>60</v>
      </c>
      <c r="M611" s="1" t="n">
        <v>22.4</v>
      </c>
      <c r="N611" s="1" t="n">
        <v>22.7</v>
      </c>
      <c r="O611" s="1" t="n">
        <v>0</v>
      </c>
      <c r="P611" s="6" t="s">
        <v>43</v>
      </c>
      <c r="Q611" s="6" t="s">
        <v>43</v>
      </c>
      <c r="R611" s="1" t="n">
        <v>1007.4</v>
      </c>
      <c r="S611" s="1" t="n">
        <v>0</v>
      </c>
      <c r="T611" s="1" t="n">
        <v>44.4</v>
      </c>
      <c r="U611" s="1" t="n">
        <v>173.7</v>
      </c>
      <c r="V611" s="1" t="n">
        <v>503</v>
      </c>
      <c r="W611" s="1" t="n">
        <v>25.2</v>
      </c>
      <c r="X611" s="1" t="n">
        <v>23.2</v>
      </c>
      <c r="Y611" s="1" t="n">
        <v>99</v>
      </c>
      <c r="Z611" s="1" t="n">
        <v>274</v>
      </c>
      <c r="AA611" s="1" t="n">
        <v>141</v>
      </c>
      <c r="AB611" s="7" t="s">
        <v>81</v>
      </c>
      <c r="AC611" s="7" t="s">
        <v>82</v>
      </c>
      <c r="AD611" s="7" t="s">
        <v>83</v>
      </c>
      <c r="AE611" s="7" t="s">
        <v>84</v>
      </c>
      <c r="AF611" s="4" t="n">
        <f aca="false">IF(T611="","",IF(T611&lt;=30,(50/30)*T611,IF(T611&lt;=60,50+((100-50)/(60-30))*(T611-30),IF(T611&lt;=90,100+((200-100)/(90-60))*(T611-60),IF(T611&lt;=120,200+((300-200)/(120-90))*(T611-90),IF(T611&lt;=250,300+((400-300)/(250-120))*(T611-120),IF(T611&lt;=380,400+((500-400)/(380-250))*(T611-250),500)))))))</f>
        <v>74</v>
      </c>
      <c r="AG611" s="4" t="n">
        <f aca="false">IF(U611="","",IF(U611&lt;=50,(50/50)*U611,IF(U611&lt;=100,50+((100-50)/(100-50))*(U611-50),IF(U611&lt;=250,100+((200-100)/(250-100))*(U611-100),IF(U611&lt;=350,200+((300-200)/(350-250))*(U611-250),IF(U611&lt;=430,300+((400-300)/(430-350))*(U611-350),IF(U611&lt;=600,400+((500-400)/(600-430))*(U611-430),500)))))))</f>
        <v>149.133333333333</v>
      </c>
      <c r="AH611" s="4" t="n">
        <f aca="false">IF(V611="","",IF((V611/1000)&lt;=1,(50/1)*(V611/1000),IF((V611/1000)&lt;=2,50+((100-50)/(2-1))*(V611/1000-1),IF((V611/1000)&lt;=10,100+((200-100)/(10-2))*(V611/1000-2),IF((V611/1000)&lt;=17,200+((300-200)/(17-10))*(V611/1000-10),IF((V611/1000)&lt;=34,300+((400-300)/(34-17))*(V611/1000-17),IF((V611/1000)&lt;=57,400+((500-400)/(57-34))*(V611/1000-34),500)))))))</f>
        <v>25.15</v>
      </c>
      <c r="AI611" s="4" t="n">
        <f aca="false">IF(W611="","",IF(W611&lt;=40,(50/40)*W611,IF(W611&lt;=80,50+((100-50)/(80-40))*(W611-40),IF(W611&lt;=180,100+((200-100)/(180-80))*(W611-80),IF(W611&lt;=280,200+((300-200)/(280-180))*(W611-180),IF(W611&lt;=400,300+((400-300)/(400-280))*(W611-280),IF(W611&lt;=800,400+((500-400)/(800-400))*(W611-400),500)))))))</f>
        <v>31.5</v>
      </c>
      <c r="AJ611" s="4" t="n">
        <f aca="false">IF(X611="","",IF(X611&lt;=40,(50/40)*X611,IF(X611&lt;=80,50+((100-50)/(80-40))*(X611-40),IF(X611&lt;=380,100+((200-100)/(380-80))*(X611-80),IF(X611&lt;=800,200+((300-200)/(800-380))*(X611-380),IF(X611&lt;=1600,300+((400-300)/(1600-800))*(X611-800),IF(X611&lt;=2100,400+((500-400)/(2100-1600))*(X611-1600),500)))))))</f>
        <v>29</v>
      </c>
      <c r="AK611" s="4" t="n">
        <f aca="false">IF(Y611="","",IF(Y611&lt;=50,(50/50)*Y611,IF(Y611&lt;=100,50+((100-50)/(100-50))*(Y611-50),IF(Y611&lt;=168,100+((200-100)/(168-100))*(Y611-100),IF(Y611&lt;=208,200+((300-200)/(208-168))*(Y611-168),IF(Y611&lt;=748,300+((400-300)/(748-208))*(Y611-208),IF(Y611&lt;=1000,400+((500-400)/(1000-748))*(Y611-748),500)))))))</f>
        <v>99</v>
      </c>
      <c r="AL611" s="4" t="n">
        <f aca="false">ROUND(MAX(AF611,AG611,AH611,AI611,AJ611,AK611),0)</f>
        <v>149</v>
      </c>
      <c r="AM611" s="4" t="str">
        <f aca="false">IF(AL611="","",IF(AL611&lt;=50,"Good",IF(AL611&lt;=100,"Satisfactory",IF(AL611&lt;=200,"Moderate",IF(AL611&lt;=300,"Poor",IF(AL611&lt;=400,"Very Poor","Severe"))))))</f>
        <v>Moderate</v>
      </c>
    </row>
    <row r="612" customFormat="false" ht="15.75" hidden="false" customHeight="false" outlineLevel="0" collapsed="false">
      <c r="A612" s="1" t="s">
        <v>39</v>
      </c>
      <c r="B612" s="1" t="s">
        <v>40</v>
      </c>
      <c r="C612" s="1" t="n">
        <v>28.4595</v>
      </c>
      <c r="D612" s="1" t="n">
        <v>77.0266</v>
      </c>
      <c r="E612" s="5" t="n">
        <v>45926</v>
      </c>
      <c r="F612" s="6" t="s">
        <v>61</v>
      </c>
      <c r="G612" s="1" t="n">
        <v>9</v>
      </c>
      <c r="H612" s="7" t="s">
        <v>85</v>
      </c>
      <c r="I612" s="6" t="s">
        <v>43</v>
      </c>
      <c r="J612" s="7" t="s">
        <v>44</v>
      </c>
      <c r="K612" s="7" t="s">
        <v>60</v>
      </c>
      <c r="L612" s="1" t="n">
        <v>47</v>
      </c>
      <c r="M612" s="1" t="n">
        <v>20.6</v>
      </c>
      <c r="N612" s="1" t="n">
        <v>33.5</v>
      </c>
      <c r="O612" s="1" t="n">
        <v>0</v>
      </c>
      <c r="P612" s="6" t="s">
        <v>43</v>
      </c>
      <c r="Q612" s="6" t="s">
        <v>43</v>
      </c>
      <c r="R612" s="1" t="n">
        <v>1007</v>
      </c>
      <c r="S612" s="1" t="n">
        <v>0</v>
      </c>
      <c r="T612" s="1" t="n">
        <v>43.2</v>
      </c>
      <c r="U612" s="1" t="n">
        <v>188.6</v>
      </c>
      <c r="V612" s="1" t="n">
        <v>342</v>
      </c>
      <c r="W612" s="1" t="n">
        <v>15.9</v>
      </c>
      <c r="X612" s="1" t="n">
        <v>24.6</v>
      </c>
      <c r="Y612" s="1" t="n">
        <v>142</v>
      </c>
      <c r="Z612" s="1" t="n">
        <v>299</v>
      </c>
      <c r="AA612" s="1" t="n">
        <v>138</v>
      </c>
      <c r="AB612" s="7" t="s">
        <v>81</v>
      </c>
      <c r="AC612" s="7" t="s">
        <v>82</v>
      </c>
      <c r="AD612" s="7" t="s">
        <v>83</v>
      </c>
      <c r="AE612" s="7" t="s">
        <v>84</v>
      </c>
      <c r="AF612" s="4" t="n">
        <f aca="false">IF(T612="","",IF(T612&lt;=30,(50/30)*T612,IF(T612&lt;=60,50+((100-50)/(60-30))*(T612-30),IF(T612&lt;=90,100+((200-100)/(90-60))*(T612-60),IF(T612&lt;=120,200+((300-200)/(120-90))*(T612-90),IF(T612&lt;=250,300+((400-300)/(250-120))*(T612-120),IF(T612&lt;=380,400+((500-400)/(380-250))*(T612-250),500)))))))</f>
        <v>72</v>
      </c>
      <c r="AG612" s="4" t="n">
        <f aca="false">IF(U612="","",IF(U612&lt;=50,(50/50)*U612,IF(U612&lt;=100,50+((100-50)/(100-50))*(U612-50),IF(U612&lt;=250,100+((200-100)/(250-100))*(U612-100),IF(U612&lt;=350,200+((300-200)/(350-250))*(U612-250),IF(U612&lt;=430,300+((400-300)/(430-350))*(U612-350),IF(U612&lt;=600,400+((500-400)/(600-430))*(U612-430),500)))))))</f>
        <v>159.066666666667</v>
      </c>
      <c r="AH612" s="4" t="n">
        <f aca="false">IF(V612="","",IF((V612/1000)&lt;=1,(50/1)*(V612/1000),IF((V612/1000)&lt;=2,50+((100-50)/(2-1))*(V612/1000-1),IF((V612/1000)&lt;=10,100+((200-100)/(10-2))*(V612/1000-2),IF((V612/1000)&lt;=17,200+((300-200)/(17-10))*(V612/1000-10),IF((V612/1000)&lt;=34,300+((400-300)/(34-17))*(V612/1000-17),IF((V612/1000)&lt;=57,400+((500-400)/(57-34))*(V612/1000-34),500)))))))</f>
        <v>17.1</v>
      </c>
      <c r="AI612" s="4" t="n">
        <f aca="false">IF(W612="","",IF(W612&lt;=40,(50/40)*W612,IF(W612&lt;=80,50+((100-50)/(80-40))*(W612-40),IF(W612&lt;=180,100+((200-100)/(180-80))*(W612-80),IF(W612&lt;=280,200+((300-200)/(280-180))*(W612-180),IF(W612&lt;=400,300+((400-300)/(400-280))*(W612-280),IF(W612&lt;=800,400+((500-400)/(800-400))*(W612-400),500)))))))</f>
        <v>19.875</v>
      </c>
      <c r="AJ612" s="4" t="n">
        <f aca="false">IF(X612="","",IF(X612&lt;=40,(50/40)*X612,IF(X612&lt;=80,50+((100-50)/(80-40))*(X612-40),IF(X612&lt;=380,100+((200-100)/(380-80))*(X612-80),IF(X612&lt;=800,200+((300-200)/(800-380))*(X612-380),IF(X612&lt;=1600,300+((400-300)/(1600-800))*(X612-800),IF(X612&lt;=2100,400+((500-400)/(2100-1600))*(X612-1600),500)))))))</f>
        <v>30.75</v>
      </c>
      <c r="AK612" s="4" t="n">
        <f aca="false">IF(Y612="","",IF(Y612&lt;=50,(50/50)*Y612,IF(Y612&lt;=100,50+((100-50)/(100-50))*(Y612-50),IF(Y612&lt;=168,100+((200-100)/(168-100))*(Y612-100),IF(Y612&lt;=208,200+((300-200)/(208-168))*(Y612-168),IF(Y612&lt;=748,300+((400-300)/(748-208))*(Y612-208),IF(Y612&lt;=1000,400+((500-400)/(1000-748))*(Y612-748),500)))))))</f>
        <v>161.764705882353</v>
      </c>
      <c r="AL612" s="4" t="n">
        <f aca="false">ROUND(MAX(AF612,AG612,AH612,AI612,AJ612,AK612),0)</f>
        <v>162</v>
      </c>
      <c r="AM612" s="4" t="str">
        <f aca="false">IF(AL612="","",IF(AL612&lt;=50,"Good",IF(AL612&lt;=100,"Satisfactory",IF(AL612&lt;=200,"Moderate",IF(AL612&lt;=300,"Poor",IF(AL612&lt;=400,"Very Poor","Severe"))))))</f>
        <v>Moderate</v>
      </c>
    </row>
    <row r="613" customFormat="false" ht="15.75" hidden="false" customHeight="false" outlineLevel="0" collapsed="false">
      <c r="A613" s="1" t="s">
        <v>39</v>
      </c>
      <c r="B613" s="1" t="s">
        <v>40</v>
      </c>
      <c r="C613" s="1" t="n">
        <v>28.4595</v>
      </c>
      <c r="D613" s="1" t="n">
        <v>77.0266</v>
      </c>
      <c r="E613" s="5" t="n">
        <v>45926</v>
      </c>
      <c r="F613" s="6" t="s">
        <v>62</v>
      </c>
      <c r="G613" s="1" t="n">
        <v>9</v>
      </c>
      <c r="H613" s="7" t="s">
        <v>85</v>
      </c>
      <c r="I613" s="6" t="s">
        <v>43</v>
      </c>
      <c r="J613" s="7" t="s">
        <v>44</v>
      </c>
      <c r="K613" s="7" t="s">
        <v>60</v>
      </c>
      <c r="L613" s="1" t="n">
        <v>41</v>
      </c>
      <c r="M613" s="1" t="n">
        <v>19.4</v>
      </c>
      <c r="N613" s="1" t="n">
        <v>39.2</v>
      </c>
      <c r="O613" s="1" t="n">
        <v>0</v>
      </c>
      <c r="P613" s="6" t="s">
        <v>43</v>
      </c>
      <c r="Q613" s="6" t="s">
        <v>43</v>
      </c>
      <c r="R613" s="1" t="n">
        <v>1006.4</v>
      </c>
      <c r="S613" s="1" t="n">
        <v>0</v>
      </c>
      <c r="T613" s="1" t="n">
        <v>42.5</v>
      </c>
      <c r="U613" s="1" t="n">
        <v>207.7</v>
      </c>
      <c r="V613" s="1" t="n">
        <v>226</v>
      </c>
      <c r="W613" s="1" t="n">
        <v>8.8</v>
      </c>
      <c r="X613" s="1" t="n">
        <v>25</v>
      </c>
      <c r="Y613" s="1" t="n">
        <v>174</v>
      </c>
      <c r="Z613" s="1" t="n">
        <v>323</v>
      </c>
      <c r="AA613" s="1" t="n">
        <v>136</v>
      </c>
      <c r="AB613" s="7" t="s">
        <v>81</v>
      </c>
      <c r="AC613" s="7" t="s">
        <v>82</v>
      </c>
      <c r="AD613" s="7" t="s">
        <v>83</v>
      </c>
      <c r="AE613" s="7" t="s">
        <v>84</v>
      </c>
      <c r="AF613" s="4" t="n">
        <f aca="false">IF(T613="","",IF(T613&lt;=30,(50/30)*T613,IF(T613&lt;=60,50+((100-50)/(60-30))*(T613-30),IF(T613&lt;=90,100+((200-100)/(90-60))*(T613-60),IF(T613&lt;=120,200+((300-200)/(120-90))*(T613-90),IF(T613&lt;=250,300+((400-300)/(250-120))*(T613-120),IF(T613&lt;=380,400+((500-400)/(380-250))*(T613-250),500)))))))</f>
        <v>70.8333333333333</v>
      </c>
      <c r="AG613" s="4" t="n">
        <f aca="false">IF(U613="","",IF(U613&lt;=50,(50/50)*U613,IF(U613&lt;=100,50+((100-50)/(100-50))*(U613-50),IF(U613&lt;=250,100+((200-100)/(250-100))*(U613-100),IF(U613&lt;=350,200+((300-200)/(350-250))*(U613-250),IF(U613&lt;=430,300+((400-300)/(430-350))*(U613-350),IF(U613&lt;=600,400+((500-400)/(600-430))*(U613-430),500)))))))</f>
        <v>171.8</v>
      </c>
      <c r="AH613" s="4" t="n">
        <f aca="false">IF(V613="","",IF((V613/1000)&lt;=1,(50/1)*(V613/1000),IF((V613/1000)&lt;=2,50+((100-50)/(2-1))*(V613/1000-1),IF((V613/1000)&lt;=10,100+((200-100)/(10-2))*(V613/1000-2),IF((V613/1000)&lt;=17,200+((300-200)/(17-10))*(V613/1000-10),IF((V613/1000)&lt;=34,300+((400-300)/(34-17))*(V613/1000-17),IF((V613/1000)&lt;=57,400+((500-400)/(57-34))*(V613/1000-34),500)))))))</f>
        <v>11.3</v>
      </c>
      <c r="AI613" s="4" t="n">
        <f aca="false">IF(W613="","",IF(W613&lt;=40,(50/40)*W613,IF(W613&lt;=80,50+((100-50)/(80-40))*(W613-40),IF(W613&lt;=180,100+((200-100)/(180-80))*(W613-80),IF(W613&lt;=280,200+((300-200)/(280-180))*(W613-180),IF(W613&lt;=400,300+((400-300)/(400-280))*(W613-280),IF(W613&lt;=800,400+((500-400)/(800-400))*(W613-400),500)))))))</f>
        <v>11</v>
      </c>
      <c r="AJ613" s="4" t="n">
        <f aca="false">IF(X613="","",IF(X613&lt;=40,(50/40)*X613,IF(X613&lt;=80,50+((100-50)/(80-40))*(X613-40),IF(X613&lt;=380,100+((200-100)/(380-80))*(X613-80),IF(X613&lt;=800,200+((300-200)/(800-380))*(X613-380),IF(X613&lt;=1600,300+((400-300)/(1600-800))*(X613-800),IF(X613&lt;=2100,400+((500-400)/(2100-1600))*(X613-1600),500)))))))</f>
        <v>31.25</v>
      </c>
      <c r="AK613" s="4" t="n">
        <f aca="false">IF(Y613="","",IF(Y613&lt;=50,(50/50)*Y613,IF(Y613&lt;=100,50+((100-50)/(100-50))*(Y613-50),IF(Y613&lt;=168,100+((200-100)/(168-100))*(Y613-100),IF(Y613&lt;=208,200+((300-200)/(208-168))*(Y613-168),IF(Y613&lt;=748,300+((400-300)/(748-208))*(Y613-208),IF(Y613&lt;=1000,400+((500-400)/(1000-748))*(Y613-748),500)))))))</f>
        <v>215</v>
      </c>
      <c r="AL613" s="4" t="n">
        <f aca="false">ROUND(MAX(AF613,AG613,AH613,AI613,AJ613,AK613),0)</f>
        <v>215</v>
      </c>
      <c r="AM613" s="4" t="str">
        <f aca="false">IF(AL613="","",IF(AL613&lt;=50,"Good",IF(AL613&lt;=100,"Satisfactory",IF(AL613&lt;=200,"Moderate",IF(AL613&lt;=300,"Poor",IF(AL613&lt;=400,"Very Poor","Severe"))))))</f>
        <v>Poor</v>
      </c>
    </row>
    <row r="614" customFormat="false" ht="15.75" hidden="false" customHeight="false" outlineLevel="0" collapsed="false">
      <c r="A614" s="1" t="s">
        <v>39</v>
      </c>
      <c r="B614" s="1" t="s">
        <v>40</v>
      </c>
      <c r="C614" s="1" t="n">
        <v>28.4595</v>
      </c>
      <c r="D614" s="1" t="n">
        <v>77.0266</v>
      </c>
      <c r="E614" s="5" t="n">
        <v>45926</v>
      </c>
      <c r="F614" s="6" t="s">
        <v>63</v>
      </c>
      <c r="G614" s="1" t="n">
        <v>9</v>
      </c>
      <c r="H614" s="7" t="s">
        <v>85</v>
      </c>
      <c r="I614" s="6" t="s">
        <v>43</v>
      </c>
      <c r="J614" s="7" t="s">
        <v>44</v>
      </c>
      <c r="K614" s="7" t="s">
        <v>60</v>
      </c>
      <c r="L614" s="1" t="n">
        <v>40</v>
      </c>
      <c r="M614" s="1" t="n">
        <v>19.6</v>
      </c>
      <c r="N614" s="1" t="n">
        <v>39.6</v>
      </c>
      <c r="O614" s="1" t="n">
        <v>0</v>
      </c>
      <c r="P614" s="6" t="s">
        <v>43</v>
      </c>
      <c r="Q614" s="6" t="s">
        <v>43</v>
      </c>
      <c r="R614" s="1" t="n">
        <v>1005.5</v>
      </c>
      <c r="S614" s="1" t="n">
        <v>0</v>
      </c>
      <c r="T614" s="1" t="n">
        <v>43</v>
      </c>
      <c r="U614" s="1" t="n">
        <v>232.8</v>
      </c>
      <c r="V614" s="1" t="n">
        <v>201</v>
      </c>
      <c r="W614" s="1" t="n">
        <v>5.6</v>
      </c>
      <c r="X614" s="1" t="n">
        <v>23.2</v>
      </c>
      <c r="Y614" s="1" t="n">
        <v>185</v>
      </c>
      <c r="Z614" s="1" t="n">
        <v>348</v>
      </c>
      <c r="AA614" s="1" t="n">
        <v>134</v>
      </c>
      <c r="AB614" s="7" t="s">
        <v>81</v>
      </c>
      <c r="AC614" s="7" t="s">
        <v>82</v>
      </c>
      <c r="AD614" s="7" t="s">
        <v>83</v>
      </c>
      <c r="AE614" s="7" t="s">
        <v>84</v>
      </c>
      <c r="AF614" s="4" t="n">
        <f aca="false">IF(T614="","",IF(T614&lt;=30,(50/30)*T614,IF(T614&lt;=60,50+((100-50)/(60-30))*(T614-30),IF(T614&lt;=90,100+((200-100)/(90-60))*(T614-60),IF(T614&lt;=120,200+((300-200)/(120-90))*(T614-90),IF(T614&lt;=250,300+((400-300)/(250-120))*(T614-120),IF(T614&lt;=380,400+((500-400)/(380-250))*(T614-250),500)))))))</f>
        <v>71.6666666666667</v>
      </c>
      <c r="AG614" s="4" t="n">
        <f aca="false">IF(U614="","",IF(U614&lt;=50,(50/50)*U614,IF(U614&lt;=100,50+((100-50)/(100-50))*(U614-50),IF(U614&lt;=250,100+((200-100)/(250-100))*(U614-100),IF(U614&lt;=350,200+((300-200)/(350-250))*(U614-250),IF(U614&lt;=430,300+((400-300)/(430-350))*(U614-350),IF(U614&lt;=600,400+((500-400)/(600-430))*(U614-430),500)))))))</f>
        <v>188.533333333333</v>
      </c>
      <c r="AH614" s="4" t="n">
        <f aca="false">IF(V614="","",IF((V614/1000)&lt;=1,(50/1)*(V614/1000),IF((V614/1000)&lt;=2,50+((100-50)/(2-1))*(V614/1000-1),IF((V614/1000)&lt;=10,100+((200-100)/(10-2))*(V614/1000-2),IF((V614/1000)&lt;=17,200+((300-200)/(17-10))*(V614/1000-10),IF((V614/1000)&lt;=34,300+((400-300)/(34-17))*(V614/1000-17),IF((V614/1000)&lt;=57,400+((500-400)/(57-34))*(V614/1000-34),500)))))))</f>
        <v>10.05</v>
      </c>
      <c r="AI614" s="4" t="n">
        <f aca="false">IF(W614="","",IF(W614&lt;=40,(50/40)*W614,IF(W614&lt;=80,50+((100-50)/(80-40))*(W614-40),IF(W614&lt;=180,100+((200-100)/(180-80))*(W614-80),IF(W614&lt;=280,200+((300-200)/(280-180))*(W614-180),IF(W614&lt;=400,300+((400-300)/(400-280))*(W614-280),IF(W614&lt;=800,400+((500-400)/(800-400))*(W614-400),500)))))))</f>
        <v>7</v>
      </c>
      <c r="AJ614" s="4" t="n">
        <f aca="false">IF(X614="","",IF(X614&lt;=40,(50/40)*X614,IF(X614&lt;=80,50+((100-50)/(80-40))*(X614-40),IF(X614&lt;=380,100+((200-100)/(380-80))*(X614-80),IF(X614&lt;=800,200+((300-200)/(800-380))*(X614-380),IF(X614&lt;=1600,300+((400-300)/(1600-800))*(X614-800),IF(X614&lt;=2100,400+((500-400)/(2100-1600))*(X614-1600),500)))))))</f>
        <v>29</v>
      </c>
      <c r="AK614" s="4" t="n">
        <f aca="false">IF(Y614="","",IF(Y614&lt;=50,(50/50)*Y614,IF(Y614&lt;=100,50+((100-50)/(100-50))*(Y614-50),IF(Y614&lt;=168,100+((200-100)/(168-100))*(Y614-100),IF(Y614&lt;=208,200+((300-200)/(208-168))*(Y614-168),IF(Y614&lt;=748,300+((400-300)/(748-208))*(Y614-208),IF(Y614&lt;=1000,400+((500-400)/(1000-748))*(Y614-748),500)))))))</f>
        <v>242.5</v>
      </c>
      <c r="AL614" s="4" t="n">
        <f aca="false">ROUND(MAX(AF614,AG614,AH614,AI614,AJ614,AK614),0)</f>
        <v>243</v>
      </c>
      <c r="AM614" s="4" t="str">
        <f aca="false">IF(AL614="","",IF(AL614&lt;=50,"Good",IF(AL614&lt;=100,"Satisfactory",IF(AL614&lt;=200,"Moderate",IF(AL614&lt;=300,"Poor",IF(AL614&lt;=400,"Very Poor","Severe"))))))</f>
        <v>Poor</v>
      </c>
    </row>
    <row r="615" customFormat="false" ht="15.75" hidden="false" customHeight="false" outlineLevel="0" collapsed="false">
      <c r="A615" s="1" t="s">
        <v>39</v>
      </c>
      <c r="B615" s="1" t="s">
        <v>40</v>
      </c>
      <c r="C615" s="1" t="n">
        <v>28.4595</v>
      </c>
      <c r="D615" s="1" t="n">
        <v>77.0266</v>
      </c>
      <c r="E615" s="5" t="n">
        <v>45926</v>
      </c>
      <c r="F615" s="6" t="s">
        <v>64</v>
      </c>
      <c r="G615" s="1" t="n">
        <v>9</v>
      </c>
      <c r="H615" s="7" t="s">
        <v>85</v>
      </c>
      <c r="I615" s="6" t="s">
        <v>43</v>
      </c>
      <c r="J615" s="7" t="s">
        <v>44</v>
      </c>
      <c r="K615" s="7" t="s">
        <v>65</v>
      </c>
      <c r="L615" s="1" t="n">
        <v>39</v>
      </c>
      <c r="M615" s="1" t="n">
        <v>19.5</v>
      </c>
      <c r="N615" s="1" t="n">
        <v>37.8</v>
      </c>
      <c r="O615" s="1" t="n">
        <v>0</v>
      </c>
      <c r="P615" s="6" t="s">
        <v>43</v>
      </c>
      <c r="Q615" s="6" t="s">
        <v>43</v>
      </c>
      <c r="R615" s="1" t="n">
        <v>1004.4</v>
      </c>
      <c r="S615" s="1" t="n">
        <v>0</v>
      </c>
      <c r="T615" s="1" t="n">
        <v>43.4</v>
      </c>
      <c r="U615" s="1" t="n">
        <v>246.8</v>
      </c>
      <c r="V615" s="1" t="n">
        <v>219</v>
      </c>
      <c r="W615" s="1" t="n">
        <v>4.4</v>
      </c>
      <c r="X615" s="1" t="n">
        <v>20.4</v>
      </c>
      <c r="Y615" s="1" t="n">
        <v>183</v>
      </c>
      <c r="Z615" s="1" t="n">
        <v>372</v>
      </c>
      <c r="AA615" s="1" t="n">
        <v>132</v>
      </c>
      <c r="AB615" s="7" t="s">
        <v>81</v>
      </c>
      <c r="AC615" s="7" t="s">
        <v>82</v>
      </c>
      <c r="AD615" s="7" t="s">
        <v>83</v>
      </c>
      <c r="AE615" s="7" t="s">
        <v>84</v>
      </c>
      <c r="AF615" s="4" t="n">
        <f aca="false">IF(T615="","",IF(T615&lt;=30,(50/30)*T615,IF(T615&lt;=60,50+((100-50)/(60-30))*(T615-30),IF(T615&lt;=90,100+((200-100)/(90-60))*(T615-60),IF(T615&lt;=120,200+((300-200)/(120-90))*(T615-90),IF(T615&lt;=250,300+((400-300)/(250-120))*(T615-120),IF(T615&lt;=380,400+((500-400)/(380-250))*(T615-250),500)))))))</f>
        <v>72.3333333333333</v>
      </c>
      <c r="AG615" s="4" t="n">
        <f aca="false">IF(U615="","",IF(U615&lt;=50,(50/50)*U615,IF(U615&lt;=100,50+((100-50)/(100-50))*(U615-50),IF(U615&lt;=250,100+((200-100)/(250-100))*(U615-100),IF(U615&lt;=350,200+((300-200)/(350-250))*(U615-250),IF(U615&lt;=430,300+((400-300)/(430-350))*(U615-350),IF(U615&lt;=600,400+((500-400)/(600-430))*(U615-430),500)))))))</f>
        <v>197.866666666667</v>
      </c>
      <c r="AH615" s="4" t="n">
        <f aca="false">IF(V615="","",IF((V615/1000)&lt;=1,(50/1)*(V615/1000),IF((V615/1000)&lt;=2,50+((100-50)/(2-1))*(V615/1000-1),IF((V615/1000)&lt;=10,100+((200-100)/(10-2))*(V615/1000-2),IF((V615/1000)&lt;=17,200+((300-200)/(17-10))*(V615/1000-10),IF((V615/1000)&lt;=34,300+((400-300)/(34-17))*(V615/1000-17),IF((V615/1000)&lt;=57,400+((500-400)/(57-34))*(V615/1000-34),500)))))))</f>
        <v>10.95</v>
      </c>
      <c r="AI615" s="4" t="n">
        <f aca="false">IF(W615="","",IF(W615&lt;=40,(50/40)*W615,IF(W615&lt;=80,50+((100-50)/(80-40))*(W615-40),IF(W615&lt;=180,100+((200-100)/(180-80))*(W615-80),IF(W615&lt;=280,200+((300-200)/(280-180))*(W615-180),IF(W615&lt;=400,300+((400-300)/(400-280))*(W615-280),IF(W615&lt;=800,400+((500-400)/(800-400))*(W615-400),500)))))))</f>
        <v>5.5</v>
      </c>
      <c r="AJ615" s="4" t="n">
        <f aca="false">IF(X615="","",IF(X615&lt;=40,(50/40)*X615,IF(X615&lt;=80,50+((100-50)/(80-40))*(X615-40),IF(X615&lt;=380,100+((200-100)/(380-80))*(X615-80),IF(X615&lt;=800,200+((300-200)/(800-380))*(X615-380),IF(X615&lt;=1600,300+((400-300)/(1600-800))*(X615-800),IF(X615&lt;=2100,400+((500-400)/(2100-1600))*(X615-1600),500)))))))</f>
        <v>25.5</v>
      </c>
      <c r="AK615" s="4" t="n">
        <f aca="false">IF(Y615="","",IF(Y615&lt;=50,(50/50)*Y615,IF(Y615&lt;=100,50+((100-50)/(100-50))*(Y615-50),IF(Y615&lt;=168,100+((200-100)/(168-100))*(Y615-100),IF(Y615&lt;=208,200+((300-200)/(208-168))*(Y615-168),IF(Y615&lt;=748,300+((400-300)/(748-208))*(Y615-208),IF(Y615&lt;=1000,400+((500-400)/(1000-748))*(Y615-748),500)))))))</f>
        <v>237.5</v>
      </c>
      <c r="AL615" s="4" t="n">
        <f aca="false">ROUND(MAX(AF615,AG615,AH615,AI615,AJ615,AK615),0)</f>
        <v>238</v>
      </c>
      <c r="AM615" s="4" t="str">
        <f aca="false">IF(AL615="","",IF(AL615&lt;=50,"Good",IF(AL615&lt;=100,"Satisfactory",IF(AL615&lt;=200,"Moderate",IF(AL615&lt;=300,"Poor",IF(AL615&lt;=400,"Very Poor","Severe"))))))</f>
        <v>Poor</v>
      </c>
    </row>
    <row r="616" customFormat="false" ht="15.75" hidden="false" customHeight="false" outlineLevel="0" collapsed="false">
      <c r="A616" s="1" t="s">
        <v>39</v>
      </c>
      <c r="B616" s="1" t="s">
        <v>40</v>
      </c>
      <c r="C616" s="1" t="n">
        <v>28.4595</v>
      </c>
      <c r="D616" s="1" t="n">
        <v>77.0266</v>
      </c>
      <c r="E616" s="5" t="n">
        <v>45926</v>
      </c>
      <c r="F616" s="6" t="s">
        <v>66</v>
      </c>
      <c r="G616" s="1" t="n">
        <v>9</v>
      </c>
      <c r="H616" s="7" t="s">
        <v>85</v>
      </c>
      <c r="I616" s="6" t="s">
        <v>43</v>
      </c>
      <c r="J616" s="7" t="s">
        <v>44</v>
      </c>
      <c r="K616" s="7" t="s">
        <v>65</v>
      </c>
      <c r="L616" s="1" t="n">
        <v>39</v>
      </c>
      <c r="M616" s="1" t="n">
        <v>19.7</v>
      </c>
      <c r="N616" s="1" t="n">
        <v>36.7</v>
      </c>
      <c r="O616" s="1" t="n">
        <v>0</v>
      </c>
      <c r="P616" s="6" t="s">
        <v>43</v>
      </c>
      <c r="Q616" s="6" t="s">
        <v>43</v>
      </c>
      <c r="R616" s="1" t="n">
        <v>1003.3</v>
      </c>
      <c r="S616" s="1" t="n">
        <v>0</v>
      </c>
      <c r="T616" s="1" t="n">
        <v>42.8</v>
      </c>
      <c r="U616" s="1" t="n">
        <v>243.1</v>
      </c>
      <c r="V616" s="1" t="n">
        <v>246</v>
      </c>
      <c r="W616" s="1" t="n">
        <v>5.2</v>
      </c>
      <c r="X616" s="1" t="n">
        <v>18.3</v>
      </c>
      <c r="Y616" s="1" t="n">
        <v>177</v>
      </c>
      <c r="Z616" s="1" t="n">
        <v>396</v>
      </c>
      <c r="AA616" s="1" t="n">
        <v>132</v>
      </c>
      <c r="AB616" s="7" t="s">
        <v>81</v>
      </c>
      <c r="AC616" s="7" t="s">
        <v>82</v>
      </c>
      <c r="AD616" s="7" t="s">
        <v>83</v>
      </c>
      <c r="AE616" s="7" t="s">
        <v>84</v>
      </c>
      <c r="AF616" s="4" t="n">
        <f aca="false">IF(T616="","",IF(T616&lt;=30,(50/30)*T616,IF(T616&lt;=60,50+((100-50)/(60-30))*(T616-30),IF(T616&lt;=90,100+((200-100)/(90-60))*(T616-60),IF(T616&lt;=120,200+((300-200)/(120-90))*(T616-90),IF(T616&lt;=250,300+((400-300)/(250-120))*(T616-120),IF(T616&lt;=380,400+((500-400)/(380-250))*(T616-250),500)))))))</f>
        <v>71.3333333333333</v>
      </c>
      <c r="AG616" s="4" t="n">
        <f aca="false">IF(U616="","",IF(U616&lt;=50,(50/50)*U616,IF(U616&lt;=100,50+((100-50)/(100-50))*(U616-50),IF(U616&lt;=250,100+((200-100)/(250-100))*(U616-100),IF(U616&lt;=350,200+((300-200)/(350-250))*(U616-250),IF(U616&lt;=430,300+((400-300)/(430-350))*(U616-350),IF(U616&lt;=600,400+((500-400)/(600-430))*(U616-430),500)))))))</f>
        <v>195.4</v>
      </c>
      <c r="AH616" s="4" t="n">
        <f aca="false">IF(V616="","",IF((V616/1000)&lt;=1,(50/1)*(V616/1000),IF((V616/1000)&lt;=2,50+((100-50)/(2-1))*(V616/1000-1),IF((V616/1000)&lt;=10,100+((200-100)/(10-2))*(V616/1000-2),IF((V616/1000)&lt;=17,200+((300-200)/(17-10))*(V616/1000-10),IF((V616/1000)&lt;=34,300+((400-300)/(34-17))*(V616/1000-17),IF((V616/1000)&lt;=57,400+((500-400)/(57-34))*(V616/1000-34),500)))))))</f>
        <v>12.3</v>
      </c>
      <c r="AI616" s="4" t="n">
        <f aca="false">IF(W616="","",IF(W616&lt;=40,(50/40)*W616,IF(W616&lt;=80,50+((100-50)/(80-40))*(W616-40),IF(W616&lt;=180,100+((200-100)/(180-80))*(W616-80),IF(W616&lt;=280,200+((300-200)/(280-180))*(W616-180),IF(W616&lt;=400,300+((400-300)/(400-280))*(W616-280),IF(W616&lt;=800,400+((500-400)/(800-400))*(W616-400),500)))))))</f>
        <v>6.5</v>
      </c>
      <c r="AJ616" s="4" t="n">
        <f aca="false">IF(X616="","",IF(X616&lt;=40,(50/40)*X616,IF(X616&lt;=80,50+((100-50)/(80-40))*(X616-40),IF(X616&lt;=380,100+((200-100)/(380-80))*(X616-80),IF(X616&lt;=800,200+((300-200)/(800-380))*(X616-380),IF(X616&lt;=1600,300+((400-300)/(1600-800))*(X616-800),IF(X616&lt;=2100,400+((500-400)/(2100-1600))*(X616-1600),500)))))))</f>
        <v>22.875</v>
      </c>
      <c r="AK616" s="4" t="n">
        <f aca="false">IF(Y616="","",IF(Y616&lt;=50,(50/50)*Y616,IF(Y616&lt;=100,50+((100-50)/(100-50))*(Y616-50),IF(Y616&lt;=168,100+((200-100)/(168-100))*(Y616-100),IF(Y616&lt;=208,200+((300-200)/(208-168))*(Y616-168),IF(Y616&lt;=748,300+((400-300)/(748-208))*(Y616-208),IF(Y616&lt;=1000,400+((500-400)/(1000-748))*(Y616-748),500)))))))</f>
        <v>222.5</v>
      </c>
      <c r="AL616" s="4" t="n">
        <f aca="false">ROUND(MAX(AF616,AG616,AH616,AI616,AJ616,AK616),0)</f>
        <v>223</v>
      </c>
      <c r="AM616" s="4" t="str">
        <f aca="false">IF(AL616="","",IF(AL616&lt;=50,"Good",IF(AL616&lt;=100,"Satisfactory",IF(AL616&lt;=200,"Moderate",IF(AL616&lt;=300,"Poor",IF(AL616&lt;=400,"Very Poor","Severe"))))))</f>
        <v>Poor</v>
      </c>
    </row>
    <row r="617" customFormat="false" ht="15.75" hidden="false" customHeight="false" outlineLevel="0" collapsed="false">
      <c r="A617" s="1" t="s">
        <v>39</v>
      </c>
      <c r="B617" s="1" t="s">
        <v>40</v>
      </c>
      <c r="C617" s="1" t="n">
        <v>28.4595</v>
      </c>
      <c r="D617" s="1" t="n">
        <v>77.0266</v>
      </c>
      <c r="E617" s="5" t="n">
        <v>45926</v>
      </c>
      <c r="F617" s="6" t="s">
        <v>67</v>
      </c>
      <c r="G617" s="1" t="n">
        <v>9</v>
      </c>
      <c r="H617" s="7" t="s">
        <v>85</v>
      </c>
      <c r="I617" s="6" t="s">
        <v>43</v>
      </c>
      <c r="J617" s="7" t="s">
        <v>44</v>
      </c>
      <c r="K617" s="7" t="s">
        <v>65</v>
      </c>
      <c r="L617" s="1" t="n">
        <v>41</v>
      </c>
      <c r="M617" s="1" t="n">
        <v>19.9</v>
      </c>
      <c r="N617" s="1" t="n">
        <v>36.4</v>
      </c>
      <c r="O617" s="1" t="n">
        <v>0</v>
      </c>
      <c r="P617" s="6" t="s">
        <v>43</v>
      </c>
      <c r="Q617" s="6" t="s">
        <v>43</v>
      </c>
      <c r="R617" s="1" t="n">
        <v>1002.8</v>
      </c>
      <c r="S617" s="1" t="n">
        <v>0</v>
      </c>
      <c r="T617" s="1" t="n">
        <v>43.3</v>
      </c>
      <c r="U617" s="1" t="n">
        <v>247.7</v>
      </c>
      <c r="V617" s="1" t="n">
        <v>250</v>
      </c>
      <c r="W617" s="1" t="n">
        <v>7.9</v>
      </c>
      <c r="X617" s="1" t="n">
        <v>17.7</v>
      </c>
      <c r="Y617" s="1" t="n">
        <v>167</v>
      </c>
      <c r="Z617" s="1" t="n">
        <v>424</v>
      </c>
      <c r="AA617" s="1" t="n">
        <v>131</v>
      </c>
      <c r="AB617" s="7" t="s">
        <v>81</v>
      </c>
      <c r="AC617" s="7" t="s">
        <v>82</v>
      </c>
      <c r="AD617" s="7" t="s">
        <v>83</v>
      </c>
      <c r="AE617" s="7" t="s">
        <v>84</v>
      </c>
      <c r="AF617" s="4" t="n">
        <f aca="false">IF(T617="","",IF(T617&lt;=30,(50/30)*T617,IF(T617&lt;=60,50+((100-50)/(60-30))*(T617-30),IF(T617&lt;=90,100+((200-100)/(90-60))*(T617-60),IF(T617&lt;=120,200+((300-200)/(120-90))*(T617-90),IF(T617&lt;=250,300+((400-300)/(250-120))*(T617-120),IF(T617&lt;=380,400+((500-400)/(380-250))*(T617-250),500)))))))</f>
        <v>72.1666666666667</v>
      </c>
      <c r="AG617" s="4" t="n">
        <f aca="false">IF(U617="","",IF(U617&lt;=50,(50/50)*U617,IF(U617&lt;=100,50+((100-50)/(100-50))*(U617-50),IF(U617&lt;=250,100+((200-100)/(250-100))*(U617-100),IF(U617&lt;=350,200+((300-200)/(350-250))*(U617-250),IF(U617&lt;=430,300+((400-300)/(430-350))*(U617-350),IF(U617&lt;=600,400+((500-400)/(600-430))*(U617-430),500)))))))</f>
        <v>198.466666666667</v>
      </c>
      <c r="AH617" s="4" t="n">
        <f aca="false">IF(V617="","",IF((V617/1000)&lt;=1,(50/1)*(V617/1000),IF((V617/1000)&lt;=2,50+((100-50)/(2-1))*(V617/1000-1),IF((V617/1000)&lt;=10,100+((200-100)/(10-2))*(V617/1000-2),IF((V617/1000)&lt;=17,200+((300-200)/(17-10))*(V617/1000-10),IF((V617/1000)&lt;=34,300+((400-300)/(34-17))*(V617/1000-17),IF((V617/1000)&lt;=57,400+((500-400)/(57-34))*(V617/1000-34),500)))))))</f>
        <v>12.5</v>
      </c>
      <c r="AI617" s="4" t="n">
        <f aca="false">IF(W617="","",IF(W617&lt;=40,(50/40)*W617,IF(W617&lt;=80,50+((100-50)/(80-40))*(W617-40),IF(W617&lt;=180,100+((200-100)/(180-80))*(W617-80),IF(W617&lt;=280,200+((300-200)/(280-180))*(W617-180),IF(W617&lt;=400,300+((400-300)/(400-280))*(W617-280),IF(W617&lt;=800,400+((500-400)/(800-400))*(W617-400),500)))))))</f>
        <v>9.875</v>
      </c>
      <c r="AJ617" s="4" t="n">
        <f aca="false">IF(X617="","",IF(X617&lt;=40,(50/40)*X617,IF(X617&lt;=80,50+((100-50)/(80-40))*(X617-40),IF(X617&lt;=380,100+((200-100)/(380-80))*(X617-80),IF(X617&lt;=800,200+((300-200)/(800-380))*(X617-380),IF(X617&lt;=1600,300+((400-300)/(1600-800))*(X617-800),IF(X617&lt;=2100,400+((500-400)/(2100-1600))*(X617-1600),500)))))))</f>
        <v>22.125</v>
      </c>
      <c r="AK617" s="4" t="n">
        <f aca="false">IF(Y617="","",IF(Y617&lt;=50,(50/50)*Y617,IF(Y617&lt;=100,50+((100-50)/(100-50))*(Y617-50),IF(Y617&lt;=168,100+((200-100)/(168-100))*(Y617-100),IF(Y617&lt;=208,200+((300-200)/(208-168))*(Y617-168),IF(Y617&lt;=748,300+((400-300)/(748-208))*(Y617-208),IF(Y617&lt;=1000,400+((500-400)/(1000-748))*(Y617-748),500)))))))</f>
        <v>198.529411764706</v>
      </c>
      <c r="AL617" s="4" t="n">
        <f aca="false">ROUND(MAX(AF617,AG617,AH617,AI617,AJ617,AK617),0)</f>
        <v>199</v>
      </c>
      <c r="AM617" s="4" t="str">
        <f aca="false">IF(AL617="","",IF(AL617&lt;=50,"Good",IF(AL617&lt;=100,"Satisfactory",IF(AL617&lt;=200,"Moderate",IF(AL617&lt;=300,"Poor",IF(AL617&lt;=400,"Very Poor","Severe"))))))</f>
        <v>Moderate</v>
      </c>
    </row>
    <row r="618" customFormat="false" ht="15.75" hidden="false" customHeight="false" outlineLevel="0" collapsed="false">
      <c r="A618" s="1" t="s">
        <v>39</v>
      </c>
      <c r="B618" s="1" t="s">
        <v>40</v>
      </c>
      <c r="C618" s="1" t="n">
        <v>28.4595</v>
      </c>
      <c r="D618" s="1" t="n">
        <v>77.0266</v>
      </c>
      <c r="E618" s="5" t="n">
        <v>45926</v>
      </c>
      <c r="F618" s="6" t="s">
        <v>68</v>
      </c>
      <c r="G618" s="1" t="n">
        <v>9</v>
      </c>
      <c r="H618" s="7" t="s">
        <v>85</v>
      </c>
      <c r="I618" s="6" t="s">
        <v>43</v>
      </c>
      <c r="J618" s="7" t="s">
        <v>44</v>
      </c>
      <c r="K618" s="7" t="s">
        <v>65</v>
      </c>
      <c r="L618" s="1" t="n">
        <v>45</v>
      </c>
      <c r="M618" s="1" t="n">
        <v>20.7</v>
      </c>
      <c r="N618" s="1" t="n">
        <v>34.2</v>
      </c>
      <c r="O618" s="1" t="n">
        <v>0</v>
      </c>
      <c r="P618" s="6" t="s">
        <v>43</v>
      </c>
      <c r="Q618" s="6" t="s">
        <v>43</v>
      </c>
      <c r="R618" s="1" t="n">
        <v>1002.7</v>
      </c>
      <c r="S618" s="1" t="n">
        <v>0</v>
      </c>
      <c r="T618" s="1" t="n">
        <v>44.9</v>
      </c>
      <c r="U618" s="1" t="n">
        <v>260.8</v>
      </c>
      <c r="V618" s="1" t="n">
        <v>261</v>
      </c>
      <c r="W618" s="1" t="n">
        <v>12.5</v>
      </c>
      <c r="X618" s="1" t="n">
        <v>17.8</v>
      </c>
      <c r="Y618" s="1" t="n">
        <v>151</v>
      </c>
      <c r="Z618" s="1" t="n">
        <v>451</v>
      </c>
      <c r="AA618" s="1" t="n">
        <v>131</v>
      </c>
      <c r="AB618" s="7" t="s">
        <v>81</v>
      </c>
      <c r="AC618" s="7" t="s">
        <v>82</v>
      </c>
      <c r="AD618" s="7" t="s">
        <v>83</v>
      </c>
      <c r="AE618" s="7" t="s">
        <v>84</v>
      </c>
      <c r="AF618" s="4" t="n">
        <f aca="false">IF(T618="","",IF(T618&lt;=30,(50/30)*T618,IF(T618&lt;=60,50+((100-50)/(60-30))*(T618-30),IF(T618&lt;=90,100+((200-100)/(90-60))*(T618-60),IF(T618&lt;=120,200+((300-200)/(120-90))*(T618-90),IF(T618&lt;=250,300+((400-300)/(250-120))*(T618-120),IF(T618&lt;=380,400+((500-400)/(380-250))*(T618-250),500)))))))</f>
        <v>74.8333333333333</v>
      </c>
      <c r="AG618" s="4" t="n">
        <f aca="false">IF(U618="","",IF(U618&lt;=50,(50/50)*U618,IF(U618&lt;=100,50+((100-50)/(100-50))*(U618-50),IF(U618&lt;=250,100+((200-100)/(250-100))*(U618-100),IF(U618&lt;=350,200+((300-200)/(350-250))*(U618-250),IF(U618&lt;=430,300+((400-300)/(430-350))*(U618-350),IF(U618&lt;=600,400+((500-400)/(600-430))*(U618-430),500)))))))</f>
        <v>210.8</v>
      </c>
      <c r="AH618" s="4" t="n">
        <f aca="false">IF(V618="","",IF((V618/1000)&lt;=1,(50/1)*(V618/1000),IF((V618/1000)&lt;=2,50+((100-50)/(2-1))*(V618/1000-1),IF((V618/1000)&lt;=10,100+((200-100)/(10-2))*(V618/1000-2),IF((V618/1000)&lt;=17,200+((300-200)/(17-10))*(V618/1000-10),IF((V618/1000)&lt;=34,300+((400-300)/(34-17))*(V618/1000-17),IF((V618/1000)&lt;=57,400+((500-400)/(57-34))*(V618/1000-34),500)))))))</f>
        <v>13.05</v>
      </c>
      <c r="AI618" s="4" t="n">
        <f aca="false">IF(W618="","",IF(W618&lt;=40,(50/40)*W618,IF(W618&lt;=80,50+((100-50)/(80-40))*(W618-40),IF(W618&lt;=180,100+((200-100)/(180-80))*(W618-80),IF(W618&lt;=280,200+((300-200)/(280-180))*(W618-180),IF(W618&lt;=400,300+((400-300)/(400-280))*(W618-280),IF(W618&lt;=800,400+((500-400)/(800-400))*(W618-400),500)))))))</f>
        <v>15.625</v>
      </c>
      <c r="AJ618" s="4" t="n">
        <f aca="false">IF(X618="","",IF(X618&lt;=40,(50/40)*X618,IF(X618&lt;=80,50+((100-50)/(80-40))*(X618-40),IF(X618&lt;=380,100+((200-100)/(380-80))*(X618-80),IF(X618&lt;=800,200+((300-200)/(800-380))*(X618-380),IF(X618&lt;=1600,300+((400-300)/(1600-800))*(X618-800),IF(X618&lt;=2100,400+((500-400)/(2100-1600))*(X618-1600),500)))))))</f>
        <v>22.25</v>
      </c>
      <c r="AK618" s="4" t="n">
        <f aca="false">IF(Y618="","",IF(Y618&lt;=50,(50/50)*Y618,IF(Y618&lt;=100,50+((100-50)/(100-50))*(Y618-50),IF(Y618&lt;=168,100+((200-100)/(168-100))*(Y618-100),IF(Y618&lt;=208,200+((300-200)/(208-168))*(Y618-168),IF(Y618&lt;=748,300+((400-300)/(748-208))*(Y618-208),IF(Y618&lt;=1000,400+((500-400)/(1000-748))*(Y618-748),500)))))))</f>
        <v>175</v>
      </c>
      <c r="AL618" s="4" t="n">
        <f aca="false">ROUND(MAX(AF618,AG618,AH618,AI618,AJ618,AK618),0)</f>
        <v>211</v>
      </c>
      <c r="AM618" s="4" t="str">
        <f aca="false">IF(AL618="","",IF(AL618&lt;=50,"Good",IF(AL618&lt;=100,"Satisfactory",IF(AL618&lt;=200,"Moderate",IF(AL618&lt;=300,"Poor",IF(AL618&lt;=400,"Very Poor","Severe"))))))</f>
        <v>Poor</v>
      </c>
    </row>
    <row r="619" customFormat="false" ht="15.75" hidden="false" customHeight="false" outlineLevel="0" collapsed="false">
      <c r="A619" s="1" t="s">
        <v>39</v>
      </c>
      <c r="B619" s="1" t="s">
        <v>40</v>
      </c>
      <c r="C619" s="1" t="n">
        <v>28.4595</v>
      </c>
      <c r="D619" s="1" t="n">
        <v>77.0266</v>
      </c>
      <c r="E619" s="5" t="n">
        <v>45926</v>
      </c>
      <c r="F619" s="6" t="s">
        <v>69</v>
      </c>
      <c r="G619" s="1" t="n">
        <v>9</v>
      </c>
      <c r="H619" s="7" t="s">
        <v>85</v>
      </c>
      <c r="I619" s="6" t="s">
        <v>43</v>
      </c>
      <c r="J619" s="7" t="s">
        <v>44</v>
      </c>
      <c r="K619" s="7" t="s">
        <v>65</v>
      </c>
      <c r="L619" s="1" t="n">
        <v>51</v>
      </c>
      <c r="M619" s="1" t="n">
        <v>21.6</v>
      </c>
      <c r="N619" s="1" t="n">
        <v>32.8</v>
      </c>
      <c r="O619" s="1" t="n">
        <v>0</v>
      </c>
      <c r="P619" s="6" t="s">
        <v>43</v>
      </c>
      <c r="Q619" s="6" t="s">
        <v>43</v>
      </c>
      <c r="R619" s="1" t="n">
        <v>1002.8</v>
      </c>
      <c r="S619" s="1" t="n">
        <v>0</v>
      </c>
      <c r="T619" s="1" t="n">
        <v>51.2</v>
      </c>
      <c r="U619" s="1" t="n">
        <v>377.2</v>
      </c>
      <c r="V619" s="1" t="n">
        <v>335</v>
      </c>
      <c r="W619" s="1" t="n">
        <v>17.9</v>
      </c>
      <c r="X619" s="1" t="n">
        <v>17.2</v>
      </c>
      <c r="Y619" s="1" t="n">
        <v>119</v>
      </c>
      <c r="Z619" s="1" t="n">
        <v>645</v>
      </c>
      <c r="AA619" s="1" t="n">
        <v>138</v>
      </c>
      <c r="AB619" s="7" t="s">
        <v>81</v>
      </c>
      <c r="AC619" s="7" t="s">
        <v>82</v>
      </c>
      <c r="AD619" s="7" t="s">
        <v>83</v>
      </c>
      <c r="AE619" s="7" t="s">
        <v>84</v>
      </c>
      <c r="AF619" s="4" t="n">
        <f aca="false">IF(T619="","",IF(T619&lt;=30,(50/30)*T619,IF(T619&lt;=60,50+((100-50)/(60-30))*(T619-30),IF(T619&lt;=90,100+((200-100)/(90-60))*(T619-60),IF(T619&lt;=120,200+((300-200)/(120-90))*(T619-90),IF(T619&lt;=250,300+((400-300)/(250-120))*(T619-120),IF(T619&lt;=380,400+((500-400)/(380-250))*(T619-250),500)))))))</f>
        <v>85.3333333333333</v>
      </c>
      <c r="AG619" s="4" t="n">
        <f aca="false">IF(U619="","",IF(U619&lt;=50,(50/50)*U619,IF(U619&lt;=100,50+((100-50)/(100-50))*(U619-50),IF(U619&lt;=250,100+((200-100)/(250-100))*(U619-100),IF(U619&lt;=350,200+((300-200)/(350-250))*(U619-250),IF(U619&lt;=430,300+((400-300)/(430-350))*(U619-350),IF(U619&lt;=600,400+((500-400)/(600-430))*(U619-430),500)))))))</f>
        <v>334</v>
      </c>
      <c r="AH619" s="4" t="n">
        <f aca="false">IF(V619="","",IF((V619/1000)&lt;=1,(50/1)*(V619/1000),IF((V619/1000)&lt;=2,50+((100-50)/(2-1))*(V619/1000-1),IF((V619/1000)&lt;=10,100+((200-100)/(10-2))*(V619/1000-2),IF((V619/1000)&lt;=17,200+((300-200)/(17-10))*(V619/1000-10),IF((V619/1000)&lt;=34,300+((400-300)/(34-17))*(V619/1000-17),IF((V619/1000)&lt;=57,400+((500-400)/(57-34))*(V619/1000-34),500)))))))</f>
        <v>16.75</v>
      </c>
      <c r="AI619" s="4" t="n">
        <f aca="false">IF(W619="","",IF(W619&lt;=40,(50/40)*W619,IF(W619&lt;=80,50+((100-50)/(80-40))*(W619-40),IF(W619&lt;=180,100+((200-100)/(180-80))*(W619-80),IF(W619&lt;=280,200+((300-200)/(280-180))*(W619-180),IF(W619&lt;=400,300+((400-300)/(400-280))*(W619-280),IF(W619&lt;=800,400+((500-400)/(800-400))*(W619-400),500)))))))</f>
        <v>22.375</v>
      </c>
      <c r="AJ619" s="4" t="n">
        <f aca="false">IF(X619="","",IF(X619&lt;=40,(50/40)*X619,IF(X619&lt;=80,50+((100-50)/(80-40))*(X619-40),IF(X619&lt;=380,100+((200-100)/(380-80))*(X619-80),IF(X619&lt;=800,200+((300-200)/(800-380))*(X619-380),IF(X619&lt;=1600,300+((400-300)/(1600-800))*(X619-800),IF(X619&lt;=2100,400+((500-400)/(2100-1600))*(X619-1600),500)))))))</f>
        <v>21.5</v>
      </c>
      <c r="AK619" s="4" t="n">
        <f aca="false">IF(Y619="","",IF(Y619&lt;=50,(50/50)*Y619,IF(Y619&lt;=100,50+((100-50)/(100-50))*(Y619-50),IF(Y619&lt;=168,100+((200-100)/(168-100))*(Y619-100),IF(Y619&lt;=208,200+((300-200)/(208-168))*(Y619-168),IF(Y619&lt;=748,300+((400-300)/(748-208))*(Y619-208),IF(Y619&lt;=1000,400+((500-400)/(1000-748))*(Y619-748),500)))))))</f>
        <v>127.941176470588</v>
      </c>
      <c r="AL619" s="4" t="n">
        <f aca="false">ROUND(MAX(AF619,AG619,AH619,AI619,AJ619,AK619),0)</f>
        <v>334</v>
      </c>
      <c r="AM619" s="4" t="str">
        <f aca="false">IF(AL619="","",IF(AL619&lt;=50,"Good",IF(AL619&lt;=100,"Satisfactory",IF(AL619&lt;=200,"Moderate",IF(AL619&lt;=300,"Poor",IF(AL619&lt;=400,"Very Poor","Severe"))))))</f>
        <v>Very Poor</v>
      </c>
    </row>
    <row r="620" customFormat="false" ht="15.75" hidden="false" customHeight="false" outlineLevel="0" collapsed="false">
      <c r="A620" s="1" t="s">
        <v>39</v>
      </c>
      <c r="B620" s="1" t="s">
        <v>40</v>
      </c>
      <c r="C620" s="1" t="n">
        <v>28.4595</v>
      </c>
      <c r="D620" s="1" t="n">
        <v>77.0266</v>
      </c>
      <c r="E620" s="5" t="n">
        <v>45926</v>
      </c>
      <c r="F620" s="6" t="s">
        <v>70</v>
      </c>
      <c r="G620" s="1" t="n">
        <v>9</v>
      </c>
      <c r="H620" s="7" t="s">
        <v>85</v>
      </c>
      <c r="I620" s="6" t="s">
        <v>43</v>
      </c>
      <c r="J620" s="7" t="s">
        <v>44</v>
      </c>
      <c r="K620" s="7" t="s">
        <v>71</v>
      </c>
      <c r="L620" s="1" t="n">
        <v>57</v>
      </c>
      <c r="M620" s="1" t="n">
        <v>22.1</v>
      </c>
      <c r="N620" s="1" t="n">
        <v>22.3</v>
      </c>
      <c r="O620" s="1" t="n">
        <v>0</v>
      </c>
      <c r="P620" s="6" t="s">
        <v>43</v>
      </c>
      <c r="Q620" s="6" t="s">
        <v>43</v>
      </c>
      <c r="R620" s="1" t="n">
        <v>1003.8</v>
      </c>
      <c r="S620" s="1" t="n">
        <v>0</v>
      </c>
      <c r="T620" s="1" t="n">
        <v>57.4</v>
      </c>
      <c r="U620" s="1" t="n">
        <v>374.4</v>
      </c>
      <c r="V620" s="1" t="n">
        <v>537</v>
      </c>
      <c r="W620" s="1" t="n">
        <v>25.5</v>
      </c>
      <c r="X620" s="1" t="n">
        <v>19.4</v>
      </c>
      <c r="Y620" s="1" t="n">
        <v>101</v>
      </c>
      <c r="Z620" s="1" t="n">
        <v>622</v>
      </c>
      <c r="AA620" s="1" t="n">
        <v>143</v>
      </c>
      <c r="AB620" s="7" t="s">
        <v>81</v>
      </c>
      <c r="AC620" s="7" t="s">
        <v>82</v>
      </c>
      <c r="AD620" s="7" t="s">
        <v>83</v>
      </c>
      <c r="AE620" s="7" t="s">
        <v>84</v>
      </c>
      <c r="AF620" s="4" t="n">
        <f aca="false">IF(T620="","",IF(T620&lt;=30,(50/30)*T620,IF(T620&lt;=60,50+((100-50)/(60-30))*(T620-30),IF(T620&lt;=90,100+((200-100)/(90-60))*(T620-60),IF(T620&lt;=120,200+((300-200)/(120-90))*(T620-90),IF(T620&lt;=250,300+((400-300)/(250-120))*(T620-120),IF(T620&lt;=380,400+((500-400)/(380-250))*(T620-250),500)))))))</f>
        <v>95.6666666666667</v>
      </c>
      <c r="AG620" s="4" t="n">
        <f aca="false">IF(U620="","",IF(U620&lt;=50,(50/50)*U620,IF(U620&lt;=100,50+((100-50)/(100-50))*(U620-50),IF(U620&lt;=250,100+((200-100)/(250-100))*(U620-100),IF(U620&lt;=350,200+((300-200)/(350-250))*(U620-250),IF(U620&lt;=430,300+((400-300)/(430-350))*(U620-350),IF(U620&lt;=600,400+((500-400)/(600-430))*(U620-430),500)))))))</f>
        <v>330.5</v>
      </c>
      <c r="AH620" s="4" t="n">
        <f aca="false">IF(V620="","",IF((V620/1000)&lt;=1,(50/1)*(V620/1000),IF((V620/1000)&lt;=2,50+((100-50)/(2-1))*(V620/1000-1),IF((V620/1000)&lt;=10,100+((200-100)/(10-2))*(V620/1000-2),IF((V620/1000)&lt;=17,200+((300-200)/(17-10))*(V620/1000-10),IF((V620/1000)&lt;=34,300+((400-300)/(34-17))*(V620/1000-17),IF((V620/1000)&lt;=57,400+((500-400)/(57-34))*(V620/1000-34),500)))))))</f>
        <v>26.85</v>
      </c>
      <c r="AI620" s="4" t="n">
        <f aca="false">IF(W620="","",IF(W620&lt;=40,(50/40)*W620,IF(W620&lt;=80,50+((100-50)/(80-40))*(W620-40),IF(W620&lt;=180,100+((200-100)/(180-80))*(W620-80),IF(W620&lt;=280,200+((300-200)/(280-180))*(W620-180),IF(W620&lt;=400,300+((400-300)/(400-280))*(W620-280),IF(W620&lt;=800,400+((500-400)/(800-400))*(W620-400),500)))))))</f>
        <v>31.875</v>
      </c>
      <c r="AJ620" s="4" t="n">
        <f aca="false">IF(X620="","",IF(X620&lt;=40,(50/40)*X620,IF(X620&lt;=80,50+((100-50)/(80-40))*(X620-40),IF(X620&lt;=380,100+((200-100)/(380-80))*(X620-80),IF(X620&lt;=800,200+((300-200)/(800-380))*(X620-380),IF(X620&lt;=1600,300+((400-300)/(1600-800))*(X620-800),IF(X620&lt;=2100,400+((500-400)/(2100-1600))*(X620-1600),500)))))))</f>
        <v>24.25</v>
      </c>
      <c r="AK620" s="4" t="n">
        <f aca="false">IF(Y620="","",IF(Y620&lt;=50,(50/50)*Y620,IF(Y620&lt;=100,50+((100-50)/(100-50))*(Y620-50),IF(Y620&lt;=168,100+((200-100)/(168-100))*(Y620-100),IF(Y620&lt;=208,200+((300-200)/(208-168))*(Y620-168),IF(Y620&lt;=748,300+((400-300)/(748-208))*(Y620-208),IF(Y620&lt;=1000,400+((500-400)/(1000-748))*(Y620-748),500)))))))</f>
        <v>101.470588235294</v>
      </c>
      <c r="AL620" s="4" t="n">
        <f aca="false">ROUND(MAX(AF620,AG620,AH620,AI620,AJ620,AK620),0)</f>
        <v>331</v>
      </c>
      <c r="AM620" s="4" t="str">
        <f aca="false">IF(AL620="","",IF(AL620&lt;=50,"Good",IF(AL620&lt;=100,"Satisfactory",IF(AL620&lt;=200,"Moderate",IF(AL620&lt;=300,"Poor",IF(AL620&lt;=400,"Very Poor","Severe"))))))</f>
        <v>Very Poor</v>
      </c>
    </row>
    <row r="621" customFormat="false" ht="15.75" hidden="false" customHeight="false" outlineLevel="0" collapsed="false">
      <c r="A621" s="1" t="s">
        <v>39</v>
      </c>
      <c r="B621" s="1" t="s">
        <v>40</v>
      </c>
      <c r="C621" s="1" t="n">
        <v>28.4595</v>
      </c>
      <c r="D621" s="1" t="n">
        <v>77.0266</v>
      </c>
      <c r="E621" s="5" t="n">
        <v>45926</v>
      </c>
      <c r="F621" s="6" t="s">
        <v>72</v>
      </c>
      <c r="G621" s="1" t="n">
        <v>9</v>
      </c>
      <c r="H621" s="7" t="s">
        <v>85</v>
      </c>
      <c r="I621" s="6" t="s">
        <v>43</v>
      </c>
      <c r="J621" s="7" t="s">
        <v>44</v>
      </c>
      <c r="K621" s="7" t="s">
        <v>71</v>
      </c>
      <c r="L621" s="1" t="n">
        <v>62</v>
      </c>
      <c r="M621" s="1" t="n">
        <v>22.5</v>
      </c>
      <c r="N621" s="1" t="n">
        <v>16.2</v>
      </c>
      <c r="O621" s="1" t="n">
        <v>0</v>
      </c>
      <c r="P621" s="6" t="s">
        <v>43</v>
      </c>
      <c r="Q621" s="6" t="s">
        <v>43</v>
      </c>
      <c r="R621" s="1" t="n">
        <v>1004.7</v>
      </c>
      <c r="S621" s="1" t="n">
        <v>0</v>
      </c>
      <c r="T621" s="1" t="n">
        <v>61.5</v>
      </c>
      <c r="U621" s="1" t="n">
        <v>363.2</v>
      </c>
      <c r="V621" s="1" t="n">
        <v>802</v>
      </c>
      <c r="W621" s="1" t="n">
        <v>36.1</v>
      </c>
      <c r="X621" s="1" t="n">
        <v>22.4</v>
      </c>
      <c r="Y621" s="1" t="n">
        <v>76</v>
      </c>
      <c r="Z621" s="1" t="n">
        <v>589</v>
      </c>
      <c r="AA621" s="1" t="n">
        <v>134</v>
      </c>
      <c r="AB621" s="7" t="s">
        <v>81</v>
      </c>
      <c r="AC621" s="7" t="s">
        <v>82</v>
      </c>
      <c r="AD621" s="7" t="s">
        <v>83</v>
      </c>
      <c r="AE621" s="7" t="s">
        <v>84</v>
      </c>
      <c r="AF621" s="4" t="n">
        <f aca="false">IF(T621="","",IF(T621&lt;=30,(50/30)*T621,IF(T621&lt;=60,50+((100-50)/(60-30))*(T621-30),IF(T621&lt;=90,100+((200-100)/(90-60))*(T621-60),IF(T621&lt;=120,200+((300-200)/(120-90))*(T621-90),IF(T621&lt;=250,300+((400-300)/(250-120))*(T621-120),IF(T621&lt;=380,400+((500-400)/(380-250))*(T621-250),500)))))))</f>
        <v>105</v>
      </c>
      <c r="AG621" s="4" t="n">
        <f aca="false">IF(U621="","",IF(U621&lt;=50,(50/50)*U621,IF(U621&lt;=100,50+((100-50)/(100-50))*(U621-50),IF(U621&lt;=250,100+((200-100)/(250-100))*(U621-100),IF(U621&lt;=350,200+((300-200)/(350-250))*(U621-250),IF(U621&lt;=430,300+((400-300)/(430-350))*(U621-350),IF(U621&lt;=600,400+((500-400)/(600-430))*(U621-430),500)))))))</f>
        <v>316.5</v>
      </c>
      <c r="AH621" s="4" t="n">
        <f aca="false">IF(V621="","",IF((V621/1000)&lt;=1,(50/1)*(V621/1000),IF((V621/1000)&lt;=2,50+((100-50)/(2-1))*(V621/1000-1),IF((V621/1000)&lt;=10,100+((200-100)/(10-2))*(V621/1000-2),IF((V621/1000)&lt;=17,200+((300-200)/(17-10))*(V621/1000-10),IF((V621/1000)&lt;=34,300+((400-300)/(34-17))*(V621/1000-17),IF((V621/1000)&lt;=57,400+((500-400)/(57-34))*(V621/1000-34),500)))))))</f>
        <v>40.1</v>
      </c>
      <c r="AI621" s="4" t="n">
        <f aca="false">IF(W621="","",IF(W621&lt;=40,(50/40)*W621,IF(W621&lt;=80,50+((100-50)/(80-40))*(W621-40),IF(W621&lt;=180,100+((200-100)/(180-80))*(W621-80),IF(W621&lt;=280,200+((300-200)/(280-180))*(W621-180),IF(W621&lt;=400,300+((400-300)/(400-280))*(W621-280),IF(W621&lt;=800,400+((500-400)/(800-400))*(W621-400),500)))))))</f>
        <v>45.125</v>
      </c>
      <c r="AJ621" s="4" t="n">
        <f aca="false">IF(X621="","",IF(X621&lt;=40,(50/40)*X621,IF(X621&lt;=80,50+((100-50)/(80-40))*(X621-40),IF(X621&lt;=380,100+((200-100)/(380-80))*(X621-80),IF(X621&lt;=800,200+((300-200)/(800-380))*(X621-380),IF(X621&lt;=1600,300+((400-300)/(1600-800))*(X621-800),IF(X621&lt;=2100,400+((500-400)/(2100-1600))*(X621-1600),500)))))))</f>
        <v>28</v>
      </c>
      <c r="AK621" s="4" t="n">
        <f aca="false">IF(Y621="","",IF(Y621&lt;=50,(50/50)*Y621,IF(Y621&lt;=100,50+((100-50)/(100-50))*(Y621-50),IF(Y621&lt;=168,100+((200-100)/(168-100))*(Y621-100),IF(Y621&lt;=208,200+((300-200)/(208-168))*(Y621-168),IF(Y621&lt;=748,300+((400-300)/(748-208))*(Y621-208),IF(Y621&lt;=1000,400+((500-400)/(1000-748))*(Y621-748),500)))))))</f>
        <v>76</v>
      </c>
      <c r="AL621" s="4" t="n">
        <f aca="false">ROUND(MAX(AF621,AG621,AH621,AI621,AJ621,AK621),0)</f>
        <v>317</v>
      </c>
      <c r="AM621" s="4" t="str">
        <f aca="false">IF(AL621="","",IF(AL621&lt;=50,"Good",IF(AL621&lt;=100,"Satisfactory",IF(AL621&lt;=200,"Moderate",IF(AL621&lt;=300,"Poor",IF(AL621&lt;=400,"Very Poor","Severe"))))))</f>
        <v>Very Poor</v>
      </c>
    </row>
    <row r="622" customFormat="false" ht="15.75" hidden="false" customHeight="false" outlineLevel="0" collapsed="false">
      <c r="A622" s="1" t="s">
        <v>39</v>
      </c>
      <c r="B622" s="1" t="s">
        <v>40</v>
      </c>
      <c r="C622" s="1" t="n">
        <v>28.4595</v>
      </c>
      <c r="D622" s="1" t="n">
        <v>77.0266</v>
      </c>
      <c r="E622" s="5" t="n">
        <v>45926</v>
      </c>
      <c r="F622" s="6" t="s">
        <v>73</v>
      </c>
      <c r="G622" s="1" t="n">
        <v>9</v>
      </c>
      <c r="H622" s="7" t="s">
        <v>85</v>
      </c>
      <c r="I622" s="6" t="s">
        <v>43</v>
      </c>
      <c r="J622" s="7" t="s">
        <v>44</v>
      </c>
      <c r="K622" s="7" t="s">
        <v>71</v>
      </c>
      <c r="L622" s="1" t="n">
        <v>68</v>
      </c>
      <c r="M622" s="1" t="n">
        <v>23.1</v>
      </c>
      <c r="N622" s="1" t="n">
        <v>10.1</v>
      </c>
      <c r="O622" s="1" t="n">
        <v>0</v>
      </c>
      <c r="P622" s="6" t="s">
        <v>43</v>
      </c>
      <c r="Q622" s="6" t="s">
        <v>43</v>
      </c>
      <c r="R622" s="1" t="n">
        <v>1005.6</v>
      </c>
      <c r="S622" s="1" t="n">
        <v>0</v>
      </c>
      <c r="T622" s="1" t="n">
        <v>64.7</v>
      </c>
      <c r="U622" s="1" t="n">
        <v>350.2</v>
      </c>
      <c r="V622" s="1" t="n">
        <v>989</v>
      </c>
      <c r="W622" s="1" t="n">
        <v>45</v>
      </c>
      <c r="X622" s="1" t="n">
        <v>25.2</v>
      </c>
      <c r="Y622" s="1" t="n">
        <v>55</v>
      </c>
      <c r="Z622" s="1" t="n">
        <v>558</v>
      </c>
      <c r="AA622" s="1" t="n">
        <v>133</v>
      </c>
      <c r="AB622" s="7" t="s">
        <v>81</v>
      </c>
      <c r="AC622" s="7" t="s">
        <v>82</v>
      </c>
      <c r="AD622" s="7" t="s">
        <v>83</v>
      </c>
      <c r="AE622" s="7" t="s">
        <v>84</v>
      </c>
      <c r="AF622" s="4" t="n">
        <f aca="false">IF(T622="","",IF(T622&lt;=30,(50/30)*T622,IF(T622&lt;=60,50+((100-50)/(60-30))*(T622-30),IF(T622&lt;=90,100+((200-100)/(90-60))*(T622-60),IF(T622&lt;=120,200+((300-200)/(120-90))*(T622-90),IF(T622&lt;=250,300+((400-300)/(250-120))*(T622-120),IF(T622&lt;=380,400+((500-400)/(380-250))*(T622-250),500)))))))</f>
        <v>115.666666666667</v>
      </c>
      <c r="AG622" s="4" t="n">
        <f aca="false">IF(U622="","",IF(U622&lt;=50,(50/50)*U622,IF(U622&lt;=100,50+((100-50)/(100-50))*(U622-50),IF(U622&lt;=250,100+((200-100)/(250-100))*(U622-100),IF(U622&lt;=350,200+((300-200)/(350-250))*(U622-250),IF(U622&lt;=430,300+((400-300)/(430-350))*(U622-350),IF(U622&lt;=600,400+((500-400)/(600-430))*(U622-430),500)))))))</f>
        <v>300.25</v>
      </c>
      <c r="AH622" s="4" t="n">
        <f aca="false">IF(V622="","",IF((V622/1000)&lt;=1,(50/1)*(V622/1000),IF((V622/1000)&lt;=2,50+((100-50)/(2-1))*(V622/1000-1),IF((V622/1000)&lt;=10,100+((200-100)/(10-2))*(V622/1000-2),IF((V622/1000)&lt;=17,200+((300-200)/(17-10))*(V622/1000-10),IF((V622/1000)&lt;=34,300+((400-300)/(34-17))*(V622/1000-17),IF((V622/1000)&lt;=57,400+((500-400)/(57-34))*(V622/1000-34),500)))))))</f>
        <v>49.45</v>
      </c>
      <c r="AI622" s="4" t="n">
        <f aca="false">IF(W622="","",IF(W622&lt;=40,(50/40)*W622,IF(W622&lt;=80,50+((100-50)/(80-40))*(W622-40),IF(W622&lt;=180,100+((200-100)/(180-80))*(W622-80),IF(W622&lt;=280,200+((300-200)/(280-180))*(W622-180),IF(W622&lt;=400,300+((400-300)/(400-280))*(W622-280),IF(W622&lt;=800,400+((500-400)/(800-400))*(W622-400),500)))))))</f>
        <v>56.25</v>
      </c>
      <c r="AJ622" s="4" t="n">
        <f aca="false">IF(X622="","",IF(X622&lt;=40,(50/40)*X622,IF(X622&lt;=80,50+((100-50)/(80-40))*(X622-40),IF(X622&lt;=380,100+((200-100)/(380-80))*(X622-80),IF(X622&lt;=800,200+((300-200)/(800-380))*(X622-380),IF(X622&lt;=1600,300+((400-300)/(1600-800))*(X622-800),IF(X622&lt;=2100,400+((500-400)/(2100-1600))*(X622-1600),500)))))))</f>
        <v>31.5</v>
      </c>
      <c r="AK622" s="4" t="n">
        <f aca="false">IF(Y622="","",IF(Y622&lt;=50,(50/50)*Y622,IF(Y622&lt;=100,50+((100-50)/(100-50))*(Y622-50),IF(Y622&lt;=168,100+((200-100)/(168-100))*(Y622-100),IF(Y622&lt;=208,200+((300-200)/(208-168))*(Y622-168),IF(Y622&lt;=748,300+((400-300)/(748-208))*(Y622-208),IF(Y622&lt;=1000,400+((500-400)/(1000-748))*(Y622-748),500)))))))</f>
        <v>55</v>
      </c>
      <c r="AL622" s="4" t="n">
        <f aca="false">ROUND(MAX(AF622,AG622,AH622,AI622,AJ622,AK622),0)</f>
        <v>300</v>
      </c>
      <c r="AM622" s="4" t="str">
        <f aca="false">IF(AL622="","",IF(AL622&lt;=50,"Good",IF(AL622&lt;=100,"Satisfactory",IF(AL622&lt;=200,"Moderate",IF(AL622&lt;=300,"Poor",IF(AL622&lt;=400,"Very Poor","Severe"))))))</f>
        <v>Poor</v>
      </c>
    </row>
    <row r="623" customFormat="false" ht="15.75" hidden="false" customHeight="false" outlineLevel="0" collapsed="false">
      <c r="A623" s="1" t="s">
        <v>39</v>
      </c>
      <c r="B623" s="1" t="s">
        <v>40</v>
      </c>
      <c r="C623" s="1" t="n">
        <v>28.4595</v>
      </c>
      <c r="D623" s="1" t="n">
        <v>77.0266</v>
      </c>
      <c r="E623" s="5" t="n">
        <v>45926</v>
      </c>
      <c r="F623" s="6" t="s">
        <v>74</v>
      </c>
      <c r="G623" s="1" t="n">
        <v>9</v>
      </c>
      <c r="H623" s="7" t="s">
        <v>85</v>
      </c>
      <c r="I623" s="6" t="s">
        <v>43</v>
      </c>
      <c r="J623" s="7" t="s">
        <v>44</v>
      </c>
      <c r="K623" s="7" t="s">
        <v>75</v>
      </c>
      <c r="L623" s="1" t="n">
        <v>71</v>
      </c>
      <c r="M623" s="1" t="n">
        <v>23.1</v>
      </c>
      <c r="N623" s="1" t="n">
        <v>6.5</v>
      </c>
      <c r="O623" s="1" t="n">
        <v>0</v>
      </c>
      <c r="P623" s="6" t="s">
        <v>43</v>
      </c>
      <c r="Q623" s="6" t="s">
        <v>43</v>
      </c>
      <c r="R623" s="1" t="n">
        <v>1006.5</v>
      </c>
      <c r="S623" s="1" t="n">
        <v>0</v>
      </c>
      <c r="T623" s="1" t="n">
        <v>68</v>
      </c>
      <c r="U623" s="1" t="n">
        <v>346.5</v>
      </c>
      <c r="V623" s="1" t="n">
        <v>1032</v>
      </c>
      <c r="W623" s="1" t="n">
        <v>50.6</v>
      </c>
      <c r="X623" s="1" t="n">
        <v>27.4</v>
      </c>
      <c r="Y623" s="1" t="n">
        <v>44</v>
      </c>
      <c r="Z623" s="1" t="n">
        <v>536</v>
      </c>
      <c r="AA623" s="1" t="n">
        <v>135</v>
      </c>
      <c r="AB623" s="7" t="s">
        <v>81</v>
      </c>
      <c r="AC623" s="7" t="s">
        <v>82</v>
      </c>
      <c r="AD623" s="7" t="s">
        <v>83</v>
      </c>
      <c r="AE623" s="7" t="s">
        <v>84</v>
      </c>
      <c r="AF623" s="4" t="n">
        <f aca="false">IF(T623="","",IF(T623&lt;=30,(50/30)*T623,IF(T623&lt;=60,50+((100-50)/(60-30))*(T623-30),IF(T623&lt;=90,100+((200-100)/(90-60))*(T623-60),IF(T623&lt;=120,200+((300-200)/(120-90))*(T623-90),IF(T623&lt;=250,300+((400-300)/(250-120))*(T623-120),IF(T623&lt;=380,400+((500-400)/(380-250))*(T623-250),500)))))))</f>
        <v>126.666666666667</v>
      </c>
      <c r="AG623" s="4" t="n">
        <f aca="false">IF(U623="","",IF(U623&lt;=50,(50/50)*U623,IF(U623&lt;=100,50+((100-50)/(100-50))*(U623-50),IF(U623&lt;=250,100+((200-100)/(250-100))*(U623-100),IF(U623&lt;=350,200+((300-200)/(350-250))*(U623-250),IF(U623&lt;=430,300+((400-300)/(430-350))*(U623-350),IF(U623&lt;=600,400+((500-400)/(600-430))*(U623-430),500)))))))</f>
        <v>296.5</v>
      </c>
      <c r="AH623" s="4" t="n">
        <f aca="false">IF(V623="","",IF((V623/1000)&lt;=1,(50/1)*(V623/1000),IF((V623/1000)&lt;=2,50+((100-50)/(2-1))*(V623/1000-1),IF((V623/1000)&lt;=10,100+((200-100)/(10-2))*(V623/1000-2),IF((V623/1000)&lt;=17,200+((300-200)/(17-10))*(V623/1000-10),IF((V623/1000)&lt;=34,300+((400-300)/(34-17))*(V623/1000-17),IF((V623/1000)&lt;=57,400+((500-400)/(57-34))*(V623/1000-34),500)))))))</f>
        <v>51.6</v>
      </c>
      <c r="AI623" s="4" t="n">
        <f aca="false">IF(W623="","",IF(W623&lt;=40,(50/40)*W623,IF(W623&lt;=80,50+((100-50)/(80-40))*(W623-40),IF(W623&lt;=180,100+((200-100)/(180-80))*(W623-80),IF(W623&lt;=280,200+((300-200)/(280-180))*(W623-180),IF(W623&lt;=400,300+((400-300)/(400-280))*(W623-280),IF(W623&lt;=800,400+((500-400)/(800-400))*(W623-400),500)))))))</f>
        <v>63.25</v>
      </c>
      <c r="AJ623" s="4" t="n">
        <f aca="false">IF(X623="","",IF(X623&lt;=40,(50/40)*X623,IF(X623&lt;=80,50+((100-50)/(80-40))*(X623-40),IF(X623&lt;=380,100+((200-100)/(380-80))*(X623-80),IF(X623&lt;=800,200+((300-200)/(800-380))*(X623-380),IF(X623&lt;=1600,300+((400-300)/(1600-800))*(X623-800),IF(X623&lt;=2100,400+((500-400)/(2100-1600))*(X623-1600),500)))))))</f>
        <v>34.25</v>
      </c>
      <c r="AK623" s="4" t="n">
        <f aca="false">IF(Y623="","",IF(Y623&lt;=50,(50/50)*Y623,IF(Y623&lt;=100,50+((100-50)/(100-50))*(Y623-50),IF(Y623&lt;=168,100+((200-100)/(168-100))*(Y623-100),IF(Y623&lt;=208,200+((300-200)/(208-168))*(Y623-168),IF(Y623&lt;=748,300+((400-300)/(748-208))*(Y623-208),IF(Y623&lt;=1000,400+((500-400)/(1000-748))*(Y623-748),500)))))))</f>
        <v>44</v>
      </c>
      <c r="AL623" s="4" t="n">
        <f aca="false">ROUND(MAX(AF623,AG623,AH623,AI623,AJ623,AK623),0)</f>
        <v>297</v>
      </c>
      <c r="AM623" s="4" t="str">
        <f aca="false">IF(AL623="","",IF(AL623&lt;=50,"Good",IF(AL623&lt;=100,"Satisfactory",IF(AL623&lt;=200,"Moderate",IF(AL623&lt;=300,"Poor",IF(AL623&lt;=400,"Very Poor","Severe"))))))</f>
        <v>Poor</v>
      </c>
    </row>
    <row r="624" customFormat="false" ht="15.75" hidden="false" customHeight="false" outlineLevel="0" collapsed="false">
      <c r="A624" s="1" t="s">
        <v>39</v>
      </c>
      <c r="B624" s="1" t="s">
        <v>40</v>
      </c>
      <c r="C624" s="1" t="n">
        <v>28.4595</v>
      </c>
      <c r="D624" s="1" t="n">
        <v>77.0266</v>
      </c>
      <c r="E624" s="5" t="n">
        <v>45926</v>
      </c>
      <c r="F624" s="6" t="s">
        <v>76</v>
      </c>
      <c r="G624" s="1" t="n">
        <v>9</v>
      </c>
      <c r="H624" s="7" t="s">
        <v>85</v>
      </c>
      <c r="I624" s="6" t="s">
        <v>43</v>
      </c>
      <c r="J624" s="7" t="s">
        <v>44</v>
      </c>
      <c r="K624" s="7" t="s">
        <v>75</v>
      </c>
      <c r="L624" s="1" t="n">
        <v>73</v>
      </c>
      <c r="M624" s="1" t="n">
        <v>23.2</v>
      </c>
      <c r="N624" s="1" t="n">
        <v>10.4</v>
      </c>
      <c r="O624" s="1" t="n">
        <v>0</v>
      </c>
      <c r="P624" s="6" t="s">
        <v>43</v>
      </c>
      <c r="Q624" s="6" t="s">
        <v>43</v>
      </c>
      <c r="R624" s="1" t="n">
        <v>1006.8</v>
      </c>
      <c r="S624" s="1" t="n">
        <v>0</v>
      </c>
      <c r="T624" s="1" t="n">
        <v>70.3</v>
      </c>
      <c r="U624" s="1" t="n">
        <v>339.9</v>
      </c>
      <c r="V624" s="1" t="n">
        <v>997</v>
      </c>
      <c r="W624" s="1" t="n">
        <v>54.5</v>
      </c>
      <c r="X624" s="1" t="n">
        <v>29.2</v>
      </c>
      <c r="Y624" s="1" t="n">
        <v>37</v>
      </c>
      <c r="Z624" s="1" t="n">
        <v>518</v>
      </c>
      <c r="AA624" s="1" t="n">
        <v>136</v>
      </c>
      <c r="AB624" s="7" t="s">
        <v>81</v>
      </c>
      <c r="AC624" s="7" t="s">
        <v>82</v>
      </c>
      <c r="AD624" s="7" t="s">
        <v>83</v>
      </c>
      <c r="AE624" s="7" t="s">
        <v>84</v>
      </c>
      <c r="AF624" s="4" t="n">
        <f aca="false">IF(T624="","",IF(T624&lt;=30,(50/30)*T624,IF(T624&lt;=60,50+((100-50)/(60-30))*(T624-30),IF(T624&lt;=90,100+((200-100)/(90-60))*(T624-60),IF(T624&lt;=120,200+((300-200)/(120-90))*(T624-90),IF(T624&lt;=250,300+((400-300)/(250-120))*(T624-120),IF(T624&lt;=380,400+((500-400)/(380-250))*(T624-250),500)))))))</f>
        <v>134.333333333333</v>
      </c>
      <c r="AG624" s="4" t="n">
        <f aca="false">IF(U624="","",IF(U624&lt;=50,(50/50)*U624,IF(U624&lt;=100,50+((100-50)/(100-50))*(U624-50),IF(U624&lt;=250,100+((200-100)/(250-100))*(U624-100),IF(U624&lt;=350,200+((300-200)/(350-250))*(U624-250),IF(U624&lt;=430,300+((400-300)/(430-350))*(U624-350),IF(U624&lt;=600,400+((500-400)/(600-430))*(U624-430),500)))))))</f>
        <v>289.9</v>
      </c>
      <c r="AH624" s="4" t="n">
        <f aca="false">IF(V624="","",IF((V624/1000)&lt;=1,(50/1)*(V624/1000),IF((V624/1000)&lt;=2,50+((100-50)/(2-1))*(V624/1000-1),IF((V624/1000)&lt;=10,100+((200-100)/(10-2))*(V624/1000-2),IF((V624/1000)&lt;=17,200+((300-200)/(17-10))*(V624/1000-10),IF((V624/1000)&lt;=34,300+((400-300)/(34-17))*(V624/1000-17),IF((V624/1000)&lt;=57,400+((500-400)/(57-34))*(V624/1000-34),500)))))))</f>
        <v>49.85</v>
      </c>
      <c r="AI624" s="4" t="n">
        <f aca="false">IF(W624="","",IF(W624&lt;=40,(50/40)*W624,IF(W624&lt;=80,50+((100-50)/(80-40))*(W624-40),IF(W624&lt;=180,100+((200-100)/(180-80))*(W624-80),IF(W624&lt;=280,200+((300-200)/(280-180))*(W624-180),IF(W624&lt;=400,300+((400-300)/(400-280))*(W624-280),IF(W624&lt;=800,400+((500-400)/(800-400))*(W624-400),500)))))))</f>
        <v>68.125</v>
      </c>
      <c r="AJ624" s="4" t="n">
        <f aca="false">IF(X624="","",IF(X624&lt;=40,(50/40)*X624,IF(X624&lt;=80,50+((100-50)/(80-40))*(X624-40),IF(X624&lt;=380,100+((200-100)/(380-80))*(X624-80),IF(X624&lt;=800,200+((300-200)/(800-380))*(X624-380),IF(X624&lt;=1600,300+((400-300)/(1600-800))*(X624-800),IF(X624&lt;=2100,400+((500-400)/(2100-1600))*(X624-1600),500)))))))</f>
        <v>36.5</v>
      </c>
      <c r="AK624" s="4" t="n">
        <f aca="false">IF(Y624="","",IF(Y624&lt;=50,(50/50)*Y624,IF(Y624&lt;=100,50+((100-50)/(100-50))*(Y624-50),IF(Y624&lt;=168,100+((200-100)/(168-100))*(Y624-100),IF(Y624&lt;=208,200+((300-200)/(208-168))*(Y624-168),IF(Y624&lt;=748,300+((400-300)/(748-208))*(Y624-208),IF(Y624&lt;=1000,400+((500-400)/(1000-748))*(Y624-748),500)))))))</f>
        <v>37</v>
      </c>
      <c r="AL624" s="4" t="n">
        <f aca="false">ROUND(MAX(AF624,AG624,AH624,AI624,AJ624,AK624),0)</f>
        <v>290</v>
      </c>
      <c r="AM624" s="4" t="str">
        <f aca="false">IF(AL624="","",IF(AL624&lt;=50,"Good",IF(AL624&lt;=100,"Satisfactory",IF(AL624&lt;=200,"Moderate",IF(AL624&lt;=300,"Poor",IF(AL624&lt;=400,"Very Poor","Severe"))))))</f>
        <v>Poor</v>
      </c>
    </row>
    <row r="625" customFormat="false" ht="15.75" hidden="false" customHeight="false" outlineLevel="0" collapsed="false">
      <c r="A625" s="1" t="s">
        <v>39</v>
      </c>
      <c r="B625" s="1" t="s">
        <v>40</v>
      </c>
      <c r="C625" s="1" t="n">
        <v>28.4595</v>
      </c>
      <c r="D625" s="1" t="n">
        <v>77.0266</v>
      </c>
      <c r="E625" s="5" t="n">
        <v>45926</v>
      </c>
      <c r="F625" s="6" t="s">
        <v>77</v>
      </c>
      <c r="G625" s="1" t="n">
        <v>9</v>
      </c>
      <c r="H625" s="7" t="s">
        <v>85</v>
      </c>
      <c r="I625" s="6" t="s">
        <v>43</v>
      </c>
      <c r="J625" s="7" t="s">
        <v>44</v>
      </c>
      <c r="K625" s="7" t="s">
        <v>75</v>
      </c>
      <c r="L625" s="1" t="n">
        <v>75</v>
      </c>
      <c r="M625" s="1" t="n">
        <v>23</v>
      </c>
      <c r="N625" s="1" t="n">
        <v>13.7</v>
      </c>
      <c r="O625" s="1" t="n">
        <v>0</v>
      </c>
      <c r="P625" s="6" t="s">
        <v>43</v>
      </c>
      <c r="Q625" s="6" t="s">
        <v>43</v>
      </c>
      <c r="R625" s="1" t="n">
        <v>1007</v>
      </c>
      <c r="S625" s="1" t="n">
        <v>0</v>
      </c>
      <c r="T625" s="1" t="n">
        <v>71</v>
      </c>
      <c r="U625" s="1" t="n">
        <v>326</v>
      </c>
      <c r="V625" s="1" t="n">
        <v>942</v>
      </c>
      <c r="W625" s="1" t="n">
        <v>56.7</v>
      </c>
      <c r="X625" s="1" t="n">
        <v>30.5</v>
      </c>
      <c r="Y625" s="1" t="n">
        <v>33</v>
      </c>
      <c r="Z625" s="1" t="n">
        <v>494</v>
      </c>
      <c r="AA625" s="1" t="n">
        <v>138</v>
      </c>
      <c r="AB625" s="7" t="s">
        <v>81</v>
      </c>
      <c r="AC625" s="7" t="s">
        <v>82</v>
      </c>
      <c r="AD625" s="7" t="s">
        <v>83</v>
      </c>
      <c r="AE625" s="7" t="s">
        <v>84</v>
      </c>
      <c r="AF625" s="4" t="n">
        <f aca="false">IF(T625="","",IF(T625&lt;=30,(50/30)*T625,IF(T625&lt;=60,50+((100-50)/(60-30))*(T625-30),IF(T625&lt;=90,100+((200-100)/(90-60))*(T625-60),IF(T625&lt;=120,200+((300-200)/(120-90))*(T625-90),IF(T625&lt;=250,300+((400-300)/(250-120))*(T625-120),IF(T625&lt;=380,400+((500-400)/(380-250))*(T625-250),500)))))))</f>
        <v>136.666666666667</v>
      </c>
      <c r="AG625" s="4" t="n">
        <f aca="false">IF(U625="","",IF(U625&lt;=50,(50/50)*U625,IF(U625&lt;=100,50+((100-50)/(100-50))*(U625-50),IF(U625&lt;=250,100+((200-100)/(250-100))*(U625-100),IF(U625&lt;=350,200+((300-200)/(350-250))*(U625-250),IF(U625&lt;=430,300+((400-300)/(430-350))*(U625-350),IF(U625&lt;=600,400+((500-400)/(600-430))*(U625-430),500)))))))</f>
        <v>276</v>
      </c>
      <c r="AH625" s="4" t="n">
        <f aca="false">IF(V625="","",IF((V625/1000)&lt;=1,(50/1)*(V625/1000),IF((V625/1000)&lt;=2,50+((100-50)/(2-1))*(V625/1000-1),IF((V625/1000)&lt;=10,100+((200-100)/(10-2))*(V625/1000-2),IF((V625/1000)&lt;=17,200+((300-200)/(17-10))*(V625/1000-10),IF((V625/1000)&lt;=34,300+((400-300)/(34-17))*(V625/1000-17),IF((V625/1000)&lt;=57,400+((500-400)/(57-34))*(V625/1000-34),500)))))))</f>
        <v>47.1</v>
      </c>
      <c r="AI625" s="4" t="n">
        <f aca="false">IF(W625="","",IF(W625&lt;=40,(50/40)*W625,IF(W625&lt;=80,50+((100-50)/(80-40))*(W625-40),IF(W625&lt;=180,100+((200-100)/(180-80))*(W625-80),IF(W625&lt;=280,200+((300-200)/(280-180))*(W625-180),IF(W625&lt;=400,300+((400-300)/(400-280))*(W625-280),IF(W625&lt;=800,400+((500-400)/(800-400))*(W625-400),500)))))))</f>
        <v>70.875</v>
      </c>
      <c r="AJ625" s="4" t="n">
        <f aca="false">IF(X625="","",IF(X625&lt;=40,(50/40)*X625,IF(X625&lt;=80,50+((100-50)/(80-40))*(X625-40),IF(X625&lt;=380,100+((200-100)/(380-80))*(X625-80),IF(X625&lt;=800,200+((300-200)/(800-380))*(X625-380),IF(X625&lt;=1600,300+((400-300)/(1600-800))*(X625-800),IF(X625&lt;=2100,400+((500-400)/(2100-1600))*(X625-1600),500)))))))</f>
        <v>38.125</v>
      </c>
      <c r="AK625" s="4" t="n">
        <f aca="false">IF(Y625="","",IF(Y625&lt;=50,(50/50)*Y625,IF(Y625&lt;=100,50+((100-50)/(100-50))*(Y625-50),IF(Y625&lt;=168,100+((200-100)/(168-100))*(Y625-100),IF(Y625&lt;=208,200+((300-200)/(208-168))*(Y625-168),IF(Y625&lt;=748,300+((400-300)/(748-208))*(Y625-208),IF(Y625&lt;=1000,400+((500-400)/(1000-748))*(Y625-748),500)))))))</f>
        <v>33</v>
      </c>
      <c r="AL625" s="4" t="n">
        <f aca="false">ROUND(MAX(AF625,AG625,AH625,AI625,AJ625,AK625),0)</f>
        <v>276</v>
      </c>
      <c r="AM625" s="4" t="str">
        <f aca="false">IF(AL625="","",IF(AL625&lt;=50,"Good",IF(AL625&lt;=100,"Satisfactory",IF(AL625&lt;=200,"Moderate",IF(AL625&lt;=300,"Poor",IF(AL625&lt;=400,"Very Poor","Severe"))))))</f>
        <v>Poor</v>
      </c>
    </row>
    <row r="626" customFormat="false" ht="15.75" hidden="false" customHeight="false" outlineLevel="0" collapsed="false">
      <c r="A626" s="1" t="s">
        <v>39</v>
      </c>
      <c r="B626" s="1" t="s">
        <v>40</v>
      </c>
      <c r="C626" s="1" t="n">
        <v>28.4595</v>
      </c>
      <c r="D626" s="1" t="n">
        <v>77.0266</v>
      </c>
      <c r="E626" s="5" t="n">
        <v>45927</v>
      </c>
      <c r="F626" s="6" t="s">
        <v>41</v>
      </c>
      <c r="G626" s="1" t="n">
        <v>9</v>
      </c>
      <c r="H626" s="7" t="s">
        <v>86</v>
      </c>
      <c r="I626" s="6" t="s">
        <v>46</v>
      </c>
      <c r="J626" s="7" t="s">
        <v>44</v>
      </c>
      <c r="K626" s="7" t="s">
        <v>45</v>
      </c>
      <c r="L626" s="1" t="n">
        <v>75</v>
      </c>
      <c r="M626" s="1" t="n">
        <v>22.5</v>
      </c>
      <c r="N626" s="1" t="n">
        <v>14</v>
      </c>
      <c r="O626" s="1" t="n">
        <v>0</v>
      </c>
      <c r="P626" s="6" t="s">
        <v>43</v>
      </c>
      <c r="Q626" s="6" t="s">
        <v>43</v>
      </c>
      <c r="R626" s="1" t="n">
        <v>1007</v>
      </c>
      <c r="S626" s="1" t="n">
        <v>0</v>
      </c>
      <c r="T626" s="1" t="n">
        <v>70.8</v>
      </c>
      <c r="U626" s="1" t="n">
        <v>315.7</v>
      </c>
      <c r="V626" s="1" t="n">
        <v>872</v>
      </c>
      <c r="W626" s="1" t="n">
        <v>56.9</v>
      </c>
      <c r="X626" s="1" t="n">
        <v>30.9</v>
      </c>
      <c r="Y626" s="1" t="n">
        <v>31</v>
      </c>
      <c r="Z626" s="1" t="n">
        <v>460</v>
      </c>
      <c r="AA626" s="1" t="n">
        <v>140</v>
      </c>
      <c r="AB626" s="7" t="s">
        <v>81</v>
      </c>
      <c r="AC626" s="7" t="s">
        <v>82</v>
      </c>
      <c r="AD626" s="7" t="s">
        <v>83</v>
      </c>
      <c r="AE626" s="7" t="s">
        <v>84</v>
      </c>
      <c r="AF626" s="4" t="n">
        <f aca="false">IF(T626="","",IF(T626&lt;=30,(50/30)*T626,IF(T626&lt;=60,50+((100-50)/(60-30))*(T626-30),IF(T626&lt;=90,100+((200-100)/(90-60))*(T626-60),IF(T626&lt;=120,200+((300-200)/(120-90))*(T626-90),IF(T626&lt;=250,300+((400-300)/(250-120))*(T626-120),IF(T626&lt;=380,400+((500-400)/(380-250))*(T626-250),500)))))))</f>
        <v>136</v>
      </c>
      <c r="AG626" s="4" t="n">
        <f aca="false">IF(U626="","",IF(U626&lt;=50,(50/50)*U626,IF(U626&lt;=100,50+((100-50)/(100-50))*(U626-50),IF(U626&lt;=250,100+((200-100)/(250-100))*(U626-100),IF(U626&lt;=350,200+((300-200)/(350-250))*(U626-250),IF(U626&lt;=430,300+((400-300)/(430-350))*(U626-350),IF(U626&lt;=600,400+((500-400)/(600-430))*(U626-430),500)))))))</f>
        <v>265.7</v>
      </c>
      <c r="AH626" s="4" t="n">
        <f aca="false">IF(V626="","",IF((V626/1000)&lt;=1,(50/1)*(V626/1000),IF((V626/1000)&lt;=2,50+((100-50)/(2-1))*(V626/1000-1),IF((V626/1000)&lt;=10,100+((200-100)/(10-2))*(V626/1000-2),IF((V626/1000)&lt;=17,200+((300-200)/(17-10))*(V626/1000-10),IF((V626/1000)&lt;=34,300+((400-300)/(34-17))*(V626/1000-17),IF((V626/1000)&lt;=57,400+((500-400)/(57-34))*(V626/1000-34),500)))))))</f>
        <v>43.6</v>
      </c>
      <c r="AI626" s="4" t="n">
        <f aca="false">IF(W626="","",IF(W626&lt;=40,(50/40)*W626,IF(W626&lt;=80,50+((100-50)/(80-40))*(W626-40),IF(W626&lt;=180,100+((200-100)/(180-80))*(W626-80),IF(W626&lt;=280,200+((300-200)/(280-180))*(W626-180),IF(W626&lt;=400,300+((400-300)/(400-280))*(W626-280),IF(W626&lt;=800,400+((500-400)/(800-400))*(W626-400),500)))))))</f>
        <v>71.125</v>
      </c>
      <c r="AJ626" s="4" t="n">
        <f aca="false">IF(X626="","",IF(X626&lt;=40,(50/40)*X626,IF(X626&lt;=80,50+((100-50)/(80-40))*(X626-40),IF(X626&lt;=380,100+((200-100)/(380-80))*(X626-80),IF(X626&lt;=800,200+((300-200)/(800-380))*(X626-380),IF(X626&lt;=1600,300+((400-300)/(1600-800))*(X626-800),IF(X626&lt;=2100,400+((500-400)/(2100-1600))*(X626-1600),500)))))))</f>
        <v>38.625</v>
      </c>
      <c r="AK626" s="4" t="n">
        <f aca="false">IF(Y626="","",IF(Y626&lt;=50,(50/50)*Y626,IF(Y626&lt;=100,50+((100-50)/(100-50))*(Y626-50),IF(Y626&lt;=168,100+((200-100)/(168-100))*(Y626-100),IF(Y626&lt;=208,200+((300-200)/(208-168))*(Y626-168),IF(Y626&lt;=748,300+((400-300)/(748-208))*(Y626-208),IF(Y626&lt;=1000,400+((500-400)/(1000-748))*(Y626-748),500)))))))</f>
        <v>31</v>
      </c>
      <c r="AL626" s="4" t="n">
        <f aca="false">ROUND(MAX(AF626,AG626,AH626,AI626,AJ626,AK626),0)</f>
        <v>266</v>
      </c>
      <c r="AM626" s="4" t="str">
        <f aca="false">IF(AL626="","",IF(AL626&lt;=50,"Good",IF(AL626&lt;=100,"Satisfactory",IF(AL626&lt;=200,"Moderate",IF(AL626&lt;=300,"Poor",IF(AL626&lt;=400,"Very Poor","Severe"))))))</f>
        <v>Poor</v>
      </c>
    </row>
    <row r="627" customFormat="false" ht="15.75" hidden="false" customHeight="false" outlineLevel="0" collapsed="false">
      <c r="A627" s="1" t="s">
        <v>39</v>
      </c>
      <c r="B627" s="1" t="s">
        <v>40</v>
      </c>
      <c r="C627" s="1" t="n">
        <v>28.4595</v>
      </c>
      <c r="D627" s="1" t="n">
        <v>77.0266</v>
      </c>
      <c r="E627" s="5" t="n">
        <v>45927</v>
      </c>
      <c r="F627" s="6" t="s">
        <v>49</v>
      </c>
      <c r="G627" s="1" t="n">
        <v>9</v>
      </c>
      <c r="H627" s="7" t="s">
        <v>86</v>
      </c>
      <c r="I627" s="6" t="s">
        <v>46</v>
      </c>
      <c r="J627" s="7" t="s">
        <v>44</v>
      </c>
      <c r="K627" s="7" t="s">
        <v>45</v>
      </c>
      <c r="L627" s="1" t="n">
        <v>74</v>
      </c>
      <c r="M627" s="1" t="n">
        <v>22.1</v>
      </c>
      <c r="N627" s="1" t="n">
        <v>13.3</v>
      </c>
      <c r="O627" s="1" t="n">
        <v>0</v>
      </c>
      <c r="P627" s="6" t="s">
        <v>43</v>
      </c>
      <c r="Q627" s="6" t="s">
        <v>43</v>
      </c>
      <c r="R627" s="1" t="n">
        <v>1007</v>
      </c>
      <c r="S627" s="1" t="n">
        <v>0</v>
      </c>
      <c r="T627" s="1" t="n">
        <v>69.6</v>
      </c>
      <c r="U627" s="1" t="n">
        <v>291.5</v>
      </c>
      <c r="V627" s="1" t="n">
        <v>781</v>
      </c>
      <c r="W627" s="1" t="n">
        <v>55.3</v>
      </c>
      <c r="X627" s="1" t="n">
        <v>30.8</v>
      </c>
      <c r="Y627" s="1" t="n">
        <v>30</v>
      </c>
      <c r="Z627" s="1" t="n">
        <v>422</v>
      </c>
      <c r="AA627" s="1" t="n">
        <v>142</v>
      </c>
      <c r="AB627" s="7" t="s">
        <v>81</v>
      </c>
      <c r="AC627" s="7" t="s">
        <v>82</v>
      </c>
      <c r="AD627" s="7" t="s">
        <v>83</v>
      </c>
      <c r="AE627" s="7" t="s">
        <v>84</v>
      </c>
      <c r="AF627" s="4" t="n">
        <f aca="false">IF(T627="","",IF(T627&lt;=30,(50/30)*T627,IF(T627&lt;=60,50+((100-50)/(60-30))*(T627-30),IF(T627&lt;=90,100+((200-100)/(90-60))*(T627-60),IF(T627&lt;=120,200+((300-200)/(120-90))*(T627-90),IF(T627&lt;=250,300+((400-300)/(250-120))*(T627-120),IF(T627&lt;=380,400+((500-400)/(380-250))*(T627-250),500)))))))</f>
        <v>132</v>
      </c>
      <c r="AG627" s="4" t="n">
        <f aca="false">IF(U627="","",IF(U627&lt;=50,(50/50)*U627,IF(U627&lt;=100,50+((100-50)/(100-50))*(U627-50),IF(U627&lt;=250,100+((200-100)/(250-100))*(U627-100),IF(U627&lt;=350,200+((300-200)/(350-250))*(U627-250),IF(U627&lt;=430,300+((400-300)/(430-350))*(U627-350),IF(U627&lt;=600,400+((500-400)/(600-430))*(U627-430),500)))))))</f>
        <v>241.5</v>
      </c>
      <c r="AH627" s="4" t="n">
        <f aca="false">IF(V627="","",IF((V627/1000)&lt;=1,(50/1)*(V627/1000),IF((V627/1000)&lt;=2,50+((100-50)/(2-1))*(V627/1000-1),IF((V627/1000)&lt;=10,100+((200-100)/(10-2))*(V627/1000-2),IF((V627/1000)&lt;=17,200+((300-200)/(17-10))*(V627/1000-10),IF((V627/1000)&lt;=34,300+((400-300)/(34-17))*(V627/1000-17),IF((V627/1000)&lt;=57,400+((500-400)/(57-34))*(V627/1000-34),500)))))))</f>
        <v>39.05</v>
      </c>
      <c r="AI627" s="4" t="n">
        <f aca="false">IF(W627="","",IF(W627&lt;=40,(50/40)*W627,IF(W627&lt;=80,50+((100-50)/(80-40))*(W627-40),IF(W627&lt;=180,100+((200-100)/(180-80))*(W627-80),IF(W627&lt;=280,200+((300-200)/(280-180))*(W627-180),IF(W627&lt;=400,300+((400-300)/(400-280))*(W627-280),IF(W627&lt;=800,400+((500-400)/(800-400))*(W627-400),500)))))))</f>
        <v>69.125</v>
      </c>
      <c r="AJ627" s="4" t="n">
        <f aca="false">IF(X627="","",IF(X627&lt;=40,(50/40)*X627,IF(X627&lt;=80,50+((100-50)/(80-40))*(X627-40),IF(X627&lt;=380,100+((200-100)/(380-80))*(X627-80),IF(X627&lt;=800,200+((300-200)/(800-380))*(X627-380),IF(X627&lt;=1600,300+((400-300)/(1600-800))*(X627-800),IF(X627&lt;=2100,400+((500-400)/(2100-1600))*(X627-1600),500)))))))</f>
        <v>38.5</v>
      </c>
      <c r="AK627" s="4" t="n">
        <f aca="false">IF(Y627="","",IF(Y627&lt;=50,(50/50)*Y627,IF(Y627&lt;=100,50+((100-50)/(100-50))*(Y627-50),IF(Y627&lt;=168,100+((200-100)/(168-100))*(Y627-100),IF(Y627&lt;=208,200+((300-200)/(208-168))*(Y627-168),IF(Y627&lt;=748,300+((400-300)/(748-208))*(Y627-208),IF(Y627&lt;=1000,400+((500-400)/(1000-748))*(Y627-748),500)))))))</f>
        <v>30</v>
      </c>
      <c r="AL627" s="4" t="n">
        <f aca="false">ROUND(MAX(AF627,AG627,AH627,AI627,AJ627,AK627),0)</f>
        <v>242</v>
      </c>
      <c r="AM627" s="4" t="str">
        <f aca="false">IF(AL627="","",IF(AL627&lt;=50,"Good",IF(AL627&lt;=100,"Satisfactory",IF(AL627&lt;=200,"Moderate",IF(AL627&lt;=300,"Poor",IF(AL627&lt;=400,"Very Poor","Severe"))))))</f>
        <v>Poor</v>
      </c>
    </row>
    <row r="628" customFormat="false" ht="15.75" hidden="false" customHeight="false" outlineLevel="0" collapsed="false">
      <c r="A628" s="1" t="s">
        <v>39</v>
      </c>
      <c r="B628" s="1" t="s">
        <v>40</v>
      </c>
      <c r="C628" s="1" t="n">
        <v>28.4595</v>
      </c>
      <c r="D628" s="1" t="n">
        <v>77.0266</v>
      </c>
      <c r="E628" s="5" t="n">
        <v>45927</v>
      </c>
      <c r="F628" s="6" t="s">
        <v>51</v>
      </c>
      <c r="G628" s="1" t="n">
        <v>9</v>
      </c>
      <c r="H628" s="7" t="s">
        <v>86</v>
      </c>
      <c r="I628" s="6" t="s">
        <v>46</v>
      </c>
      <c r="J628" s="7" t="s">
        <v>44</v>
      </c>
      <c r="K628" s="7" t="s">
        <v>45</v>
      </c>
      <c r="L628" s="1" t="n">
        <v>74</v>
      </c>
      <c r="M628" s="1" t="n">
        <v>21.7</v>
      </c>
      <c r="N628" s="1" t="n">
        <v>11.5</v>
      </c>
      <c r="O628" s="1" t="n">
        <v>0</v>
      </c>
      <c r="P628" s="6" t="s">
        <v>43</v>
      </c>
      <c r="Q628" s="6" t="s">
        <v>43</v>
      </c>
      <c r="R628" s="1" t="n">
        <v>1006.7</v>
      </c>
      <c r="S628" s="1" t="n">
        <v>0</v>
      </c>
      <c r="T628" s="1" t="n">
        <v>67.8</v>
      </c>
      <c r="U628" s="1" t="n">
        <v>271</v>
      </c>
      <c r="V628" s="1" t="n">
        <v>710</v>
      </c>
      <c r="W628" s="1" t="n">
        <v>52.9</v>
      </c>
      <c r="X628" s="1" t="n">
        <v>30.4</v>
      </c>
      <c r="Y628" s="1" t="n">
        <v>31</v>
      </c>
      <c r="Z628" s="1" t="n">
        <v>389</v>
      </c>
      <c r="AA628" s="1" t="n">
        <v>143</v>
      </c>
      <c r="AB628" s="7" t="s">
        <v>81</v>
      </c>
      <c r="AC628" s="7" t="s">
        <v>82</v>
      </c>
      <c r="AD628" s="7" t="s">
        <v>83</v>
      </c>
      <c r="AE628" s="7" t="s">
        <v>84</v>
      </c>
      <c r="AF628" s="4" t="n">
        <f aca="false">IF(T628="","",IF(T628&lt;=30,(50/30)*T628,IF(T628&lt;=60,50+((100-50)/(60-30))*(T628-30),IF(T628&lt;=90,100+((200-100)/(90-60))*(T628-60),IF(T628&lt;=120,200+((300-200)/(120-90))*(T628-90),IF(T628&lt;=250,300+((400-300)/(250-120))*(T628-120),IF(T628&lt;=380,400+((500-400)/(380-250))*(T628-250),500)))))))</f>
        <v>126</v>
      </c>
      <c r="AG628" s="4" t="n">
        <f aca="false">IF(U628="","",IF(U628&lt;=50,(50/50)*U628,IF(U628&lt;=100,50+((100-50)/(100-50))*(U628-50),IF(U628&lt;=250,100+((200-100)/(250-100))*(U628-100),IF(U628&lt;=350,200+((300-200)/(350-250))*(U628-250),IF(U628&lt;=430,300+((400-300)/(430-350))*(U628-350),IF(U628&lt;=600,400+((500-400)/(600-430))*(U628-430),500)))))))</f>
        <v>221</v>
      </c>
      <c r="AH628" s="4" t="n">
        <f aca="false">IF(V628="","",IF((V628/1000)&lt;=1,(50/1)*(V628/1000),IF((V628/1000)&lt;=2,50+((100-50)/(2-1))*(V628/1000-1),IF((V628/1000)&lt;=10,100+((200-100)/(10-2))*(V628/1000-2),IF((V628/1000)&lt;=17,200+((300-200)/(17-10))*(V628/1000-10),IF((V628/1000)&lt;=34,300+((400-300)/(34-17))*(V628/1000-17),IF((V628/1000)&lt;=57,400+((500-400)/(57-34))*(V628/1000-34),500)))))))</f>
        <v>35.5</v>
      </c>
      <c r="AI628" s="4" t="n">
        <f aca="false">IF(W628="","",IF(W628&lt;=40,(50/40)*W628,IF(W628&lt;=80,50+((100-50)/(80-40))*(W628-40),IF(W628&lt;=180,100+((200-100)/(180-80))*(W628-80),IF(W628&lt;=280,200+((300-200)/(280-180))*(W628-180),IF(W628&lt;=400,300+((400-300)/(400-280))*(W628-280),IF(W628&lt;=800,400+((500-400)/(800-400))*(W628-400),500)))))))</f>
        <v>66.125</v>
      </c>
      <c r="AJ628" s="4" t="n">
        <f aca="false">IF(X628="","",IF(X628&lt;=40,(50/40)*X628,IF(X628&lt;=80,50+((100-50)/(80-40))*(X628-40),IF(X628&lt;=380,100+((200-100)/(380-80))*(X628-80),IF(X628&lt;=800,200+((300-200)/(800-380))*(X628-380),IF(X628&lt;=1600,300+((400-300)/(1600-800))*(X628-800),IF(X628&lt;=2100,400+((500-400)/(2100-1600))*(X628-1600),500)))))))</f>
        <v>38</v>
      </c>
      <c r="AK628" s="4" t="n">
        <f aca="false">IF(Y628="","",IF(Y628&lt;=50,(50/50)*Y628,IF(Y628&lt;=100,50+((100-50)/(100-50))*(Y628-50),IF(Y628&lt;=168,100+((200-100)/(168-100))*(Y628-100),IF(Y628&lt;=208,200+((300-200)/(208-168))*(Y628-168),IF(Y628&lt;=748,300+((400-300)/(748-208))*(Y628-208),IF(Y628&lt;=1000,400+((500-400)/(1000-748))*(Y628-748),500)))))))</f>
        <v>31</v>
      </c>
      <c r="AL628" s="4" t="n">
        <f aca="false">ROUND(MAX(AF628,AG628,AH628,AI628,AJ628,AK628),0)</f>
        <v>221</v>
      </c>
      <c r="AM628" s="4" t="str">
        <f aca="false">IF(AL628="","",IF(AL628&lt;=50,"Good",IF(AL628&lt;=100,"Satisfactory",IF(AL628&lt;=200,"Moderate",IF(AL628&lt;=300,"Poor",IF(AL628&lt;=400,"Very Poor","Severe"))))))</f>
        <v>Poor</v>
      </c>
    </row>
    <row r="629" customFormat="false" ht="15.75" hidden="false" customHeight="false" outlineLevel="0" collapsed="false">
      <c r="A629" s="1" t="s">
        <v>39</v>
      </c>
      <c r="B629" s="1" t="s">
        <v>40</v>
      </c>
      <c r="C629" s="1" t="n">
        <v>28.4595</v>
      </c>
      <c r="D629" s="1" t="n">
        <v>77.0266</v>
      </c>
      <c r="E629" s="5" t="n">
        <v>45927</v>
      </c>
      <c r="F629" s="6" t="s">
        <v>52</v>
      </c>
      <c r="G629" s="1" t="n">
        <v>9</v>
      </c>
      <c r="H629" s="7" t="s">
        <v>86</v>
      </c>
      <c r="I629" s="6" t="s">
        <v>46</v>
      </c>
      <c r="J629" s="7" t="s">
        <v>44</v>
      </c>
      <c r="K629" s="7" t="s">
        <v>45</v>
      </c>
      <c r="L629" s="1" t="n">
        <v>76</v>
      </c>
      <c r="M629" s="1" t="n">
        <v>21.6</v>
      </c>
      <c r="N629" s="1" t="n">
        <v>10.8</v>
      </c>
      <c r="O629" s="1" t="n">
        <v>0</v>
      </c>
      <c r="P629" s="6" t="s">
        <v>43</v>
      </c>
      <c r="Q629" s="6" t="s">
        <v>43</v>
      </c>
      <c r="R629" s="1" t="n">
        <v>1006.7</v>
      </c>
      <c r="S629" s="1" t="n">
        <v>0</v>
      </c>
      <c r="T629" s="1" t="n">
        <v>65.7</v>
      </c>
      <c r="U629" s="1" t="n">
        <v>252.4</v>
      </c>
      <c r="V629" s="1" t="n">
        <v>672</v>
      </c>
      <c r="W629" s="1" t="n">
        <v>49.1</v>
      </c>
      <c r="X629" s="1" t="n">
        <v>29.8</v>
      </c>
      <c r="Y629" s="1" t="n">
        <v>31</v>
      </c>
      <c r="Z629" s="1" t="n">
        <v>368</v>
      </c>
      <c r="AA629" s="1" t="n">
        <v>146</v>
      </c>
      <c r="AB629" s="7" t="s">
        <v>81</v>
      </c>
      <c r="AC629" s="7" t="s">
        <v>82</v>
      </c>
      <c r="AD629" s="7" t="s">
        <v>83</v>
      </c>
      <c r="AE629" s="7" t="s">
        <v>84</v>
      </c>
      <c r="AF629" s="4" t="n">
        <f aca="false">IF(T629="","",IF(T629&lt;=30,(50/30)*T629,IF(T629&lt;=60,50+((100-50)/(60-30))*(T629-30),IF(T629&lt;=90,100+((200-100)/(90-60))*(T629-60),IF(T629&lt;=120,200+((300-200)/(120-90))*(T629-90),IF(T629&lt;=250,300+((400-300)/(250-120))*(T629-120),IF(T629&lt;=380,400+((500-400)/(380-250))*(T629-250),500)))))))</f>
        <v>119</v>
      </c>
      <c r="AG629" s="4" t="n">
        <f aca="false">IF(U629="","",IF(U629&lt;=50,(50/50)*U629,IF(U629&lt;=100,50+((100-50)/(100-50))*(U629-50),IF(U629&lt;=250,100+((200-100)/(250-100))*(U629-100),IF(U629&lt;=350,200+((300-200)/(350-250))*(U629-250),IF(U629&lt;=430,300+((400-300)/(430-350))*(U629-350),IF(U629&lt;=600,400+((500-400)/(600-430))*(U629-430),500)))))))</f>
        <v>202.4</v>
      </c>
      <c r="AH629" s="4" t="n">
        <f aca="false">IF(V629="","",IF((V629/1000)&lt;=1,(50/1)*(V629/1000),IF((V629/1000)&lt;=2,50+((100-50)/(2-1))*(V629/1000-1),IF((V629/1000)&lt;=10,100+((200-100)/(10-2))*(V629/1000-2),IF((V629/1000)&lt;=17,200+((300-200)/(17-10))*(V629/1000-10),IF((V629/1000)&lt;=34,300+((400-300)/(34-17))*(V629/1000-17),IF((V629/1000)&lt;=57,400+((500-400)/(57-34))*(V629/1000-34),500)))))))</f>
        <v>33.6</v>
      </c>
      <c r="AI629" s="4" t="n">
        <f aca="false">IF(W629="","",IF(W629&lt;=40,(50/40)*W629,IF(W629&lt;=80,50+((100-50)/(80-40))*(W629-40),IF(W629&lt;=180,100+((200-100)/(180-80))*(W629-80),IF(W629&lt;=280,200+((300-200)/(280-180))*(W629-180),IF(W629&lt;=400,300+((400-300)/(400-280))*(W629-280),IF(W629&lt;=800,400+((500-400)/(800-400))*(W629-400),500)))))))</f>
        <v>61.375</v>
      </c>
      <c r="AJ629" s="4" t="n">
        <f aca="false">IF(X629="","",IF(X629&lt;=40,(50/40)*X629,IF(X629&lt;=80,50+((100-50)/(80-40))*(X629-40),IF(X629&lt;=380,100+((200-100)/(380-80))*(X629-80),IF(X629&lt;=800,200+((300-200)/(800-380))*(X629-380),IF(X629&lt;=1600,300+((400-300)/(1600-800))*(X629-800),IF(X629&lt;=2100,400+((500-400)/(2100-1600))*(X629-1600),500)))))))</f>
        <v>37.25</v>
      </c>
      <c r="AK629" s="4" t="n">
        <f aca="false">IF(Y629="","",IF(Y629&lt;=50,(50/50)*Y629,IF(Y629&lt;=100,50+((100-50)/(100-50))*(Y629-50),IF(Y629&lt;=168,100+((200-100)/(168-100))*(Y629-100),IF(Y629&lt;=208,200+((300-200)/(208-168))*(Y629-168),IF(Y629&lt;=748,300+((400-300)/(748-208))*(Y629-208),IF(Y629&lt;=1000,400+((500-400)/(1000-748))*(Y629-748),500)))))))</f>
        <v>31</v>
      </c>
      <c r="AL629" s="4" t="n">
        <f aca="false">ROUND(MAX(AF629,AG629,AH629,AI629,AJ629,AK629),0)</f>
        <v>202</v>
      </c>
      <c r="AM629" s="4" t="str">
        <f aca="false">IF(AL629="","",IF(AL629&lt;=50,"Good",IF(AL629&lt;=100,"Satisfactory",IF(AL629&lt;=200,"Moderate",IF(AL629&lt;=300,"Poor",IF(AL629&lt;=400,"Very Poor","Severe"))))))</f>
        <v>Poor</v>
      </c>
    </row>
    <row r="630" customFormat="false" ht="15.75" hidden="false" customHeight="false" outlineLevel="0" collapsed="false">
      <c r="A630" s="1" t="s">
        <v>39</v>
      </c>
      <c r="B630" s="1" t="s">
        <v>40</v>
      </c>
      <c r="C630" s="1" t="n">
        <v>28.4595</v>
      </c>
      <c r="D630" s="1" t="n">
        <v>77.0266</v>
      </c>
      <c r="E630" s="5" t="n">
        <v>45927</v>
      </c>
      <c r="F630" s="6" t="s">
        <v>53</v>
      </c>
      <c r="G630" s="1" t="n">
        <v>9</v>
      </c>
      <c r="H630" s="7" t="s">
        <v>86</v>
      </c>
      <c r="I630" s="6" t="s">
        <v>46</v>
      </c>
      <c r="J630" s="7" t="s">
        <v>44</v>
      </c>
      <c r="K630" s="7" t="s">
        <v>45</v>
      </c>
      <c r="L630" s="1" t="n">
        <v>79</v>
      </c>
      <c r="M630" s="1" t="n">
        <v>21.5</v>
      </c>
      <c r="N630" s="1" t="n">
        <v>14</v>
      </c>
      <c r="O630" s="1" t="n">
        <v>0</v>
      </c>
      <c r="P630" s="6" t="s">
        <v>43</v>
      </c>
      <c r="Q630" s="6" t="s">
        <v>43</v>
      </c>
      <c r="R630" s="1" t="n">
        <v>1006.9</v>
      </c>
      <c r="S630" s="1" t="n">
        <v>0</v>
      </c>
      <c r="T630" s="1" t="n">
        <v>65.7</v>
      </c>
      <c r="U630" s="1" t="n">
        <v>250.5</v>
      </c>
      <c r="V630" s="1" t="n">
        <v>654</v>
      </c>
      <c r="W630" s="1" t="n">
        <v>44.4</v>
      </c>
      <c r="X630" s="1" t="n">
        <v>28.9</v>
      </c>
      <c r="Y630" s="1" t="n">
        <v>32</v>
      </c>
      <c r="Z630" s="1" t="n">
        <v>353</v>
      </c>
      <c r="AA630" s="1" t="n">
        <v>148</v>
      </c>
      <c r="AB630" s="7" t="s">
        <v>81</v>
      </c>
      <c r="AC630" s="7" t="s">
        <v>82</v>
      </c>
      <c r="AD630" s="7" t="s">
        <v>83</v>
      </c>
      <c r="AE630" s="7" t="s">
        <v>84</v>
      </c>
      <c r="AF630" s="4" t="n">
        <f aca="false">IF(T630="","",IF(T630&lt;=30,(50/30)*T630,IF(T630&lt;=60,50+((100-50)/(60-30))*(T630-30),IF(T630&lt;=90,100+((200-100)/(90-60))*(T630-60),IF(T630&lt;=120,200+((300-200)/(120-90))*(T630-90),IF(T630&lt;=250,300+((400-300)/(250-120))*(T630-120),IF(T630&lt;=380,400+((500-400)/(380-250))*(T630-250),500)))))))</f>
        <v>119</v>
      </c>
      <c r="AG630" s="4" t="n">
        <f aca="false">IF(U630="","",IF(U630&lt;=50,(50/50)*U630,IF(U630&lt;=100,50+((100-50)/(100-50))*(U630-50),IF(U630&lt;=250,100+((200-100)/(250-100))*(U630-100),IF(U630&lt;=350,200+((300-200)/(350-250))*(U630-250),IF(U630&lt;=430,300+((400-300)/(430-350))*(U630-350),IF(U630&lt;=600,400+((500-400)/(600-430))*(U630-430),500)))))))</f>
        <v>200.5</v>
      </c>
      <c r="AH630" s="4" t="n">
        <f aca="false">IF(V630="","",IF((V630/1000)&lt;=1,(50/1)*(V630/1000),IF((V630/1000)&lt;=2,50+((100-50)/(2-1))*(V630/1000-1),IF((V630/1000)&lt;=10,100+((200-100)/(10-2))*(V630/1000-2),IF((V630/1000)&lt;=17,200+((300-200)/(17-10))*(V630/1000-10),IF((V630/1000)&lt;=34,300+((400-300)/(34-17))*(V630/1000-17),IF((V630/1000)&lt;=57,400+((500-400)/(57-34))*(V630/1000-34),500)))))))</f>
        <v>32.7</v>
      </c>
      <c r="AI630" s="4" t="n">
        <f aca="false">IF(W630="","",IF(W630&lt;=40,(50/40)*W630,IF(W630&lt;=80,50+((100-50)/(80-40))*(W630-40),IF(W630&lt;=180,100+((200-100)/(180-80))*(W630-80),IF(W630&lt;=280,200+((300-200)/(280-180))*(W630-180),IF(W630&lt;=400,300+((400-300)/(400-280))*(W630-280),IF(W630&lt;=800,400+((500-400)/(800-400))*(W630-400),500)))))))</f>
        <v>55.5</v>
      </c>
      <c r="AJ630" s="4" t="n">
        <f aca="false">IF(X630="","",IF(X630&lt;=40,(50/40)*X630,IF(X630&lt;=80,50+((100-50)/(80-40))*(X630-40),IF(X630&lt;=380,100+((200-100)/(380-80))*(X630-80),IF(X630&lt;=800,200+((300-200)/(800-380))*(X630-380),IF(X630&lt;=1600,300+((400-300)/(1600-800))*(X630-800),IF(X630&lt;=2100,400+((500-400)/(2100-1600))*(X630-1600),500)))))))</f>
        <v>36.125</v>
      </c>
      <c r="AK630" s="4" t="n">
        <f aca="false">IF(Y630="","",IF(Y630&lt;=50,(50/50)*Y630,IF(Y630&lt;=100,50+((100-50)/(100-50))*(Y630-50),IF(Y630&lt;=168,100+((200-100)/(168-100))*(Y630-100),IF(Y630&lt;=208,200+((300-200)/(208-168))*(Y630-168),IF(Y630&lt;=748,300+((400-300)/(748-208))*(Y630-208),IF(Y630&lt;=1000,400+((500-400)/(1000-748))*(Y630-748),500)))))))</f>
        <v>32</v>
      </c>
      <c r="AL630" s="4" t="n">
        <f aca="false">ROUND(MAX(AF630,AG630,AH630,AI630,AJ630,AK630),0)</f>
        <v>201</v>
      </c>
      <c r="AM630" s="4" t="str">
        <f aca="false">IF(AL630="","",IF(AL630&lt;=50,"Good",IF(AL630&lt;=100,"Satisfactory",IF(AL630&lt;=200,"Moderate",IF(AL630&lt;=300,"Poor",IF(AL630&lt;=400,"Very Poor","Severe"))))))</f>
        <v>Poor</v>
      </c>
    </row>
    <row r="631" customFormat="false" ht="15.75" hidden="false" customHeight="false" outlineLevel="0" collapsed="false">
      <c r="A631" s="1" t="s">
        <v>39</v>
      </c>
      <c r="B631" s="1" t="s">
        <v>40</v>
      </c>
      <c r="C631" s="1" t="n">
        <v>28.4595</v>
      </c>
      <c r="D631" s="1" t="n">
        <v>77.0266</v>
      </c>
      <c r="E631" s="5" t="n">
        <v>45927</v>
      </c>
      <c r="F631" s="6" t="s">
        <v>54</v>
      </c>
      <c r="G631" s="1" t="n">
        <v>9</v>
      </c>
      <c r="H631" s="7" t="s">
        <v>86</v>
      </c>
      <c r="I631" s="6" t="s">
        <v>46</v>
      </c>
      <c r="J631" s="7" t="s">
        <v>44</v>
      </c>
      <c r="K631" s="7" t="s">
        <v>45</v>
      </c>
      <c r="L631" s="1" t="n">
        <v>81</v>
      </c>
      <c r="M631" s="1" t="n">
        <v>21.5</v>
      </c>
      <c r="N631" s="1" t="n">
        <v>15.5</v>
      </c>
      <c r="O631" s="1" t="n">
        <v>0</v>
      </c>
      <c r="P631" s="6" t="s">
        <v>43</v>
      </c>
      <c r="Q631" s="6" t="s">
        <v>43</v>
      </c>
      <c r="R631" s="1" t="n">
        <v>1007.3</v>
      </c>
      <c r="S631" s="1" t="n">
        <v>0</v>
      </c>
      <c r="T631" s="1" t="n">
        <v>69.2</v>
      </c>
      <c r="U631" s="1" t="n">
        <v>271</v>
      </c>
      <c r="V631" s="1" t="n">
        <v>659</v>
      </c>
      <c r="W631" s="1" t="n">
        <v>37.8</v>
      </c>
      <c r="X631" s="1" t="n">
        <v>27.1</v>
      </c>
      <c r="Y631" s="1" t="n">
        <v>40</v>
      </c>
      <c r="Z631" s="1" t="n">
        <v>385</v>
      </c>
      <c r="AA631" s="1" t="n">
        <v>151</v>
      </c>
      <c r="AB631" s="7" t="s">
        <v>81</v>
      </c>
      <c r="AC631" s="7" t="s">
        <v>88</v>
      </c>
      <c r="AD631" s="6" t="s">
        <v>43</v>
      </c>
      <c r="AE631" s="6" t="s">
        <v>43</v>
      </c>
      <c r="AF631" s="4" t="n">
        <f aca="false">IF(T631="","",IF(T631&lt;=30,(50/30)*T631,IF(T631&lt;=60,50+((100-50)/(60-30))*(T631-30),IF(T631&lt;=90,100+((200-100)/(90-60))*(T631-60),IF(T631&lt;=120,200+((300-200)/(120-90))*(T631-90),IF(T631&lt;=250,300+((400-300)/(250-120))*(T631-120),IF(T631&lt;=380,400+((500-400)/(380-250))*(T631-250),500)))))))</f>
        <v>130.666666666667</v>
      </c>
      <c r="AG631" s="4" t="n">
        <f aca="false">IF(U631="","",IF(U631&lt;=50,(50/50)*U631,IF(U631&lt;=100,50+((100-50)/(100-50))*(U631-50),IF(U631&lt;=250,100+((200-100)/(250-100))*(U631-100),IF(U631&lt;=350,200+((300-200)/(350-250))*(U631-250),IF(U631&lt;=430,300+((400-300)/(430-350))*(U631-350),IF(U631&lt;=600,400+((500-400)/(600-430))*(U631-430),500)))))))</f>
        <v>221</v>
      </c>
      <c r="AH631" s="4" t="n">
        <f aca="false">IF(V631="","",IF((V631/1000)&lt;=1,(50/1)*(V631/1000),IF((V631/1000)&lt;=2,50+((100-50)/(2-1))*(V631/1000-1),IF((V631/1000)&lt;=10,100+((200-100)/(10-2))*(V631/1000-2),IF((V631/1000)&lt;=17,200+((300-200)/(17-10))*(V631/1000-10),IF((V631/1000)&lt;=34,300+((400-300)/(34-17))*(V631/1000-17),IF((V631/1000)&lt;=57,400+((500-400)/(57-34))*(V631/1000-34),500)))))))</f>
        <v>32.95</v>
      </c>
      <c r="AI631" s="4" t="n">
        <f aca="false">IF(W631="","",IF(W631&lt;=40,(50/40)*W631,IF(W631&lt;=80,50+((100-50)/(80-40))*(W631-40),IF(W631&lt;=180,100+((200-100)/(180-80))*(W631-80),IF(W631&lt;=280,200+((300-200)/(280-180))*(W631-180),IF(W631&lt;=400,300+((400-300)/(400-280))*(W631-280),IF(W631&lt;=800,400+((500-400)/(800-400))*(W631-400),500)))))))</f>
        <v>47.25</v>
      </c>
      <c r="AJ631" s="4" t="n">
        <f aca="false">IF(X631="","",IF(X631&lt;=40,(50/40)*X631,IF(X631&lt;=80,50+((100-50)/(80-40))*(X631-40),IF(X631&lt;=380,100+((200-100)/(380-80))*(X631-80),IF(X631&lt;=800,200+((300-200)/(800-380))*(X631-380),IF(X631&lt;=1600,300+((400-300)/(1600-800))*(X631-800),IF(X631&lt;=2100,400+((500-400)/(2100-1600))*(X631-1600),500)))))))</f>
        <v>33.875</v>
      </c>
      <c r="AK631" s="4" t="n">
        <f aca="false">IF(Y631="","",IF(Y631&lt;=50,(50/50)*Y631,IF(Y631&lt;=100,50+((100-50)/(100-50))*(Y631-50),IF(Y631&lt;=168,100+((200-100)/(168-100))*(Y631-100),IF(Y631&lt;=208,200+((300-200)/(208-168))*(Y631-168),IF(Y631&lt;=748,300+((400-300)/(748-208))*(Y631-208),IF(Y631&lt;=1000,400+((500-400)/(1000-748))*(Y631-748),500)))))))</f>
        <v>40</v>
      </c>
      <c r="AL631" s="4" t="n">
        <f aca="false">ROUND(MAX(AF631,AG631,AH631,AI631,AJ631,AK631),0)</f>
        <v>221</v>
      </c>
      <c r="AM631" s="4" t="str">
        <f aca="false">IF(AL631="","",IF(AL631&lt;=50,"Good",IF(AL631&lt;=100,"Satisfactory",IF(AL631&lt;=200,"Moderate",IF(AL631&lt;=300,"Poor",IF(AL631&lt;=400,"Very Poor","Severe"))))))</f>
        <v>Poor</v>
      </c>
    </row>
    <row r="632" customFormat="false" ht="15.75" hidden="false" customHeight="false" outlineLevel="0" collapsed="false">
      <c r="A632" s="1" t="s">
        <v>39</v>
      </c>
      <c r="B632" s="1" t="s">
        <v>40</v>
      </c>
      <c r="C632" s="1" t="n">
        <v>28.4595</v>
      </c>
      <c r="D632" s="1" t="n">
        <v>77.0266</v>
      </c>
      <c r="E632" s="5" t="n">
        <v>45927</v>
      </c>
      <c r="F632" s="6" t="s">
        <v>55</v>
      </c>
      <c r="G632" s="1" t="n">
        <v>9</v>
      </c>
      <c r="H632" s="7" t="s">
        <v>86</v>
      </c>
      <c r="I632" s="6" t="s">
        <v>46</v>
      </c>
      <c r="J632" s="7" t="s">
        <v>44</v>
      </c>
      <c r="K632" s="7" t="s">
        <v>56</v>
      </c>
      <c r="L632" s="1" t="n">
        <v>82</v>
      </c>
      <c r="M632" s="1" t="n">
        <v>22.7</v>
      </c>
      <c r="N632" s="1" t="n">
        <v>13.7</v>
      </c>
      <c r="O632" s="1" t="n">
        <v>0</v>
      </c>
      <c r="P632" s="6" t="s">
        <v>43</v>
      </c>
      <c r="Q632" s="6" t="s">
        <v>43</v>
      </c>
      <c r="R632" s="1" t="n">
        <v>1008</v>
      </c>
      <c r="S632" s="1" t="n">
        <v>4</v>
      </c>
      <c r="T632" s="1" t="n">
        <v>68.5</v>
      </c>
      <c r="U632" s="1" t="n">
        <v>213.7</v>
      </c>
      <c r="V632" s="1" t="n">
        <v>715</v>
      </c>
      <c r="W632" s="1" t="n">
        <v>39</v>
      </c>
      <c r="X632" s="1" t="n">
        <v>27.4</v>
      </c>
      <c r="Y632" s="1" t="n">
        <v>46</v>
      </c>
      <c r="Z632" s="1" t="n">
        <v>340</v>
      </c>
      <c r="AA632" s="1" t="n">
        <v>155</v>
      </c>
      <c r="AB632" s="7" t="s">
        <v>81</v>
      </c>
      <c r="AC632" s="7" t="s">
        <v>88</v>
      </c>
      <c r="AD632" s="6" t="s">
        <v>43</v>
      </c>
      <c r="AE632" s="6" t="s">
        <v>43</v>
      </c>
      <c r="AF632" s="4" t="n">
        <f aca="false">IF(T632="","",IF(T632&lt;=30,(50/30)*T632,IF(T632&lt;=60,50+((100-50)/(60-30))*(T632-30),IF(T632&lt;=90,100+((200-100)/(90-60))*(T632-60),IF(T632&lt;=120,200+((300-200)/(120-90))*(T632-90),IF(T632&lt;=250,300+((400-300)/(250-120))*(T632-120),IF(T632&lt;=380,400+((500-400)/(380-250))*(T632-250),500)))))))</f>
        <v>128.333333333333</v>
      </c>
      <c r="AG632" s="4" t="n">
        <f aca="false">IF(U632="","",IF(U632&lt;=50,(50/50)*U632,IF(U632&lt;=100,50+((100-50)/(100-50))*(U632-50),IF(U632&lt;=250,100+((200-100)/(250-100))*(U632-100),IF(U632&lt;=350,200+((300-200)/(350-250))*(U632-250),IF(U632&lt;=430,300+((400-300)/(430-350))*(U632-350),IF(U632&lt;=600,400+((500-400)/(600-430))*(U632-430),500)))))))</f>
        <v>175.8</v>
      </c>
      <c r="AH632" s="4" t="n">
        <f aca="false">IF(V632="","",IF((V632/1000)&lt;=1,(50/1)*(V632/1000),IF((V632/1000)&lt;=2,50+((100-50)/(2-1))*(V632/1000-1),IF((V632/1000)&lt;=10,100+((200-100)/(10-2))*(V632/1000-2),IF((V632/1000)&lt;=17,200+((300-200)/(17-10))*(V632/1000-10),IF((V632/1000)&lt;=34,300+((400-300)/(34-17))*(V632/1000-17),IF((V632/1000)&lt;=57,400+((500-400)/(57-34))*(V632/1000-34),500)))))))</f>
        <v>35.75</v>
      </c>
      <c r="AI632" s="4" t="n">
        <f aca="false">IF(W632="","",IF(W632&lt;=40,(50/40)*W632,IF(W632&lt;=80,50+((100-50)/(80-40))*(W632-40),IF(W632&lt;=180,100+((200-100)/(180-80))*(W632-80),IF(W632&lt;=280,200+((300-200)/(280-180))*(W632-180),IF(W632&lt;=400,300+((400-300)/(400-280))*(W632-280),IF(W632&lt;=800,400+((500-400)/(800-400))*(W632-400),500)))))))</f>
        <v>48.75</v>
      </c>
      <c r="AJ632" s="4" t="n">
        <f aca="false">IF(X632="","",IF(X632&lt;=40,(50/40)*X632,IF(X632&lt;=80,50+((100-50)/(80-40))*(X632-40),IF(X632&lt;=380,100+((200-100)/(380-80))*(X632-80),IF(X632&lt;=800,200+((300-200)/(800-380))*(X632-380),IF(X632&lt;=1600,300+((400-300)/(1600-800))*(X632-800),IF(X632&lt;=2100,400+((500-400)/(2100-1600))*(X632-1600),500)))))))</f>
        <v>34.25</v>
      </c>
      <c r="AK632" s="4" t="n">
        <f aca="false">IF(Y632="","",IF(Y632&lt;=50,(50/50)*Y632,IF(Y632&lt;=100,50+((100-50)/(100-50))*(Y632-50),IF(Y632&lt;=168,100+((200-100)/(168-100))*(Y632-100),IF(Y632&lt;=208,200+((300-200)/(208-168))*(Y632-168),IF(Y632&lt;=748,300+((400-300)/(748-208))*(Y632-208),IF(Y632&lt;=1000,400+((500-400)/(1000-748))*(Y632-748),500)))))))</f>
        <v>46</v>
      </c>
      <c r="AL632" s="4" t="n">
        <f aca="false">ROUND(MAX(AF632,AG632,AH632,AI632,AJ632,AK632),0)</f>
        <v>176</v>
      </c>
      <c r="AM632" s="4" t="str">
        <f aca="false">IF(AL632="","",IF(AL632&lt;=50,"Good",IF(AL632&lt;=100,"Satisfactory",IF(AL632&lt;=200,"Moderate",IF(AL632&lt;=300,"Poor",IF(AL632&lt;=400,"Very Poor","Severe"))))))</f>
        <v>Moderate</v>
      </c>
    </row>
    <row r="633" customFormat="false" ht="15.75" hidden="false" customHeight="false" outlineLevel="0" collapsed="false">
      <c r="A633" s="1" t="s">
        <v>39</v>
      </c>
      <c r="B633" s="1" t="s">
        <v>40</v>
      </c>
      <c r="C633" s="1" t="n">
        <v>28.4595</v>
      </c>
      <c r="D633" s="1" t="n">
        <v>77.0266</v>
      </c>
      <c r="E633" s="5" t="n">
        <v>45927</v>
      </c>
      <c r="F633" s="6" t="s">
        <v>57</v>
      </c>
      <c r="G633" s="1" t="n">
        <v>9</v>
      </c>
      <c r="H633" s="7" t="s">
        <v>86</v>
      </c>
      <c r="I633" s="6" t="s">
        <v>46</v>
      </c>
      <c r="J633" s="7" t="s">
        <v>44</v>
      </c>
      <c r="K633" s="7" t="s">
        <v>56</v>
      </c>
      <c r="L633" s="1" t="n">
        <v>78</v>
      </c>
      <c r="M633" s="1" t="n">
        <v>23.1</v>
      </c>
      <c r="N633" s="1" t="n">
        <v>12.6</v>
      </c>
      <c r="O633" s="1" t="n">
        <v>0</v>
      </c>
      <c r="P633" s="6" t="s">
        <v>43</v>
      </c>
      <c r="Q633" s="6" t="s">
        <v>43</v>
      </c>
      <c r="R633" s="1" t="n">
        <v>1008.6</v>
      </c>
      <c r="S633" s="1" t="n">
        <v>22</v>
      </c>
      <c r="T633" s="1" t="n">
        <v>72.2</v>
      </c>
      <c r="U633" s="1" t="n">
        <v>193.2</v>
      </c>
      <c r="V633" s="1" t="n">
        <v>795</v>
      </c>
      <c r="W633" s="1" t="n">
        <v>40.2</v>
      </c>
      <c r="X633" s="1" t="n">
        <v>27.8</v>
      </c>
      <c r="Y633" s="1" t="n">
        <v>55</v>
      </c>
      <c r="Z633" s="1" t="n">
        <v>279</v>
      </c>
      <c r="AA633" s="1" t="n">
        <v>157</v>
      </c>
      <c r="AB633" s="7" t="s">
        <v>81</v>
      </c>
      <c r="AC633" s="7" t="s">
        <v>88</v>
      </c>
      <c r="AD633" s="6" t="s">
        <v>43</v>
      </c>
      <c r="AE633" s="6" t="s">
        <v>43</v>
      </c>
      <c r="AF633" s="4" t="n">
        <f aca="false">IF(T633="","",IF(T633&lt;=30,(50/30)*T633,IF(T633&lt;=60,50+((100-50)/(60-30))*(T633-30),IF(T633&lt;=90,100+((200-100)/(90-60))*(T633-60),IF(T633&lt;=120,200+((300-200)/(120-90))*(T633-90),IF(T633&lt;=250,300+((400-300)/(250-120))*(T633-120),IF(T633&lt;=380,400+((500-400)/(380-250))*(T633-250),500)))))))</f>
        <v>140.666666666667</v>
      </c>
      <c r="AG633" s="4" t="n">
        <f aca="false">IF(U633="","",IF(U633&lt;=50,(50/50)*U633,IF(U633&lt;=100,50+((100-50)/(100-50))*(U633-50),IF(U633&lt;=250,100+((200-100)/(250-100))*(U633-100),IF(U633&lt;=350,200+((300-200)/(350-250))*(U633-250),IF(U633&lt;=430,300+((400-300)/(430-350))*(U633-350),IF(U633&lt;=600,400+((500-400)/(600-430))*(U633-430),500)))))))</f>
        <v>162.133333333333</v>
      </c>
      <c r="AH633" s="4" t="n">
        <f aca="false">IF(V633="","",IF((V633/1000)&lt;=1,(50/1)*(V633/1000),IF((V633/1000)&lt;=2,50+((100-50)/(2-1))*(V633/1000-1),IF((V633/1000)&lt;=10,100+((200-100)/(10-2))*(V633/1000-2),IF((V633/1000)&lt;=17,200+((300-200)/(17-10))*(V633/1000-10),IF((V633/1000)&lt;=34,300+((400-300)/(34-17))*(V633/1000-17),IF((V633/1000)&lt;=57,400+((500-400)/(57-34))*(V633/1000-34),500)))))))</f>
        <v>39.75</v>
      </c>
      <c r="AI633" s="4" t="n">
        <f aca="false">IF(W633="","",IF(W633&lt;=40,(50/40)*W633,IF(W633&lt;=80,50+((100-50)/(80-40))*(W633-40),IF(W633&lt;=180,100+((200-100)/(180-80))*(W633-80),IF(W633&lt;=280,200+((300-200)/(280-180))*(W633-180),IF(W633&lt;=400,300+((400-300)/(400-280))*(W633-280),IF(W633&lt;=800,400+((500-400)/(800-400))*(W633-400),500)))))))</f>
        <v>50.25</v>
      </c>
      <c r="AJ633" s="4" t="n">
        <f aca="false">IF(X633="","",IF(X633&lt;=40,(50/40)*X633,IF(X633&lt;=80,50+((100-50)/(80-40))*(X633-40),IF(X633&lt;=380,100+((200-100)/(380-80))*(X633-80),IF(X633&lt;=800,200+((300-200)/(800-380))*(X633-380),IF(X633&lt;=1600,300+((400-300)/(1600-800))*(X633-800),IF(X633&lt;=2100,400+((500-400)/(2100-1600))*(X633-1600),500)))))))</f>
        <v>34.75</v>
      </c>
      <c r="AK633" s="4" t="n">
        <f aca="false">IF(Y633="","",IF(Y633&lt;=50,(50/50)*Y633,IF(Y633&lt;=100,50+((100-50)/(100-50))*(Y633-50),IF(Y633&lt;=168,100+((200-100)/(168-100))*(Y633-100),IF(Y633&lt;=208,200+((300-200)/(208-168))*(Y633-168),IF(Y633&lt;=748,300+((400-300)/(748-208))*(Y633-208),IF(Y633&lt;=1000,400+((500-400)/(1000-748))*(Y633-748),500)))))))</f>
        <v>55</v>
      </c>
      <c r="AL633" s="4" t="n">
        <f aca="false">ROUND(MAX(AF633,AG633,AH633,AI633,AJ633,AK633),0)</f>
        <v>162</v>
      </c>
      <c r="AM633" s="4" t="str">
        <f aca="false">IF(AL633="","",IF(AL633&lt;=50,"Good",IF(AL633&lt;=100,"Satisfactory",IF(AL633&lt;=200,"Moderate",IF(AL633&lt;=300,"Poor",IF(AL633&lt;=400,"Very Poor","Severe"))))))</f>
        <v>Moderate</v>
      </c>
    </row>
    <row r="634" customFormat="false" ht="15.75" hidden="false" customHeight="false" outlineLevel="0" collapsed="false">
      <c r="A634" s="1" t="s">
        <v>39</v>
      </c>
      <c r="B634" s="1" t="s">
        <v>40</v>
      </c>
      <c r="C634" s="1" t="n">
        <v>28.4595</v>
      </c>
      <c r="D634" s="1" t="n">
        <v>77.0266</v>
      </c>
      <c r="E634" s="5" t="n">
        <v>45927</v>
      </c>
      <c r="F634" s="6" t="s">
        <v>58</v>
      </c>
      <c r="G634" s="1" t="n">
        <v>9</v>
      </c>
      <c r="H634" s="7" t="s">
        <v>86</v>
      </c>
      <c r="I634" s="6" t="s">
        <v>46</v>
      </c>
      <c r="J634" s="7" t="s">
        <v>44</v>
      </c>
      <c r="K634" s="7" t="s">
        <v>56</v>
      </c>
      <c r="L634" s="1" t="n">
        <v>68</v>
      </c>
      <c r="M634" s="1" t="n">
        <v>23.3</v>
      </c>
      <c r="N634" s="1" t="n">
        <v>14</v>
      </c>
      <c r="O634" s="1" t="n">
        <v>0</v>
      </c>
      <c r="P634" s="6" t="s">
        <v>43</v>
      </c>
      <c r="Q634" s="6" t="s">
        <v>43</v>
      </c>
      <c r="R634" s="1" t="n">
        <v>1009.1</v>
      </c>
      <c r="S634" s="1" t="n">
        <v>13</v>
      </c>
      <c r="T634" s="1" t="n">
        <v>75.2</v>
      </c>
      <c r="U634" s="1" t="n">
        <v>201.6</v>
      </c>
      <c r="V634" s="1" t="n">
        <v>818</v>
      </c>
      <c r="W634" s="1" t="n">
        <v>38.2</v>
      </c>
      <c r="X634" s="1" t="n">
        <v>28.5</v>
      </c>
      <c r="Y634" s="1" t="n">
        <v>76</v>
      </c>
      <c r="Z634" s="1" t="n">
        <v>240</v>
      </c>
      <c r="AA634" s="1" t="n">
        <v>158</v>
      </c>
      <c r="AB634" s="7" t="s">
        <v>81</v>
      </c>
      <c r="AC634" s="7" t="s">
        <v>88</v>
      </c>
      <c r="AD634" s="6" t="s">
        <v>43</v>
      </c>
      <c r="AE634" s="6" t="s">
        <v>43</v>
      </c>
      <c r="AF634" s="4" t="n">
        <f aca="false">IF(T634="","",IF(T634&lt;=30,(50/30)*T634,IF(T634&lt;=60,50+((100-50)/(60-30))*(T634-30),IF(T634&lt;=90,100+((200-100)/(90-60))*(T634-60),IF(T634&lt;=120,200+((300-200)/(120-90))*(T634-90),IF(T634&lt;=250,300+((400-300)/(250-120))*(T634-120),IF(T634&lt;=380,400+((500-400)/(380-250))*(T634-250),500)))))))</f>
        <v>150.666666666667</v>
      </c>
      <c r="AG634" s="4" t="n">
        <f aca="false">IF(U634="","",IF(U634&lt;=50,(50/50)*U634,IF(U634&lt;=100,50+((100-50)/(100-50))*(U634-50),IF(U634&lt;=250,100+((200-100)/(250-100))*(U634-100),IF(U634&lt;=350,200+((300-200)/(350-250))*(U634-250),IF(U634&lt;=430,300+((400-300)/(430-350))*(U634-350),IF(U634&lt;=600,400+((500-400)/(600-430))*(U634-430),500)))))))</f>
        <v>167.733333333333</v>
      </c>
      <c r="AH634" s="4" t="n">
        <f aca="false">IF(V634="","",IF((V634/1000)&lt;=1,(50/1)*(V634/1000),IF((V634/1000)&lt;=2,50+((100-50)/(2-1))*(V634/1000-1),IF((V634/1000)&lt;=10,100+((200-100)/(10-2))*(V634/1000-2),IF((V634/1000)&lt;=17,200+((300-200)/(17-10))*(V634/1000-10),IF((V634/1000)&lt;=34,300+((400-300)/(34-17))*(V634/1000-17),IF((V634/1000)&lt;=57,400+((500-400)/(57-34))*(V634/1000-34),500)))))))</f>
        <v>40.9</v>
      </c>
      <c r="AI634" s="4" t="n">
        <f aca="false">IF(W634="","",IF(W634&lt;=40,(50/40)*W634,IF(W634&lt;=80,50+((100-50)/(80-40))*(W634-40),IF(W634&lt;=180,100+((200-100)/(180-80))*(W634-80),IF(W634&lt;=280,200+((300-200)/(280-180))*(W634-180),IF(W634&lt;=400,300+((400-300)/(400-280))*(W634-280),IF(W634&lt;=800,400+((500-400)/(800-400))*(W634-400),500)))))))</f>
        <v>47.75</v>
      </c>
      <c r="AJ634" s="4" t="n">
        <f aca="false">IF(X634="","",IF(X634&lt;=40,(50/40)*X634,IF(X634&lt;=80,50+((100-50)/(80-40))*(X634-40),IF(X634&lt;=380,100+((200-100)/(380-80))*(X634-80),IF(X634&lt;=800,200+((300-200)/(800-380))*(X634-380),IF(X634&lt;=1600,300+((400-300)/(1600-800))*(X634-800),IF(X634&lt;=2100,400+((500-400)/(2100-1600))*(X634-1600),500)))))))</f>
        <v>35.625</v>
      </c>
      <c r="AK634" s="4" t="n">
        <f aca="false">IF(Y634="","",IF(Y634&lt;=50,(50/50)*Y634,IF(Y634&lt;=100,50+((100-50)/(100-50))*(Y634-50),IF(Y634&lt;=168,100+((200-100)/(168-100))*(Y634-100),IF(Y634&lt;=208,200+((300-200)/(208-168))*(Y634-168),IF(Y634&lt;=748,300+((400-300)/(748-208))*(Y634-208),IF(Y634&lt;=1000,400+((500-400)/(1000-748))*(Y634-748),500)))))))</f>
        <v>76</v>
      </c>
      <c r="AL634" s="4" t="n">
        <f aca="false">ROUND(MAX(AF634,AG634,AH634,AI634,AJ634,AK634),0)</f>
        <v>168</v>
      </c>
      <c r="AM634" s="4" t="str">
        <f aca="false">IF(AL634="","",IF(AL634&lt;=50,"Good",IF(AL634&lt;=100,"Satisfactory",IF(AL634&lt;=200,"Moderate",IF(AL634&lt;=300,"Poor",IF(AL634&lt;=400,"Very Poor","Severe"))))))</f>
        <v>Moderate</v>
      </c>
    </row>
    <row r="635" customFormat="false" ht="15.75" hidden="false" customHeight="false" outlineLevel="0" collapsed="false">
      <c r="A635" s="1" t="s">
        <v>39</v>
      </c>
      <c r="B635" s="1" t="s">
        <v>40</v>
      </c>
      <c r="C635" s="1" t="n">
        <v>28.4595</v>
      </c>
      <c r="D635" s="1" t="n">
        <v>77.0266</v>
      </c>
      <c r="E635" s="5" t="n">
        <v>45927</v>
      </c>
      <c r="F635" s="6" t="s">
        <v>59</v>
      </c>
      <c r="G635" s="1" t="n">
        <v>9</v>
      </c>
      <c r="H635" s="7" t="s">
        <v>86</v>
      </c>
      <c r="I635" s="6" t="s">
        <v>46</v>
      </c>
      <c r="J635" s="7" t="s">
        <v>44</v>
      </c>
      <c r="K635" s="7" t="s">
        <v>60</v>
      </c>
      <c r="L635" s="1" t="n">
        <v>58</v>
      </c>
      <c r="M635" s="1" t="n">
        <v>22.8</v>
      </c>
      <c r="N635" s="1" t="n">
        <v>15.8</v>
      </c>
      <c r="O635" s="1" t="n">
        <v>0</v>
      </c>
      <c r="P635" s="6" t="s">
        <v>43</v>
      </c>
      <c r="Q635" s="6" t="s">
        <v>43</v>
      </c>
      <c r="R635" s="1" t="n">
        <v>1009.4</v>
      </c>
      <c r="S635" s="1" t="n">
        <v>43</v>
      </c>
      <c r="T635" s="1" t="n">
        <v>72.4</v>
      </c>
      <c r="U635" s="1" t="n">
        <v>205.8</v>
      </c>
      <c r="V635" s="1" t="n">
        <v>726</v>
      </c>
      <c r="W635" s="1" t="n">
        <v>29.7</v>
      </c>
      <c r="X635" s="1" t="n">
        <v>30.3</v>
      </c>
      <c r="Y635" s="1" t="n">
        <v>119</v>
      </c>
      <c r="Z635" s="1" t="n">
        <v>244</v>
      </c>
      <c r="AA635" s="1" t="n">
        <v>159</v>
      </c>
      <c r="AB635" s="7" t="s">
        <v>81</v>
      </c>
      <c r="AC635" s="7" t="s">
        <v>88</v>
      </c>
      <c r="AD635" s="6" t="s">
        <v>43</v>
      </c>
      <c r="AE635" s="6" t="s">
        <v>43</v>
      </c>
      <c r="AF635" s="4" t="n">
        <f aca="false">IF(T635="","",IF(T635&lt;=30,(50/30)*T635,IF(T635&lt;=60,50+((100-50)/(60-30))*(T635-30),IF(T635&lt;=90,100+((200-100)/(90-60))*(T635-60),IF(T635&lt;=120,200+((300-200)/(120-90))*(T635-90),IF(T635&lt;=250,300+((400-300)/(250-120))*(T635-120),IF(T635&lt;=380,400+((500-400)/(380-250))*(T635-250),500)))))))</f>
        <v>141.333333333333</v>
      </c>
      <c r="AG635" s="4" t="n">
        <f aca="false">IF(U635="","",IF(U635&lt;=50,(50/50)*U635,IF(U635&lt;=100,50+((100-50)/(100-50))*(U635-50),IF(U635&lt;=250,100+((200-100)/(250-100))*(U635-100),IF(U635&lt;=350,200+((300-200)/(350-250))*(U635-250),IF(U635&lt;=430,300+((400-300)/(430-350))*(U635-350),IF(U635&lt;=600,400+((500-400)/(600-430))*(U635-430),500)))))))</f>
        <v>170.533333333333</v>
      </c>
      <c r="AH635" s="4" t="n">
        <f aca="false">IF(V635="","",IF((V635/1000)&lt;=1,(50/1)*(V635/1000),IF((V635/1000)&lt;=2,50+((100-50)/(2-1))*(V635/1000-1),IF((V635/1000)&lt;=10,100+((200-100)/(10-2))*(V635/1000-2),IF((V635/1000)&lt;=17,200+((300-200)/(17-10))*(V635/1000-10),IF((V635/1000)&lt;=34,300+((400-300)/(34-17))*(V635/1000-17),IF((V635/1000)&lt;=57,400+((500-400)/(57-34))*(V635/1000-34),500)))))))</f>
        <v>36.3</v>
      </c>
      <c r="AI635" s="4" t="n">
        <f aca="false">IF(W635="","",IF(W635&lt;=40,(50/40)*W635,IF(W635&lt;=80,50+((100-50)/(80-40))*(W635-40),IF(W635&lt;=180,100+((200-100)/(180-80))*(W635-80),IF(W635&lt;=280,200+((300-200)/(280-180))*(W635-180),IF(W635&lt;=400,300+((400-300)/(400-280))*(W635-280),IF(W635&lt;=800,400+((500-400)/(800-400))*(W635-400),500)))))))</f>
        <v>37.125</v>
      </c>
      <c r="AJ635" s="4" t="n">
        <f aca="false">IF(X635="","",IF(X635&lt;=40,(50/40)*X635,IF(X635&lt;=80,50+((100-50)/(80-40))*(X635-40),IF(X635&lt;=380,100+((200-100)/(380-80))*(X635-80),IF(X635&lt;=800,200+((300-200)/(800-380))*(X635-380),IF(X635&lt;=1600,300+((400-300)/(1600-800))*(X635-800),IF(X635&lt;=2100,400+((500-400)/(2100-1600))*(X635-1600),500)))))))</f>
        <v>37.875</v>
      </c>
      <c r="AK635" s="4" t="n">
        <f aca="false">IF(Y635="","",IF(Y635&lt;=50,(50/50)*Y635,IF(Y635&lt;=100,50+((100-50)/(100-50))*(Y635-50),IF(Y635&lt;=168,100+((200-100)/(168-100))*(Y635-100),IF(Y635&lt;=208,200+((300-200)/(208-168))*(Y635-168),IF(Y635&lt;=748,300+((400-300)/(748-208))*(Y635-208),IF(Y635&lt;=1000,400+((500-400)/(1000-748))*(Y635-748),500)))))))</f>
        <v>127.941176470588</v>
      </c>
      <c r="AL635" s="4" t="n">
        <f aca="false">ROUND(MAX(AF635,AG635,AH635,AI635,AJ635,AK635),0)</f>
        <v>171</v>
      </c>
      <c r="AM635" s="4" t="str">
        <f aca="false">IF(AL635="","",IF(AL635&lt;=50,"Good",IF(AL635&lt;=100,"Satisfactory",IF(AL635&lt;=200,"Moderate",IF(AL635&lt;=300,"Poor",IF(AL635&lt;=400,"Very Poor","Severe"))))))</f>
        <v>Moderate</v>
      </c>
    </row>
    <row r="636" customFormat="false" ht="15.75" hidden="false" customHeight="false" outlineLevel="0" collapsed="false">
      <c r="A636" s="1" t="s">
        <v>39</v>
      </c>
      <c r="B636" s="1" t="s">
        <v>40</v>
      </c>
      <c r="C636" s="1" t="n">
        <v>28.4595</v>
      </c>
      <c r="D636" s="1" t="n">
        <v>77.0266</v>
      </c>
      <c r="E636" s="5" t="n">
        <v>45927</v>
      </c>
      <c r="F636" s="6" t="s">
        <v>61</v>
      </c>
      <c r="G636" s="1" t="n">
        <v>9</v>
      </c>
      <c r="H636" s="7" t="s">
        <v>86</v>
      </c>
      <c r="I636" s="6" t="s">
        <v>46</v>
      </c>
      <c r="J636" s="7" t="s">
        <v>44</v>
      </c>
      <c r="K636" s="7" t="s">
        <v>60</v>
      </c>
      <c r="L636" s="1" t="n">
        <v>51</v>
      </c>
      <c r="M636" s="1" t="n">
        <v>22.1</v>
      </c>
      <c r="N636" s="1" t="n">
        <v>16.6</v>
      </c>
      <c r="O636" s="1" t="n">
        <v>0</v>
      </c>
      <c r="P636" s="6" t="s">
        <v>43</v>
      </c>
      <c r="Q636" s="6" t="s">
        <v>43</v>
      </c>
      <c r="R636" s="1" t="n">
        <v>1009.1</v>
      </c>
      <c r="S636" s="1" t="n">
        <v>64</v>
      </c>
      <c r="T636" s="1" t="n">
        <v>61.7</v>
      </c>
      <c r="U636" s="1" t="n">
        <v>206.8</v>
      </c>
      <c r="V636" s="1" t="n">
        <v>577</v>
      </c>
      <c r="W636" s="1" t="n">
        <v>17.9</v>
      </c>
      <c r="X636" s="1" t="n">
        <v>32.4</v>
      </c>
      <c r="Y636" s="1" t="n">
        <v>174</v>
      </c>
      <c r="Z636" s="1" t="n">
        <v>270</v>
      </c>
      <c r="AA636" s="1" t="n">
        <v>159</v>
      </c>
      <c r="AB636" s="7" t="s">
        <v>81</v>
      </c>
      <c r="AC636" s="7" t="s">
        <v>88</v>
      </c>
      <c r="AD636" s="6" t="s">
        <v>43</v>
      </c>
      <c r="AE636" s="6" t="s">
        <v>43</v>
      </c>
      <c r="AF636" s="4" t="n">
        <f aca="false">IF(T636="","",IF(T636&lt;=30,(50/30)*T636,IF(T636&lt;=60,50+((100-50)/(60-30))*(T636-30),IF(T636&lt;=90,100+((200-100)/(90-60))*(T636-60),IF(T636&lt;=120,200+((300-200)/(120-90))*(T636-90),IF(T636&lt;=250,300+((400-300)/(250-120))*(T636-120),IF(T636&lt;=380,400+((500-400)/(380-250))*(T636-250),500)))))))</f>
        <v>105.666666666667</v>
      </c>
      <c r="AG636" s="4" t="n">
        <f aca="false">IF(U636="","",IF(U636&lt;=50,(50/50)*U636,IF(U636&lt;=100,50+((100-50)/(100-50))*(U636-50),IF(U636&lt;=250,100+((200-100)/(250-100))*(U636-100),IF(U636&lt;=350,200+((300-200)/(350-250))*(U636-250),IF(U636&lt;=430,300+((400-300)/(430-350))*(U636-350),IF(U636&lt;=600,400+((500-400)/(600-430))*(U636-430),500)))))))</f>
        <v>171.2</v>
      </c>
      <c r="AH636" s="4" t="n">
        <f aca="false">IF(V636="","",IF((V636/1000)&lt;=1,(50/1)*(V636/1000),IF((V636/1000)&lt;=2,50+((100-50)/(2-1))*(V636/1000-1),IF((V636/1000)&lt;=10,100+((200-100)/(10-2))*(V636/1000-2),IF((V636/1000)&lt;=17,200+((300-200)/(17-10))*(V636/1000-10),IF((V636/1000)&lt;=34,300+((400-300)/(34-17))*(V636/1000-17),IF((V636/1000)&lt;=57,400+((500-400)/(57-34))*(V636/1000-34),500)))))))</f>
        <v>28.85</v>
      </c>
      <c r="AI636" s="4" t="n">
        <f aca="false">IF(W636="","",IF(W636&lt;=40,(50/40)*W636,IF(W636&lt;=80,50+((100-50)/(80-40))*(W636-40),IF(W636&lt;=180,100+((200-100)/(180-80))*(W636-80),IF(W636&lt;=280,200+((300-200)/(280-180))*(W636-180),IF(W636&lt;=400,300+((400-300)/(400-280))*(W636-280),IF(W636&lt;=800,400+((500-400)/(800-400))*(W636-400),500)))))))</f>
        <v>22.375</v>
      </c>
      <c r="AJ636" s="4" t="n">
        <f aca="false">IF(X636="","",IF(X636&lt;=40,(50/40)*X636,IF(X636&lt;=80,50+((100-50)/(80-40))*(X636-40),IF(X636&lt;=380,100+((200-100)/(380-80))*(X636-80),IF(X636&lt;=800,200+((300-200)/(800-380))*(X636-380),IF(X636&lt;=1600,300+((400-300)/(1600-800))*(X636-800),IF(X636&lt;=2100,400+((500-400)/(2100-1600))*(X636-1600),500)))))))</f>
        <v>40.5</v>
      </c>
      <c r="AK636" s="4" t="n">
        <f aca="false">IF(Y636="","",IF(Y636&lt;=50,(50/50)*Y636,IF(Y636&lt;=100,50+((100-50)/(100-50))*(Y636-50),IF(Y636&lt;=168,100+((200-100)/(168-100))*(Y636-100),IF(Y636&lt;=208,200+((300-200)/(208-168))*(Y636-168),IF(Y636&lt;=748,300+((400-300)/(748-208))*(Y636-208),IF(Y636&lt;=1000,400+((500-400)/(1000-748))*(Y636-748),500)))))))</f>
        <v>215</v>
      </c>
      <c r="AL636" s="4" t="n">
        <f aca="false">ROUND(MAX(AF636,AG636,AH636,AI636,AJ636,AK636),0)</f>
        <v>215</v>
      </c>
      <c r="AM636" s="4" t="str">
        <f aca="false">IF(AL636="","",IF(AL636&lt;=50,"Good",IF(AL636&lt;=100,"Satisfactory",IF(AL636&lt;=200,"Moderate",IF(AL636&lt;=300,"Poor",IF(AL636&lt;=400,"Very Poor","Severe"))))))</f>
        <v>Poor</v>
      </c>
    </row>
    <row r="637" customFormat="false" ht="15.75" hidden="false" customHeight="false" outlineLevel="0" collapsed="false">
      <c r="A637" s="1" t="s">
        <v>39</v>
      </c>
      <c r="B637" s="1" t="s">
        <v>40</v>
      </c>
      <c r="C637" s="1" t="n">
        <v>28.4595</v>
      </c>
      <c r="D637" s="1" t="n">
        <v>77.0266</v>
      </c>
      <c r="E637" s="5" t="n">
        <v>45927</v>
      </c>
      <c r="F637" s="6" t="s">
        <v>62</v>
      </c>
      <c r="G637" s="1" t="n">
        <v>9</v>
      </c>
      <c r="H637" s="7" t="s">
        <v>86</v>
      </c>
      <c r="I637" s="6" t="s">
        <v>46</v>
      </c>
      <c r="J637" s="7" t="s">
        <v>44</v>
      </c>
      <c r="K637" s="7" t="s">
        <v>60</v>
      </c>
      <c r="L637" s="1" t="n">
        <v>46</v>
      </c>
      <c r="M637" s="1" t="n">
        <v>21.7</v>
      </c>
      <c r="N637" s="1" t="n">
        <v>18.4</v>
      </c>
      <c r="O637" s="1" t="n">
        <v>0</v>
      </c>
      <c r="P637" s="6" t="s">
        <v>43</v>
      </c>
      <c r="Q637" s="6" t="s">
        <v>43</v>
      </c>
      <c r="R637" s="1" t="n">
        <v>1008.2</v>
      </c>
      <c r="S637" s="1" t="n">
        <v>22</v>
      </c>
      <c r="T637" s="1" t="n">
        <v>55.6</v>
      </c>
      <c r="U637" s="1" t="n">
        <v>204</v>
      </c>
      <c r="V637" s="1" t="n">
        <v>463</v>
      </c>
      <c r="W637" s="1" t="n">
        <v>9</v>
      </c>
      <c r="X637" s="1" t="n">
        <v>32.9</v>
      </c>
      <c r="Y637" s="1" t="n">
        <v>214</v>
      </c>
      <c r="Z637" s="1" t="n">
        <v>289</v>
      </c>
      <c r="AA637" s="1" t="n">
        <v>160</v>
      </c>
      <c r="AB637" s="7" t="s">
        <v>81</v>
      </c>
      <c r="AC637" s="7" t="s">
        <v>48</v>
      </c>
      <c r="AD637" s="6" t="s">
        <v>43</v>
      </c>
      <c r="AE637" s="6" t="s">
        <v>43</v>
      </c>
      <c r="AF637" s="4" t="n">
        <f aca="false">IF(T637="","",IF(T637&lt;=30,(50/30)*T637,IF(T637&lt;=60,50+((100-50)/(60-30))*(T637-30),IF(T637&lt;=90,100+((200-100)/(90-60))*(T637-60),IF(T637&lt;=120,200+((300-200)/(120-90))*(T637-90),IF(T637&lt;=250,300+((400-300)/(250-120))*(T637-120),IF(T637&lt;=380,400+((500-400)/(380-250))*(T637-250),500)))))))</f>
        <v>92.6666666666667</v>
      </c>
      <c r="AG637" s="4" t="n">
        <f aca="false">IF(U637="","",IF(U637&lt;=50,(50/50)*U637,IF(U637&lt;=100,50+((100-50)/(100-50))*(U637-50),IF(U637&lt;=250,100+((200-100)/(250-100))*(U637-100),IF(U637&lt;=350,200+((300-200)/(350-250))*(U637-250),IF(U637&lt;=430,300+((400-300)/(430-350))*(U637-350),IF(U637&lt;=600,400+((500-400)/(600-430))*(U637-430),500)))))))</f>
        <v>169.333333333333</v>
      </c>
      <c r="AH637" s="4" t="n">
        <f aca="false">IF(V637="","",IF((V637/1000)&lt;=1,(50/1)*(V637/1000),IF((V637/1000)&lt;=2,50+((100-50)/(2-1))*(V637/1000-1),IF((V637/1000)&lt;=10,100+((200-100)/(10-2))*(V637/1000-2),IF((V637/1000)&lt;=17,200+((300-200)/(17-10))*(V637/1000-10),IF((V637/1000)&lt;=34,300+((400-300)/(34-17))*(V637/1000-17),IF((V637/1000)&lt;=57,400+((500-400)/(57-34))*(V637/1000-34),500)))))))</f>
        <v>23.15</v>
      </c>
      <c r="AI637" s="4" t="n">
        <f aca="false">IF(W637="","",IF(W637&lt;=40,(50/40)*W637,IF(W637&lt;=80,50+((100-50)/(80-40))*(W637-40),IF(W637&lt;=180,100+((200-100)/(180-80))*(W637-80),IF(W637&lt;=280,200+((300-200)/(280-180))*(W637-180),IF(W637&lt;=400,300+((400-300)/(400-280))*(W637-280),IF(W637&lt;=800,400+((500-400)/(800-400))*(W637-400),500)))))))</f>
        <v>11.25</v>
      </c>
      <c r="AJ637" s="4" t="n">
        <f aca="false">IF(X637="","",IF(X637&lt;=40,(50/40)*X637,IF(X637&lt;=80,50+((100-50)/(80-40))*(X637-40),IF(X637&lt;=380,100+((200-100)/(380-80))*(X637-80),IF(X637&lt;=800,200+((300-200)/(800-380))*(X637-380),IF(X637&lt;=1600,300+((400-300)/(1600-800))*(X637-800),IF(X637&lt;=2100,400+((500-400)/(2100-1600))*(X637-1600),500)))))))</f>
        <v>41.125</v>
      </c>
      <c r="AK637" s="4" t="n">
        <f aca="false">IF(Y637="","",IF(Y637&lt;=50,(50/50)*Y637,IF(Y637&lt;=100,50+((100-50)/(100-50))*(Y637-50),IF(Y637&lt;=168,100+((200-100)/(168-100))*(Y637-100),IF(Y637&lt;=208,200+((300-200)/(208-168))*(Y637-168),IF(Y637&lt;=748,300+((400-300)/(748-208))*(Y637-208),IF(Y637&lt;=1000,400+((500-400)/(1000-748))*(Y637-748),500)))))))</f>
        <v>301.111111111111</v>
      </c>
      <c r="AL637" s="4" t="n">
        <f aca="false">ROUND(MAX(AF637,AG637,AH637,AI637,AJ637,AK637),0)</f>
        <v>301</v>
      </c>
      <c r="AM637" s="4" t="str">
        <f aca="false">IF(AL637="","",IF(AL637&lt;=50,"Good",IF(AL637&lt;=100,"Satisfactory",IF(AL637&lt;=200,"Moderate",IF(AL637&lt;=300,"Poor",IF(AL637&lt;=400,"Very Poor","Severe"))))))</f>
        <v>Very Poor</v>
      </c>
    </row>
    <row r="638" customFormat="false" ht="15.75" hidden="false" customHeight="false" outlineLevel="0" collapsed="false">
      <c r="A638" s="1" t="s">
        <v>39</v>
      </c>
      <c r="B638" s="1" t="s">
        <v>40</v>
      </c>
      <c r="C638" s="1" t="n">
        <v>28.4595</v>
      </c>
      <c r="D638" s="1" t="n">
        <v>77.0266</v>
      </c>
      <c r="E638" s="5" t="n">
        <v>45927</v>
      </c>
      <c r="F638" s="6" t="s">
        <v>63</v>
      </c>
      <c r="G638" s="1" t="n">
        <v>9</v>
      </c>
      <c r="H638" s="7" t="s">
        <v>86</v>
      </c>
      <c r="I638" s="6" t="s">
        <v>46</v>
      </c>
      <c r="J638" s="7" t="s">
        <v>44</v>
      </c>
      <c r="K638" s="7" t="s">
        <v>60</v>
      </c>
      <c r="L638" s="1" t="n">
        <v>42</v>
      </c>
      <c r="M638" s="1" t="n">
        <v>21.3</v>
      </c>
      <c r="N638" s="1" t="n">
        <v>20.5</v>
      </c>
      <c r="O638" s="1" t="n">
        <v>0</v>
      </c>
      <c r="P638" s="6" t="s">
        <v>43</v>
      </c>
      <c r="Q638" s="6" t="s">
        <v>43</v>
      </c>
      <c r="R638" s="1" t="n">
        <v>1007.4</v>
      </c>
      <c r="S638" s="1" t="n">
        <v>5</v>
      </c>
      <c r="T638" s="1" t="n">
        <v>53.4</v>
      </c>
      <c r="U638" s="1" t="n">
        <v>194.6</v>
      </c>
      <c r="V638" s="1" t="n">
        <v>424</v>
      </c>
      <c r="W638" s="1" t="n">
        <v>5.5</v>
      </c>
      <c r="X638" s="1" t="n">
        <v>30</v>
      </c>
      <c r="Y638" s="1" t="n">
        <v>228</v>
      </c>
      <c r="Z638" s="1" t="n">
        <v>292</v>
      </c>
      <c r="AA638" s="1" t="n">
        <v>160</v>
      </c>
      <c r="AB638" s="7" t="s">
        <v>81</v>
      </c>
      <c r="AC638" s="7" t="s">
        <v>48</v>
      </c>
      <c r="AD638" s="6" t="s">
        <v>43</v>
      </c>
      <c r="AE638" s="6" t="s">
        <v>43</v>
      </c>
      <c r="AF638" s="4" t="n">
        <f aca="false">IF(T638="","",IF(T638&lt;=30,(50/30)*T638,IF(T638&lt;=60,50+((100-50)/(60-30))*(T638-30),IF(T638&lt;=90,100+((200-100)/(90-60))*(T638-60),IF(T638&lt;=120,200+((300-200)/(120-90))*(T638-90),IF(T638&lt;=250,300+((400-300)/(250-120))*(T638-120),IF(T638&lt;=380,400+((500-400)/(380-250))*(T638-250),500)))))))</f>
        <v>89</v>
      </c>
      <c r="AG638" s="4" t="n">
        <f aca="false">IF(U638="","",IF(U638&lt;=50,(50/50)*U638,IF(U638&lt;=100,50+((100-50)/(100-50))*(U638-50),IF(U638&lt;=250,100+((200-100)/(250-100))*(U638-100),IF(U638&lt;=350,200+((300-200)/(350-250))*(U638-250),IF(U638&lt;=430,300+((400-300)/(430-350))*(U638-350),IF(U638&lt;=600,400+((500-400)/(600-430))*(U638-430),500)))))))</f>
        <v>163.066666666667</v>
      </c>
      <c r="AH638" s="4" t="n">
        <f aca="false">IF(V638="","",IF((V638/1000)&lt;=1,(50/1)*(V638/1000),IF((V638/1000)&lt;=2,50+((100-50)/(2-1))*(V638/1000-1),IF((V638/1000)&lt;=10,100+((200-100)/(10-2))*(V638/1000-2),IF((V638/1000)&lt;=17,200+((300-200)/(17-10))*(V638/1000-10),IF((V638/1000)&lt;=34,300+((400-300)/(34-17))*(V638/1000-17),IF((V638/1000)&lt;=57,400+((500-400)/(57-34))*(V638/1000-34),500)))))))</f>
        <v>21.2</v>
      </c>
      <c r="AI638" s="4" t="n">
        <f aca="false">IF(W638="","",IF(W638&lt;=40,(50/40)*W638,IF(W638&lt;=80,50+((100-50)/(80-40))*(W638-40),IF(W638&lt;=180,100+((200-100)/(180-80))*(W638-80),IF(W638&lt;=280,200+((300-200)/(280-180))*(W638-180),IF(W638&lt;=400,300+((400-300)/(400-280))*(W638-280),IF(W638&lt;=800,400+((500-400)/(800-400))*(W638-400),500)))))))</f>
        <v>6.875</v>
      </c>
      <c r="AJ638" s="4" t="n">
        <f aca="false">IF(X638="","",IF(X638&lt;=40,(50/40)*X638,IF(X638&lt;=80,50+((100-50)/(80-40))*(X638-40),IF(X638&lt;=380,100+((200-100)/(380-80))*(X638-80),IF(X638&lt;=800,200+((300-200)/(800-380))*(X638-380),IF(X638&lt;=1600,300+((400-300)/(1600-800))*(X638-800),IF(X638&lt;=2100,400+((500-400)/(2100-1600))*(X638-1600),500)))))))</f>
        <v>37.5</v>
      </c>
      <c r="AK638" s="4" t="n">
        <f aca="false">IF(Y638="","",IF(Y638&lt;=50,(50/50)*Y638,IF(Y638&lt;=100,50+((100-50)/(100-50))*(Y638-50),IF(Y638&lt;=168,100+((200-100)/(168-100))*(Y638-100),IF(Y638&lt;=208,200+((300-200)/(208-168))*(Y638-168),IF(Y638&lt;=748,300+((400-300)/(748-208))*(Y638-208),IF(Y638&lt;=1000,400+((500-400)/(1000-748))*(Y638-748),500)))))))</f>
        <v>303.703703703704</v>
      </c>
      <c r="AL638" s="4" t="n">
        <f aca="false">ROUND(MAX(AF638,AG638,AH638,AI638,AJ638,AK638),0)</f>
        <v>304</v>
      </c>
      <c r="AM638" s="4" t="str">
        <f aca="false">IF(AL638="","",IF(AL638&lt;=50,"Good",IF(AL638&lt;=100,"Satisfactory",IF(AL638&lt;=200,"Moderate",IF(AL638&lt;=300,"Poor",IF(AL638&lt;=400,"Very Poor","Severe"))))))</f>
        <v>Very Poor</v>
      </c>
    </row>
    <row r="639" customFormat="false" ht="15.75" hidden="false" customHeight="false" outlineLevel="0" collapsed="false">
      <c r="A639" s="1" t="s">
        <v>39</v>
      </c>
      <c r="B639" s="1" t="s">
        <v>40</v>
      </c>
      <c r="C639" s="1" t="n">
        <v>28.4595</v>
      </c>
      <c r="D639" s="1" t="n">
        <v>77.0266</v>
      </c>
      <c r="E639" s="5" t="n">
        <v>45927</v>
      </c>
      <c r="F639" s="6" t="s">
        <v>64</v>
      </c>
      <c r="G639" s="1" t="n">
        <v>9</v>
      </c>
      <c r="H639" s="7" t="s">
        <v>86</v>
      </c>
      <c r="I639" s="6" t="s">
        <v>46</v>
      </c>
      <c r="J639" s="7" t="s">
        <v>44</v>
      </c>
      <c r="K639" s="7" t="s">
        <v>65</v>
      </c>
      <c r="L639" s="1" t="n">
        <v>40</v>
      </c>
      <c r="M639" s="1" t="n">
        <v>20.9</v>
      </c>
      <c r="N639" s="1" t="n">
        <v>20.2</v>
      </c>
      <c r="O639" s="1" t="n">
        <v>0</v>
      </c>
      <c r="P639" s="6" t="s">
        <v>43</v>
      </c>
      <c r="Q639" s="6" t="s">
        <v>43</v>
      </c>
      <c r="R639" s="1" t="n">
        <v>1006</v>
      </c>
      <c r="S639" s="1" t="n">
        <v>6</v>
      </c>
      <c r="T639" s="1" t="n">
        <v>51.3</v>
      </c>
      <c r="U639" s="1" t="n">
        <v>187.2</v>
      </c>
      <c r="V639" s="1" t="n">
        <v>420</v>
      </c>
      <c r="W639" s="1" t="n">
        <v>4.8</v>
      </c>
      <c r="X639" s="1" t="n">
        <v>25.4</v>
      </c>
      <c r="Y639" s="1" t="n">
        <v>227</v>
      </c>
      <c r="Z639" s="1" t="n">
        <v>289</v>
      </c>
      <c r="AA639" s="1" t="n">
        <v>159</v>
      </c>
      <c r="AB639" s="7" t="s">
        <v>81</v>
      </c>
      <c r="AC639" s="7" t="s">
        <v>48</v>
      </c>
      <c r="AD639" s="6" t="s">
        <v>43</v>
      </c>
      <c r="AE639" s="6" t="s">
        <v>43</v>
      </c>
      <c r="AF639" s="4" t="n">
        <f aca="false">IF(T639="","",IF(T639&lt;=30,(50/30)*T639,IF(T639&lt;=60,50+((100-50)/(60-30))*(T639-30),IF(T639&lt;=90,100+((200-100)/(90-60))*(T639-60),IF(T639&lt;=120,200+((300-200)/(120-90))*(T639-90),IF(T639&lt;=250,300+((400-300)/(250-120))*(T639-120),IF(T639&lt;=380,400+((500-400)/(380-250))*(T639-250),500)))))))</f>
        <v>85.5</v>
      </c>
      <c r="AG639" s="4" t="n">
        <f aca="false">IF(U639="","",IF(U639&lt;=50,(50/50)*U639,IF(U639&lt;=100,50+((100-50)/(100-50))*(U639-50),IF(U639&lt;=250,100+((200-100)/(250-100))*(U639-100),IF(U639&lt;=350,200+((300-200)/(350-250))*(U639-250),IF(U639&lt;=430,300+((400-300)/(430-350))*(U639-350),IF(U639&lt;=600,400+((500-400)/(600-430))*(U639-430),500)))))))</f>
        <v>158.133333333333</v>
      </c>
      <c r="AH639" s="4" t="n">
        <f aca="false">IF(V639="","",IF((V639/1000)&lt;=1,(50/1)*(V639/1000),IF((V639/1000)&lt;=2,50+((100-50)/(2-1))*(V639/1000-1),IF((V639/1000)&lt;=10,100+((200-100)/(10-2))*(V639/1000-2),IF((V639/1000)&lt;=17,200+((300-200)/(17-10))*(V639/1000-10),IF((V639/1000)&lt;=34,300+((400-300)/(34-17))*(V639/1000-17),IF((V639/1000)&lt;=57,400+((500-400)/(57-34))*(V639/1000-34),500)))))))</f>
        <v>21</v>
      </c>
      <c r="AI639" s="4" t="n">
        <f aca="false">IF(W639="","",IF(W639&lt;=40,(50/40)*W639,IF(W639&lt;=80,50+((100-50)/(80-40))*(W639-40),IF(W639&lt;=180,100+((200-100)/(180-80))*(W639-80),IF(W639&lt;=280,200+((300-200)/(280-180))*(W639-180),IF(W639&lt;=400,300+((400-300)/(400-280))*(W639-280),IF(W639&lt;=800,400+((500-400)/(800-400))*(W639-400),500)))))))</f>
        <v>6</v>
      </c>
      <c r="AJ639" s="4" t="n">
        <f aca="false">IF(X639="","",IF(X639&lt;=40,(50/40)*X639,IF(X639&lt;=80,50+((100-50)/(80-40))*(X639-40),IF(X639&lt;=380,100+((200-100)/(380-80))*(X639-80),IF(X639&lt;=800,200+((300-200)/(800-380))*(X639-380),IF(X639&lt;=1600,300+((400-300)/(1600-800))*(X639-800),IF(X639&lt;=2100,400+((500-400)/(2100-1600))*(X639-1600),500)))))))</f>
        <v>31.75</v>
      </c>
      <c r="AK639" s="4" t="n">
        <f aca="false">IF(Y639="","",IF(Y639&lt;=50,(50/50)*Y639,IF(Y639&lt;=100,50+((100-50)/(100-50))*(Y639-50),IF(Y639&lt;=168,100+((200-100)/(168-100))*(Y639-100),IF(Y639&lt;=208,200+((300-200)/(208-168))*(Y639-168),IF(Y639&lt;=748,300+((400-300)/(748-208))*(Y639-208),IF(Y639&lt;=1000,400+((500-400)/(1000-748))*(Y639-748),500)))))))</f>
        <v>303.518518518519</v>
      </c>
      <c r="AL639" s="4" t="n">
        <f aca="false">ROUND(MAX(AF639,AG639,AH639,AI639,AJ639,AK639),0)</f>
        <v>304</v>
      </c>
      <c r="AM639" s="4" t="str">
        <f aca="false">IF(AL639="","",IF(AL639&lt;=50,"Good",IF(AL639&lt;=100,"Satisfactory",IF(AL639&lt;=200,"Moderate",IF(AL639&lt;=300,"Poor",IF(AL639&lt;=400,"Very Poor","Severe"))))))</f>
        <v>Very Poor</v>
      </c>
    </row>
    <row r="640" customFormat="false" ht="15.75" hidden="false" customHeight="false" outlineLevel="0" collapsed="false">
      <c r="A640" s="1" t="s">
        <v>39</v>
      </c>
      <c r="B640" s="1" t="s">
        <v>40</v>
      </c>
      <c r="C640" s="1" t="n">
        <v>28.4595</v>
      </c>
      <c r="D640" s="1" t="n">
        <v>77.0266</v>
      </c>
      <c r="E640" s="5" t="n">
        <v>45927</v>
      </c>
      <c r="F640" s="6" t="s">
        <v>66</v>
      </c>
      <c r="G640" s="1" t="n">
        <v>9</v>
      </c>
      <c r="H640" s="7" t="s">
        <v>86</v>
      </c>
      <c r="I640" s="6" t="s">
        <v>46</v>
      </c>
      <c r="J640" s="7" t="s">
        <v>44</v>
      </c>
      <c r="K640" s="7" t="s">
        <v>65</v>
      </c>
      <c r="L640" s="1" t="n">
        <v>39</v>
      </c>
      <c r="M640" s="1" t="n">
        <v>20.8</v>
      </c>
      <c r="N640" s="1" t="n">
        <v>21.6</v>
      </c>
      <c r="O640" s="1" t="n">
        <v>0</v>
      </c>
      <c r="P640" s="6" t="s">
        <v>43</v>
      </c>
      <c r="Q640" s="6" t="s">
        <v>43</v>
      </c>
      <c r="R640" s="1" t="n">
        <v>1004.9</v>
      </c>
      <c r="S640" s="1" t="n">
        <v>14</v>
      </c>
      <c r="T640" s="1" t="n">
        <v>49.8</v>
      </c>
      <c r="U640" s="1" t="n">
        <v>188.6</v>
      </c>
      <c r="V640" s="1" t="n">
        <v>430</v>
      </c>
      <c r="W640" s="1" t="n">
        <v>5.7</v>
      </c>
      <c r="X640" s="1" t="n">
        <v>22.1</v>
      </c>
      <c r="Y640" s="1" t="n">
        <v>221</v>
      </c>
      <c r="Z640" s="1" t="n">
        <v>274</v>
      </c>
      <c r="AA640" s="1" t="n">
        <v>158</v>
      </c>
      <c r="AB640" s="7" t="s">
        <v>81</v>
      </c>
      <c r="AC640" s="7" t="s">
        <v>48</v>
      </c>
      <c r="AD640" s="6" t="s">
        <v>43</v>
      </c>
      <c r="AE640" s="6" t="s">
        <v>43</v>
      </c>
      <c r="AF640" s="4" t="n">
        <f aca="false">IF(T640="","",IF(T640&lt;=30,(50/30)*T640,IF(T640&lt;=60,50+((100-50)/(60-30))*(T640-30),IF(T640&lt;=90,100+((200-100)/(90-60))*(T640-60),IF(T640&lt;=120,200+((300-200)/(120-90))*(T640-90),IF(T640&lt;=250,300+((400-300)/(250-120))*(T640-120),IF(T640&lt;=380,400+((500-400)/(380-250))*(T640-250),500)))))))</f>
        <v>83</v>
      </c>
      <c r="AG640" s="4" t="n">
        <f aca="false">IF(U640="","",IF(U640&lt;=50,(50/50)*U640,IF(U640&lt;=100,50+((100-50)/(100-50))*(U640-50),IF(U640&lt;=250,100+((200-100)/(250-100))*(U640-100),IF(U640&lt;=350,200+((300-200)/(350-250))*(U640-250),IF(U640&lt;=430,300+((400-300)/(430-350))*(U640-350),IF(U640&lt;=600,400+((500-400)/(600-430))*(U640-430),500)))))))</f>
        <v>159.066666666667</v>
      </c>
      <c r="AH640" s="4" t="n">
        <f aca="false">IF(V640="","",IF((V640/1000)&lt;=1,(50/1)*(V640/1000),IF((V640/1000)&lt;=2,50+((100-50)/(2-1))*(V640/1000-1),IF((V640/1000)&lt;=10,100+((200-100)/(10-2))*(V640/1000-2),IF((V640/1000)&lt;=17,200+((300-200)/(17-10))*(V640/1000-10),IF((V640/1000)&lt;=34,300+((400-300)/(34-17))*(V640/1000-17),IF((V640/1000)&lt;=57,400+((500-400)/(57-34))*(V640/1000-34),500)))))))</f>
        <v>21.5</v>
      </c>
      <c r="AI640" s="4" t="n">
        <f aca="false">IF(W640="","",IF(W640&lt;=40,(50/40)*W640,IF(W640&lt;=80,50+((100-50)/(80-40))*(W640-40),IF(W640&lt;=180,100+((200-100)/(180-80))*(W640-80),IF(W640&lt;=280,200+((300-200)/(280-180))*(W640-180),IF(W640&lt;=400,300+((400-300)/(400-280))*(W640-280),IF(W640&lt;=800,400+((500-400)/(800-400))*(W640-400),500)))))))</f>
        <v>7.125</v>
      </c>
      <c r="AJ640" s="4" t="n">
        <f aca="false">IF(X640="","",IF(X640&lt;=40,(50/40)*X640,IF(X640&lt;=80,50+((100-50)/(80-40))*(X640-40),IF(X640&lt;=380,100+((200-100)/(380-80))*(X640-80),IF(X640&lt;=800,200+((300-200)/(800-380))*(X640-380),IF(X640&lt;=1600,300+((400-300)/(1600-800))*(X640-800),IF(X640&lt;=2100,400+((500-400)/(2100-1600))*(X640-1600),500)))))))</f>
        <v>27.625</v>
      </c>
      <c r="AK640" s="4" t="n">
        <f aca="false">IF(Y640="","",IF(Y640&lt;=50,(50/50)*Y640,IF(Y640&lt;=100,50+((100-50)/(100-50))*(Y640-50),IF(Y640&lt;=168,100+((200-100)/(168-100))*(Y640-100),IF(Y640&lt;=208,200+((300-200)/(208-168))*(Y640-168),IF(Y640&lt;=748,300+((400-300)/(748-208))*(Y640-208),IF(Y640&lt;=1000,400+((500-400)/(1000-748))*(Y640-748),500)))))))</f>
        <v>302.407407407407</v>
      </c>
      <c r="AL640" s="4" t="n">
        <f aca="false">ROUND(MAX(AF640,AG640,AH640,AI640,AJ640,AK640),0)</f>
        <v>302</v>
      </c>
      <c r="AM640" s="4" t="str">
        <f aca="false">IF(AL640="","",IF(AL640&lt;=50,"Good",IF(AL640&lt;=100,"Satisfactory",IF(AL640&lt;=200,"Moderate",IF(AL640&lt;=300,"Poor",IF(AL640&lt;=400,"Very Poor","Severe"))))))</f>
        <v>Very Poor</v>
      </c>
    </row>
    <row r="641" customFormat="false" ht="15.75" hidden="false" customHeight="false" outlineLevel="0" collapsed="false">
      <c r="A641" s="1" t="s">
        <v>39</v>
      </c>
      <c r="B641" s="1" t="s">
        <v>40</v>
      </c>
      <c r="C641" s="1" t="n">
        <v>28.4595</v>
      </c>
      <c r="D641" s="1" t="n">
        <v>77.0266</v>
      </c>
      <c r="E641" s="5" t="n">
        <v>45927</v>
      </c>
      <c r="F641" s="6" t="s">
        <v>67</v>
      </c>
      <c r="G641" s="1" t="n">
        <v>9</v>
      </c>
      <c r="H641" s="7" t="s">
        <v>86</v>
      </c>
      <c r="I641" s="6" t="s">
        <v>46</v>
      </c>
      <c r="J641" s="7" t="s">
        <v>44</v>
      </c>
      <c r="K641" s="7" t="s">
        <v>65</v>
      </c>
      <c r="L641" s="1" t="n">
        <v>42</v>
      </c>
      <c r="M641" s="1" t="n">
        <v>21</v>
      </c>
      <c r="N641" s="1" t="n">
        <v>22.7</v>
      </c>
      <c r="O641" s="1" t="n">
        <v>0</v>
      </c>
      <c r="P641" s="6" t="s">
        <v>43</v>
      </c>
      <c r="Q641" s="6" t="s">
        <v>43</v>
      </c>
      <c r="R641" s="1" t="n">
        <v>1004.7</v>
      </c>
      <c r="S641" s="1" t="n">
        <v>40</v>
      </c>
      <c r="T641" s="1" t="n">
        <v>44.6</v>
      </c>
      <c r="U641" s="1" t="n">
        <v>155.1</v>
      </c>
      <c r="V641" s="1" t="n">
        <v>405</v>
      </c>
      <c r="W641" s="1" t="n">
        <v>7</v>
      </c>
      <c r="X641" s="1" t="n">
        <v>21.2</v>
      </c>
      <c r="Y641" s="1" t="n">
        <v>214</v>
      </c>
      <c r="Z641" s="1" t="n">
        <v>242</v>
      </c>
      <c r="AA641" s="1" t="n">
        <v>157</v>
      </c>
      <c r="AB641" s="7" t="s">
        <v>81</v>
      </c>
      <c r="AC641" s="7" t="s">
        <v>48</v>
      </c>
      <c r="AD641" s="6" t="s">
        <v>43</v>
      </c>
      <c r="AE641" s="6" t="s">
        <v>43</v>
      </c>
      <c r="AF641" s="4" t="n">
        <f aca="false">IF(T641="","",IF(T641&lt;=30,(50/30)*T641,IF(T641&lt;=60,50+((100-50)/(60-30))*(T641-30),IF(T641&lt;=90,100+((200-100)/(90-60))*(T641-60),IF(T641&lt;=120,200+((300-200)/(120-90))*(T641-90),IF(T641&lt;=250,300+((400-300)/(250-120))*(T641-120),IF(T641&lt;=380,400+((500-400)/(380-250))*(T641-250),500)))))))</f>
        <v>74.3333333333333</v>
      </c>
      <c r="AG641" s="4" t="n">
        <f aca="false">IF(U641="","",IF(U641&lt;=50,(50/50)*U641,IF(U641&lt;=100,50+((100-50)/(100-50))*(U641-50),IF(U641&lt;=250,100+((200-100)/(250-100))*(U641-100),IF(U641&lt;=350,200+((300-200)/(350-250))*(U641-250),IF(U641&lt;=430,300+((400-300)/(430-350))*(U641-350),IF(U641&lt;=600,400+((500-400)/(600-430))*(U641-430),500)))))))</f>
        <v>136.733333333333</v>
      </c>
      <c r="AH641" s="4" t="n">
        <f aca="false">IF(V641="","",IF((V641/1000)&lt;=1,(50/1)*(V641/1000),IF((V641/1000)&lt;=2,50+((100-50)/(2-1))*(V641/1000-1),IF((V641/1000)&lt;=10,100+((200-100)/(10-2))*(V641/1000-2),IF((V641/1000)&lt;=17,200+((300-200)/(17-10))*(V641/1000-10),IF((V641/1000)&lt;=34,300+((400-300)/(34-17))*(V641/1000-17),IF((V641/1000)&lt;=57,400+((500-400)/(57-34))*(V641/1000-34),500)))))))</f>
        <v>20.25</v>
      </c>
      <c r="AI641" s="4" t="n">
        <f aca="false">IF(W641="","",IF(W641&lt;=40,(50/40)*W641,IF(W641&lt;=80,50+((100-50)/(80-40))*(W641-40),IF(W641&lt;=180,100+((200-100)/(180-80))*(W641-80),IF(W641&lt;=280,200+((300-200)/(280-180))*(W641-180),IF(W641&lt;=400,300+((400-300)/(400-280))*(W641-280),IF(W641&lt;=800,400+((500-400)/(800-400))*(W641-400),500)))))))</f>
        <v>8.75</v>
      </c>
      <c r="AJ641" s="4" t="n">
        <f aca="false">IF(X641="","",IF(X641&lt;=40,(50/40)*X641,IF(X641&lt;=80,50+((100-50)/(80-40))*(X641-40),IF(X641&lt;=380,100+((200-100)/(380-80))*(X641-80),IF(X641&lt;=800,200+((300-200)/(800-380))*(X641-380),IF(X641&lt;=1600,300+((400-300)/(1600-800))*(X641-800),IF(X641&lt;=2100,400+((500-400)/(2100-1600))*(X641-1600),500)))))))</f>
        <v>26.5</v>
      </c>
      <c r="AK641" s="4" t="n">
        <f aca="false">IF(Y641="","",IF(Y641&lt;=50,(50/50)*Y641,IF(Y641&lt;=100,50+((100-50)/(100-50))*(Y641-50),IF(Y641&lt;=168,100+((200-100)/(168-100))*(Y641-100),IF(Y641&lt;=208,200+((300-200)/(208-168))*(Y641-168),IF(Y641&lt;=748,300+((400-300)/(748-208))*(Y641-208),IF(Y641&lt;=1000,400+((500-400)/(1000-748))*(Y641-748),500)))))))</f>
        <v>301.111111111111</v>
      </c>
      <c r="AL641" s="4" t="n">
        <f aca="false">ROUND(MAX(AF641,AG641,AH641,AI641,AJ641,AK641),0)</f>
        <v>301</v>
      </c>
      <c r="AM641" s="4" t="str">
        <f aca="false">IF(AL641="","",IF(AL641&lt;=50,"Good",IF(AL641&lt;=100,"Satisfactory",IF(AL641&lt;=200,"Moderate",IF(AL641&lt;=300,"Poor",IF(AL641&lt;=400,"Very Poor","Severe"))))))</f>
        <v>Very Poor</v>
      </c>
    </row>
    <row r="642" customFormat="false" ht="15.75" hidden="false" customHeight="false" outlineLevel="0" collapsed="false">
      <c r="A642" s="1" t="s">
        <v>39</v>
      </c>
      <c r="B642" s="1" t="s">
        <v>40</v>
      </c>
      <c r="C642" s="1" t="n">
        <v>28.4595</v>
      </c>
      <c r="D642" s="1" t="n">
        <v>77.0266</v>
      </c>
      <c r="E642" s="5" t="n">
        <v>45927</v>
      </c>
      <c r="F642" s="6" t="s">
        <v>68</v>
      </c>
      <c r="G642" s="1" t="n">
        <v>9</v>
      </c>
      <c r="H642" s="7" t="s">
        <v>86</v>
      </c>
      <c r="I642" s="6" t="s">
        <v>46</v>
      </c>
      <c r="J642" s="7" t="s">
        <v>44</v>
      </c>
      <c r="K642" s="7" t="s">
        <v>65</v>
      </c>
      <c r="L642" s="1" t="n">
        <v>49</v>
      </c>
      <c r="M642" s="1" t="n">
        <v>21.9</v>
      </c>
      <c r="N642" s="1" t="n">
        <v>25.6</v>
      </c>
      <c r="O642" s="1" t="n">
        <v>0.4</v>
      </c>
      <c r="P642" s="6" t="s">
        <v>46</v>
      </c>
      <c r="Q642" s="6" t="s">
        <v>43</v>
      </c>
      <c r="R642" s="1" t="n">
        <v>1005.1</v>
      </c>
      <c r="S642" s="1" t="n">
        <v>24</v>
      </c>
      <c r="T642" s="1" t="n">
        <v>41.2</v>
      </c>
      <c r="U642" s="1" t="n">
        <v>133.6</v>
      </c>
      <c r="V642" s="1" t="n">
        <v>392</v>
      </c>
      <c r="W642" s="1" t="n">
        <v>9.9</v>
      </c>
      <c r="X642" s="1" t="n">
        <v>21.6</v>
      </c>
      <c r="Y642" s="1" t="n">
        <v>202</v>
      </c>
      <c r="Z642" s="1" t="n">
        <v>199</v>
      </c>
      <c r="AA642" s="1" t="n">
        <v>172</v>
      </c>
      <c r="AB642" s="7" t="s">
        <v>81</v>
      </c>
      <c r="AC642" s="7" t="s">
        <v>48</v>
      </c>
      <c r="AD642" s="6" t="s">
        <v>43</v>
      </c>
      <c r="AE642" s="6" t="s">
        <v>43</v>
      </c>
      <c r="AF642" s="4" t="n">
        <f aca="false">IF(T642="","",IF(T642&lt;=30,(50/30)*T642,IF(T642&lt;=60,50+((100-50)/(60-30))*(T642-30),IF(T642&lt;=90,100+((200-100)/(90-60))*(T642-60),IF(T642&lt;=120,200+((300-200)/(120-90))*(T642-90),IF(T642&lt;=250,300+((400-300)/(250-120))*(T642-120),IF(T642&lt;=380,400+((500-400)/(380-250))*(T642-250),500)))))))</f>
        <v>68.6666666666667</v>
      </c>
      <c r="AG642" s="4" t="n">
        <f aca="false">IF(U642="","",IF(U642&lt;=50,(50/50)*U642,IF(U642&lt;=100,50+((100-50)/(100-50))*(U642-50),IF(U642&lt;=250,100+((200-100)/(250-100))*(U642-100),IF(U642&lt;=350,200+((300-200)/(350-250))*(U642-250),IF(U642&lt;=430,300+((400-300)/(430-350))*(U642-350),IF(U642&lt;=600,400+((500-400)/(600-430))*(U642-430),500)))))))</f>
        <v>122.4</v>
      </c>
      <c r="AH642" s="4" t="n">
        <f aca="false">IF(V642="","",IF((V642/1000)&lt;=1,(50/1)*(V642/1000),IF((V642/1000)&lt;=2,50+((100-50)/(2-1))*(V642/1000-1),IF((V642/1000)&lt;=10,100+((200-100)/(10-2))*(V642/1000-2),IF((V642/1000)&lt;=17,200+((300-200)/(17-10))*(V642/1000-10),IF((V642/1000)&lt;=34,300+((400-300)/(34-17))*(V642/1000-17),IF((V642/1000)&lt;=57,400+((500-400)/(57-34))*(V642/1000-34),500)))))))</f>
        <v>19.6</v>
      </c>
      <c r="AI642" s="4" t="n">
        <f aca="false">IF(W642="","",IF(W642&lt;=40,(50/40)*W642,IF(W642&lt;=80,50+((100-50)/(80-40))*(W642-40),IF(W642&lt;=180,100+((200-100)/(180-80))*(W642-80),IF(W642&lt;=280,200+((300-200)/(280-180))*(W642-180),IF(W642&lt;=400,300+((400-300)/(400-280))*(W642-280),IF(W642&lt;=800,400+((500-400)/(800-400))*(W642-400),500)))))))</f>
        <v>12.375</v>
      </c>
      <c r="AJ642" s="4" t="n">
        <f aca="false">IF(X642="","",IF(X642&lt;=40,(50/40)*X642,IF(X642&lt;=80,50+((100-50)/(80-40))*(X642-40),IF(X642&lt;=380,100+((200-100)/(380-80))*(X642-80),IF(X642&lt;=800,200+((300-200)/(800-380))*(X642-380),IF(X642&lt;=1600,300+((400-300)/(1600-800))*(X642-800),IF(X642&lt;=2100,400+((500-400)/(2100-1600))*(X642-1600),500)))))))</f>
        <v>27</v>
      </c>
      <c r="AK642" s="4" t="n">
        <f aca="false">IF(Y642="","",IF(Y642&lt;=50,(50/50)*Y642,IF(Y642&lt;=100,50+((100-50)/(100-50))*(Y642-50),IF(Y642&lt;=168,100+((200-100)/(168-100))*(Y642-100),IF(Y642&lt;=208,200+((300-200)/(208-168))*(Y642-168),IF(Y642&lt;=748,300+((400-300)/(748-208))*(Y642-208),IF(Y642&lt;=1000,400+((500-400)/(1000-748))*(Y642-748),500)))))))</f>
        <v>285</v>
      </c>
      <c r="AL642" s="4" t="n">
        <f aca="false">ROUND(MAX(AF642,AG642,AH642,AI642,AJ642,AK642),0)</f>
        <v>285</v>
      </c>
      <c r="AM642" s="4" t="str">
        <f aca="false">IF(AL642="","",IF(AL642&lt;=50,"Good",IF(AL642&lt;=100,"Satisfactory",IF(AL642&lt;=200,"Moderate",IF(AL642&lt;=300,"Poor",IF(AL642&lt;=400,"Very Poor","Severe"))))))</f>
        <v>Poor</v>
      </c>
    </row>
    <row r="643" customFormat="false" ht="15.75" hidden="false" customHeight="false" outlineLevel="0" collapsed="false">
      <c r="A643" s="1" t="s">
        <v>39</v>
      </c>
      <c r="B643" s="1" t="s">
        <v>40</v>
      </c>
      <c r="C643" s="1" t="n">
        <v>28.4595</v>
      </c>
      <c r="D643" s="1" t="n">
        <v>77.0266</v>
      </c>
      <c r="E643" s="5" t="n">
        <v>45927</v>
      </c>
      <c r="F643" s="6" t="s">
        <v>69</v>
      </c>
      <c r="G643" s="1" t="n">
        <v>9</v>
      </c>
      <c r="H643" s="7" t="s">
        <v>86</v>
      </c>
      <c r="I643" s="6" t="s">
        <v>46</v>
      </c>
      <c r="J643" s="7" t="s">
        <v>44</v>
      </c>
      <c r="K643" s="7" t="s">
        <v>65</v>
      </c>
      <c r="L643" s="1" t="n">
        <v>53</v>
      </c>
      <c r="M643" s="1" t="n">
        <v>22.3</v>
      </c>
      <c r="N643" s="1" t="n">
        <v>14.8</v>
      </c>
      <c r="O643" s="1" t="n">
        <v>0</v>
      </c>
      <c r="P643" s="6" t="s">
        <v>43</v>
      </c>
      <c r="Q643" s="6" t="s">
        <v>43</v>
      </c>
      <c r="R643" s="1" t="n">
        <v>1004.7</v>
      </c>
      <c r="S643" s="1" t="n">
        <v>2</v>
      </c>
      <c r="T643" s="1" t="n">
        <v>45.1</v>
      </c>
      <c r="U643" s="1" t="n">
        <v>143</v>
      </c>
      <c r="V643" s="1" t="n">
        <v>513</v>
      </c>
      <c r="W643" s="1" t="n">
        <v>22.2</v>
      </c>
      <c r="X643" s="1" t="n">
        <v>22.1</v>
      </c>
      <c r="Y643" s="1" t="n">
        <v>155</v>
      </c>
      <c r="Z643" s="1" t="n">
        <v>192</v>
      </c>
      <c r="AA643" s="1" t="n">
        <v>192</v>
      </c>
      <c r="AB643" s="7" t="s">
        <v>81</v>
      </c>
      <c r="AC643" s="7" t="s">
        <v>48</v>
      </c>
      <c r="AD643" s="6" t="s">
        <v>43</v>
      </c>
      <c r="AE643" s="6" t="s">
        <v>43</v>
      </c>
      <c r="AF643" s="4" t="n">
        <f aca="false">IF(T643="","",IF(T643&lt;=30,(50/30)*T643,IF(T643&lt;=60,50+((100-50)/(60-30))*(T643-30),IF(T643&lt;=90,100+((200-100)/(90-60))*(T643-60),IF(T643&lt;=120,200+((300-200)/(120-90))*(T643-90),IF(T643&lt;=250,300+((400-300)/(250-120))*(T643-120),IF(T643&lt;=380,400+((500-400)/(380-250))*(T643-250),500)))))))</f>
        <v>75.1666666666667</v>
      </c>
      <c r="AG643" s="4" t="n">
        <f aca="false">IF(U643="","",IF(U643&lt;=50,(50/50)*U643,IF(U643&lt;=100,50+((100-50)/(100-50))*(U643-50),IF(U643&lt;=250,100+((200-100)/(250-100))*(U643-100),IF(U643&lt;=350,200+((300-200)/(350-250))*(U643-250),IF(U643&lt;=430,300+((400-300)/(430-350))*(U643-350),IF(U643&lt;=600,400+((500-400)/(600-430))*(U643-430),500)))))))</f>
        <v>128.666666666667</v>
      </c>
      <c r="AH643" s="4" t="n">
        <f aca="false">IF(V643="","",IF((V643/1000)&lt;=1,(50/1)*(V643/1000),IF((V643/1000)&lt;=2,50+((100-50)/(2-1))*(V643/1000-1),IF((V643/1000)&lt;=10,100+((200-100)/(10-2))*(V643/1000-2),IF((V643/1000)&lt;=17,200+((300-200)/(17-10))*(V643/1000-10),IF((V643/1000)&lt;=34,300+((400-300)/(34-17))*(V643/1000-17),IF((V643/1000)&lt;=57,400+((500-400)/(57-34))*(V643/1000-34),500)))))))</f>
        <v>25.65</v>
      </c>
      <c r="AI643" s="4" t="n">
        <f aca="false">IF(W643="","",IF(W643&lt;=40,(50/40)*W643,IF(W643&lt;=80,50+((100-50)/(80-40))*(W643-40),IF(W643&lt;=180,100+((200-100)/(180-80))*(W643-80),IF(W643&lt;=280,200+((300-200)/(280-180))*(W643-180),IF(W643&lt;=400,300+((400-300)/(400-280))*(W643-280),IF(W643&lt;=800,400+((500-400)/(800-400))*(W643-400),500)))))))</f>
        <v>27.75</v>
      </c>
      <c r="AJ643" s="4" t="n">
        <f aca="false">IF(X643="","",IF(X643&lt;=40,(50/40)*X643,IF(X643&lt;=80,50+((100-50)/(80-40))*(X643-40),IF(X643&lt;=380,100+((200-100)/(380-80))*(X643-80),IF(X643&lt;=800,200+((300-200)/(800-380))*(X643-380),IF(X643&lt;=1600,300+((400-300)/(1600-800))*(X643-800),IF(X643&lt;=2100,400+((500-400)/(2100-1600))*(X643-1600),500)))))))</f>
        <v>27.625</v>
      </c>
      <c r="AK643" s="4" t="n">
        <f aca="false">IF(Y643="","",IF(Y643&lt;=50,(50/50)*Y643,IF(Y643&lt;=100,50+((100-50)/(100-50))*(Y643-50),IF(Y643&lt;=168,100+((200-100)/(168-100))*(Y643-100),IF(Y643&lt;=208,200+((300-200)/(208-168))*(Y643-168),IF(Y643&lt;=748,300+((400-300)/(748-208))*(Y643-208),IF(Y643&lt;=1000,400+((500-400)/(1000-748))*(Y643-748),500)))))))</f>
        <v>180.882352941176</v>
      </c>
      <c r="AL643" s="4" t="n">
        <f aca="false">ROUND(MAX(AF643,AG643,AH643,AI643,AJ643,AK643),0)</f>
        <v>181</v>
      </c>
      <c r="AM643" s="4" t="str">
        <f aca="false">IF(AL643="","",IF(AL643&lt;=50,"Good",IF(AL643&lt;=100,"Satisfactory",IF(AL643&lt;=200,"Moderate",IF(AL643&lt;=300,"Poor",IF(AL643&lt;=400,"Very Poor","Severe"))))))</f>
        <v>Moderate</v>
      </c>
    </row>
    <row r="644" customFormat="false" ht="15.75" hidden="false" customHeight="false" outlineLevel="0" collapsed="false">
      <c r="A644" s="1" t="s">
        <v>39</v>
      </c>
      <c r="B644" s="1" t="s">
        <v>40</v>
      </c>
      <c r="C644" s="1" t="n">
        <v>28.4595</v>
      </c>
      <c r="D644" s="1" t="n">
        <v>77.0266</v>
      </c>
      <c r="E644" s="5" t="n">
        <v>45927</v>
      </c>
      <c r="F644" s="6" t="s">
        <v>70</v>
      </c>
      <c r="G644" s="1" t="n">
        <v>9</v>
      </c>
      <c r="H644" s="7" t="s">
        <v>86</v>
      </c>
      <c r="I644" s="6" t="s">
        <v>46</v>
      </c>
      <c r="J644" s="7" t="s">
        <v>44</v>
      </c>
      <c r="K644" s="7" t="s">
        <v>71</v>
      </c>
      <c r="L644" s="1" t="n">
        <v>62</v>
      </c>
      <c r="M644" s="1" t="n">
        <v>23.6</v>
      </c>
      <c r="N644" s="1" t="n">
        <v>24.8</v>
      </c>
      <c r="O644" s="1" t="n">
        <v>0</v>
      </c>
      <c r="P644" s="6" t="s">
        <v>43</v>
      </c>
      <c r="Q644" s="6" t="s">
        <v>43</v>
      </c>
      <c r="R644" s="1" t="n">
        <v>1005.8</v>
      </c>
      <c r="S644" s="1" t="n">
        <v>13</v>
      </c>
      <c r="T644" s="1" t="n">
        <v>48.1</v>
      </c>
      <c r="U644" s="1" t="n">
        <v>126.2</v>
      </c>
      <c r="V644" s="1" t="n">
        <v>932</v>
      </c>
      <c r="W644" s="1" t="n">
        <v>32</v>
      </c>
      <c r="X644" s="1" t="n">
        <v>23.4</v>
      </c>
      <c r="Y644" s="1" t="n">
        <v>128</v>
      </c>
      <c r="Z644" s="1" t="n">
        <v>166</v>
      </c>
      <c r="AA644" s="1" t="n">
        <v>198</v>
      </c>
      <c r="AB644" s="7" t="s">
        <v>81</v>
      </c>
      <c r="AC644" s="7" t="s">
        <v>48</v>
      </c>
      <c r="AD644" s="6" t="s">
        <v>43</v>
      </c>
      <c r="AE644" s="6" t="s">
        <v>43</v>
      </c>
      <c r="AF644" s="4" t="n">
        <f aca="false">IF(T644="","",IF(T644&lt;=30,(50/30)*T644,IF(T644&lt;=60,50+((100-50)/(60-30))*(T644-30),IF(T644&lt;=90,100+((200-100)/(90-60))*(T644-60),IF(T644&lt;=120,200+((300-200)/(120-90))*(T644-90),IF(T644&lt;=250,300+((400-300)/(250-120))*(T644-120),IF(T644&lt;=380,400+((500-400)/(380-250))*(T644-250),500)))))))</f>
        <v>80.1666666666667</v>
      </c>
      <c r="AG644" s="4" t="n">
        <f aca="false">IF(U644="","",IF(U644&lt;=50,(50/50)*U644,IF(U644&lt;=100,50+((100-50)/(100-50))*(U644-50),IF(U644&lt;=250,100+((200-100)/(250-100))*(U644-100),IF(U644&lt;=350,200+((300-200)/(350-250))*(U644-250),IF(U644&lt;=430,300+((400-300)/(430-350))*(U644-350),IF(U644&lt;=600,400+((500-400)/(600-430))*(U644-430),500)))))))</f>
        <v>117.466666666667</v>
      </c>
      <c r="AH644" s="4" t="n">
        <f aca="false">IF(V644="","",IF((V644/1000)&lt;=1,(50/1)*(V644/1000),IF((V644/1000)&lt;=2,50+((100-50)/(2-1))*(V644/1000-1),IF((V644/1000)&lt;=10,100+((200-100)/(10-2))*(V644/1000-2),IF((V644/1000)&lt;=17,200+((300-200)/(17-10))*(V644/1000-10),IF((V644/1000)&lt;=34,300+((400-300)/(34-17))*(V644/1000-17),IF((V644/1000)&lt;=57,400+((500-400)/(57-34))*(V644/1000-34),500)))))))</f>
        <v>46.6</v>
      </c>
      <c r="AI644" s="4" t="n">
        <f aca="false">IF(W644="","",IF(W644&lt;=40,(50/40)*W644,IF(W644&lt;=80,50+((100-50)/(80-40))*(W644-40),IF(W644&lt;=180,100+((200-100)/(180-80))*(W644-80),IF(W644&lt;=280,200+((300-200)/(280-180))*(W644-180),IF(W644&lt;=400,300+((400-300)/(400-280))*(W644-280),IF(W644&lt;=800,400+((500-400)/(800-400))*(W644-400),500)))))))</f>
        <v>40</v>
      </c>
      <c r="AJ644" s="4" t="n">
        <f aca="false">IF(X644="","",IF(X644&lt;=40,(50/40)*X644,IF(X644&lt;=80,50+((100-50)/(80-40))*(X644-40),IF(X644&lt;=380,100+((200-100)/(380-80))*(X644-80),IF(X644&lt;=800,200+((300-200)/(800-380))*(X644-380),IF(X644&lt;=1600,300+((400-300)/(1600-800))*(X644-800),IF(X644&lt;=2100,400+((500-400)/(2100-1600))*(X644-1600),500)))))))</f>
        <v>29.25</v>
      </c>
      <c r="AK644" s="4" t="n">
        <f aca="false">IF(Y644="","",IF(Y644&lt;=50,(50/50)*Y644,IF(Y644&lt;=100,50+((100-50)/(100-50))*(Y644-50),IF(Y644&lt;=168,100+((200-100)/(168-100))*(Y644-100),IF(Y644&lt;=208,200+((300-200)/(208-168))*(Y644-168),IF(Y644&lt;=748,300+((400-300)/(748-208))*(Y644-208),IF(Y644&lt;=1000,400+((500-400)/(1000-748))*(Y644-748),500)))))))</f>
        <v>141.176470588235</v>
      </c>
      <c r="AL644" s="4" t="n">
        <f aca="false">ROUND(MAX(AF644,AG644,AH644,AI644,AJ644,AK644),0)</f>
        <v>141</v>
      </c>
      <c r="AM644" s="4" t="str">
        <f aca="false">IF(AL644="","",IF(AL644&lt;=50,"Good",IF(AL644&lt;=100,"Satisfactory",IF(AL644&lt;=200,"Moderate",IF(AL644&lt;=300,"Poor",IF(AL644&lt;=400,"Very Poor","Severe"))))))</f>
        <v>Moderate</v>
      </c>
    </row>
    <row r="645" customFormat="false" ht="15.75" hidden="false" customHeight="false" outlineLevel="0" collapsed="false">
      <c r="A645" s="1" t="s">
        <v>39</v>
      </c>
      <c r="B645" s="1" t="s">
        <v>40</v>
      </c>
      <c r="C645" s="1" t="n">
        <v>28.4595</v>
      </c>
      <c r="D645" s="1" t="n">
        <v>77.0266</v>
      </c>
      <c r="E645" s="5" t="n">
        <v>45927</v>
      </c>
      <c r="F645" s="6" t="s">
        <v>72</v>
      </c>
      <c r="G645" s="1" t="n">
        <v>9</v>
      </c>
      <c r="H645" s="7" t="s">
        <v>86</v>
      </c>
      <c r="I645" s="6" t="s">
        <v>46</v>
      </c>
      <c r="J645" s="7" t="s">
        <v>44</v>
      </c>
      <c r="K645" s="7" t="s">
        <v>71</v>
      </c>
      <c r="L645" s="1" t="n">
        <v>62</v>
      </c>
      <c r="M645" s="1" t="n">
        <v>23.2</v>
      </c>
      <c r="N645" s="1" t="n">
        <v>21.2</v>
      </c>
      <c r="O645" s="1" t="n">
        <v>0</v>
      </c>
      <c r="P645" s="6" t="s">
        <v>43</v>
      </c>
      <c r="Q645" s="6" t="s">
        <v>43</v>
      </c>
      <c r="R645" s="1" t="n">
        <v>1006.4</v>
      </c>
      <c r="S645" s="1" t="n">
        <v>48</v>
      </c>
      <c r="T645" s="1" t="n">
        <v>51.7</v>
      </c>
      <c r="U645" s="1" t="n">
        <v>115.7</v>
      </c>
      <c r="V645" s="1" t="n">
        <v>1485</v>
      </c>
      <c r="W645" s="1" t="n">
        <v>45.4</v>
      </c>
      <c r="X645" s="1" t="n">
        <v>25.1</v>
      </c>
      <c r="Y645" s="1" t="n">
        <v>91</v>
      </c>
      <c r="Z645" s="1" t="n">
        <v>129</v>
      </c>
      <c r="AA645" s="1" t="n">
        <v>191</v>
      </c>
      <c r="AB645" s="7" t="s">
        <v>81</v>
      </c>
      <c r="AC645" s="7" t="s">
        <v>48</v>
      </c>
      <c r="AD645" s="6" t="s">
        <v>43</v>
      </c>
      <c r="AE645" s="6" t="s">
        <v>43</v>
      </c>
      <c r="AF645" s="4" t="n">
        <f aca="false">IF(T645="","",IF(T645&lt;=30,(50/30)*T645,IF(T645&lt;=60,50+((100-50)/(60-30))*(T645-30),IF(T645&lt;=90,100+((200-100)/(90-60))*(T645-60),IF(T645&lt;=120,200+((300-200)/(120-90))*(T645-90),IF(T645&lt;=250,300+((400-300)/(250-120))*(T645-120),IF(T645&lt;=380,400+((500-400)/(380-250))*(T645-250),500)))))))</f>
        <v>86.1666666666667</v>
      </c>
      <c r="AG645" s="4" t="n">
        <f aca="false">IF(U645="","",IF(U645&lt;=50,(50/50)*U645,IF(U645&lt;=100,50+((100-50)/(100-50))*(U645-50),IF(U645&lt;=250,100+((200-100)/(250-100))*(U645-100),IF(U645&lt;=350,200+((300-200)/(350-250))*(U645-250),IF(U645&lt;=430,300+((400-300)/(430-350))*(U645-350),IF(U645&lt;=600,400+((500-400)/(600-430))*(U645-430),500)))))))</f>
        <v>110.466666666667</v>
      </c>
      <c r="AH645" s="4" t="n">
        <f aca="false">IF(V645="","",IF((V645/1000)&lt;=1,(50/1)*(V645/1000),IF((V645/1000)&lt;=2,50+((100-50)/(2-1))*(V645/1000-1),IF((V645/1000)&lt;=10,100+((200-100)/(10-2))*(V645/1000-2),IF((V645/1000)&lt;=17,200+((300-200)/(17-10))*(V645/1000-10),IF((V645/1000)&lt;=34,300+((400-300)/(34-17))*(V645/1000-17),IF((V645/1000)&lt;=57,400+((500-400)/(57-34))*(V645/1000-34),500)))))))</f>
        <v>74.25</v>
      </c>
      <c r="AI645" s="4" t="n">
        <f aca="false">IF(W645="","",IF(W645&lt;=40,(50/40)*W645,IF(W645&lt;=80,50+((100-50)/(80-40))*(W645-40),IF(W645&lt;=180,100+((200-100)/(180-80))*(W645-80),IF(W645&lt;=280,200+((300-200)/(280-180))*(W645-180),IF(W645&lt;=400,300+((400-300)/(400-280))*(W645-280),IF(W645&lt;=800,400+((500-400)/(800-400))*(W645-400),500)))))))</f>
        <v>56.75</v>
      </c>
      <c r="AJ645" s="4" t="n">
        <f aca="false">IF(X645="","",IF(X645&lt;=40,(50/40)*X645,IF(X645&lt;=80,50+((100-50)/(80-40))*(X645-40),IF(X645&lt;=380,100+((200-100)/(380-80))*(X645-80),IF(X645&lt;=800,200+((300-200)/(800-380))*(X645-380),IF(X645&lt;=1600,300+((400-300)/(1600-800))*(X645-800),IF(X645&lt;=2100,400+((500-400)/(2100-1600))*(X645-1600),500)))))))</f>
        <v>31.375</v>
      </c>
      <c r="AK645" s="4" t="n">
        <f aca="false">IF(Y645="","",IF(Y645&lt;=50,(50/50)*Y645,IF(Y645&lt;=100,50+((100-50)/(100-50))*(Y645-50),IF(Y645&lt;=168,100+((200-100)/(168-100))*(Y645-100),IF(Y645&lt;=208,200+((300-200)/(208-168))*(Y645-168),IF(Y645&lt;=748,300+((400-300)/(748-208))*(Y645-208),IF(Y645&lt;=1000,400+((500-400)/(1000-748))*(Y645-748),500)))))))</f>
        <v>91</v>
      </c>
      <c r="AL645" s="4" t="n">
        <f aca="false">ROUND(MAX(AF645,AG645,AH645,AI645,AJ645,AK645),0)</f>
        <v>110</v>
      </c>
      <c r="AM645" s="4" t="str">
        <f aca="false">IF(AL645="","",IF(AL645&lt;=50,"Good",IF(AL645&lt;=100,"Satisfactory",IF(AL645&lt;=200,"Moderate",IF(AL645&lt;=300,"Poor",IF(AL645&lt;=400,"Very Poor","Severe"))))))</f>
        <v>Moderate</v>
      </c>
    </row>
    <row r="646" customFormat="false" ht="15.75" hidden="false" customHeight="false" outlineLevel="0" collapsed="false">
      <c r="A646" s="1" t="s">
        <v>39</v>
      </c>
      <c r="B646" s="1" t="s">
        <v>40</v>
      </c>
      <c r="C646" s="1" t="n">
        <v>28.4595</v>
      </c>
      <c r="D646" s="1" t="n">
        <v>77.0266</v>
      </c>
      <c r="E646" s="5" t="n">
        <v>45927</v>
      </c>
      <c r="F646" s="6" t="s">
        <v>73</v>
      </c>
      <c r="G646" s="1" t="n">
        <v>9</v>
      </c>
      <c r="H646" s="7" t="s">
        <v>86</v>
      </c>
      <c r="I646" s="6" t="s">
        <v>46</v>
      </c>
      <c r="J646" s="7" t="s">
        <v>44</v>
      </c>
      <c r="K646" s="7" t="s">
        <v>71</v>
      </c>
      <c r="L646" s="1" t="n">
        <v>67</v>
      </c>
      <c r="M646" s="1" t="n">
        <v>23.7</v>
      </c>
      <c r="N646" s="1" t="n">
        <v>13.7</v>
      </c>
      <c r="O646" s="1" t="n">
        <v>0</v>
      </c>
      <c r="P646" s="6" t="s">
        <v>43</v>
      </c>
      <c r="Q646" s="6" t="s">
        <v>43</v>
      </c>
      <c r="R646" s="1" t="n">
        <v>1007</v>
      </c>
      <c r="S646" s="1" t="n">
        <v>75</v>
      </c>
      <c r="T646" s="1" t="n">
        <v>55.8</v>
      </c>
      <c r="U646" s="1" t="n">
        <v>105.2</v>
      </c>
      <c r="V646" s="1" t="n">
        <v>1795</v>
      </c>
      <c r="W646" s="1" t="n">
        <v>54.7</v>
      </c>
      <c r="X646" s="1" t="n">
        <v>26.5</v>
      </c>
      <c r="Y646" s="1" t="n">
        <v>62</v>
      </c>
      <c r="Z646" s="1" t="n">
        <v>97</v>
      </c>
      <c r="AA646" s="1" t="n">
        <v>171</v>
      </c>
      <c r="AB646" s="7" t="s">
        <v>81</v>
      </c>
      <c r="AC646" s="7" t="s">
        <v>48</v>
      </c>
      <c r="AD646" s="6" t="s">
        <v>43</v>
      </c>
      <c r="AE646" s="6" t="s">
        <v>43</v>
      </c>
      <c r="AF646" s="4" t="n">
        <f aca="false">IF(T646="","",IF(T646&lt;=30,(50/30)*T646,IF(T646&lt;=60,50+((100-50)/(60-30))*(T646-30),IF(T646&lt;=90,100+((200-100)/(90-60))*(T646-60),IF(T646&lt;=120,200+((300-200)/(120-90))*(T646-90),IF(T646&lt;=250,300+((400-300)/(250-120))*(T646-120),IF(T646&lt;=380,400+((500-400)/(380-250))*(T646-250),500)))))))</f>
        <v>93</v>
      </c>
      <c r="AG646" s="4" t="n">
        <f aca="false">IF(U646="","",IF(U646&lt;=50,(50/50)*U646,IF(U646&lt;=100,50+((100-50)/(100-50))*(U646-50),IF(U646&lt;=250,100+((200-100)/(250-100))*(U646-100),IF(U646&lt;=350,200+((300-200)/(350-250))*(U646-250),IF(U646&lt;=430,300+((400-300)/(430-350))*(U646-350),IF(U646&lt;=600,400+((500-400)/(600-430))*(U646-430),500)))))))</f>
        <v>103.466666666667</v>
      </c>
      <c r="AH646" s="4" t="n">
        <f aca="false">IF(V646="","",IF((V646/1000)&lt;=1,(50/1)*(V646/1000),IF((V646/1000)&lt;=2,50+((100-50)/(2-1))*(V646/1000-1),IF((V646/1000)&lt;=10,100+((200-100)/(10-2))*(V646/1000-2),IF((V646/1000)&lt;=17,200+((300-200)/(17-10))*(V646/1000-10),IF((V646/1000)&lt;=34,300+((400-300)/(34-17))*(V646/1000-17),IF((V646/1000)&lt;=57,400+((500-400)/(57-34))*(V646/1000-34),500)))))))</f>
        <v>89.75</v>
      </c>
      <c r="AI646" s="4" t="n">
        <f aca="false">IF(W646="","",IF(W646&lt;=40,(50/40)*W646,IF(W646&lt;=80,50+((100-50)/(80-40))*(W646-40),IF(W646&lt;=180,100+((200-100)/(180-80))*(W646-80),IF(W646&lt;=280,200+((300-200)/(280-180))*(W646-180),IF(W646&lt;=400,300+((400-300)/(400-280))*(W646-280),IF(W646&lt;=800,400+((500-400)/(800-400))*(W646-400),500)))))))</f>
        <v>68.375</v>
      </c>
      <c r="AJ646" s="4" t="n">
        <f aca="false">IF(X646="","",IF(X646&lt;=40,(50/40)*X646,IF(X646&lt;=80,50+((100-50)/(80-40))*(X646-40),IF(X646&lt;=380,100+((200-100)/(380-80))*(X646-80),IF(X646&lt;=800,200+((300-200)/(800-380))*(X646-380),IF(X646&lt;=1600,300+((400-300)/(1600-800))*(X646-800),IF(X646&lt;=2100,400+((500-400)/(2100-1600))*(X646-1600),500)))))))</f>
        <v>33.125</v>
      </c>
      <c r="AK646" s="4" t="n">
        <f aca="false">IF(Y646="","",IF(Y646&lt;=50,(50/50)*Y646,IF(Y646&lt;=100,50+((100-50)/(100-50))*(Y646-50),IF(Y646&lt;=168,100+((200-100)/(168-100))*(Y646-100),IF(Y646&lt;=208,200+((300-200)/(208-168))*(Y646-168),IF(Y646&lt;=748,300+((400-300)/(748-208))*(Y646-208),IF(Y646&lt;=1000,400+((500-400)/(1000-748))*(Y646-748),500)))))))</f>
        <v>62</v>
      </c>
      <c r="AL646" s="4" t="n">
        <f aca="false">ROUND(MAX(AF646,AG646,AH646,AI646,AJ646,AK646),0)</f>
        <v>103</v>
      </c>
      <c r="AM646" s="4" t="str">
        <f aca="false">IF(AL646="","",IF(AL646&lt;=50,"Good",IF(AL646&lt;=100,"Satisfactory",IF(AL646&lt;=200,"Moderate",IF(AL646&lt;=300,"Poor",IF(AL646&lt;=400,"Very Poor","Severe"))))))</f>
        <v>Moderate</v>
      </c>
    </row>
    <row r="647" customFormat="false" ht="15.75" hidden="false" customHeight="false" outlineLevel="0" collapsed="false">
      <c r="A647" s="1" t="s">
        <v>39</v>
      </c>
      <c r="B647" s="1" t="s">
        <v>40</v>
      </c>
      <c r="C647" s="1" t="n">
        <v>28.4595</v>
      </c>
      <c r="D647" s="1" t="n">
        <v>77.0266</v>
      </c>
      <c r="E647" s="5" t="n">
        <v>45927</v>
      </c>
      <c r="F647" s="6" t="s">
        <v>74</v>
      </c>
      <c r="G647" s="1" t="n">
        <v>9</v>
      </c>
      <c r="H647" s="7" t="s">
        <v>86</v>
      </c>
      <c r="I647" s="6" t="s">
        <v>46</v>
      </c>
      <c r="J647" s="7" t="s">
        <v>44</v>
      </c>
      <c r="K647" s="7" t="s">
        <v>75</v>
      </c>
      <c r="L647" s="1" t="n">
        <v>75</v>
      </c>
      <c r="M647" s="1" t="n">
        <v>24.3</v>
      </c>
      <c r="N647" s="1" t="n">
        <v>15.5</v>
      </c>
      <c r="O647" s="1" t="n">
        <v>0</v>
      </c>
      <c r="P647" s="6" t="s">
        <v>43</v>
      </c>
      <c r="Q647" s="6" t="s">
        <v>43</v>
      </c>
      <c r="R647" s="1" t="n">
        <v>1007.5</v>
      </c>
      <c r="S647" s="1" t="n">
        <v>93</v>
      </c>
      <c r="T647" s="1" t="n">
        <v>55.5</v>
      </c>
      <c r="U647" s="1" t="n">
        <v>92.9</v>
      </c>
      <c r="V647" s="1" t="n">
        <v>1625</v>
      </c>
      <c r="W647" s="1" t="n">
        <v>56.1</v>
      </c>
      <c r="X647" s="1" t="n">
        <v>27.3</v>
      </c>
      <c r="Y647" s="1" t="n">
        <v>51</v>
      </c>
      <c r="Z647" s="1" t="n">
        <v>75</v>
      </c>
      <c r="AA647" s="1" t="n">
        <v>153</v>
      </c>
      <c r="AB647" s="7" t="s">
        <v>81</v>
      </c>
      <c r="AC647" s="7" t="s">
        <v>48</v>
      </c>
      <c r="AD647" s="6" t="s">
        <v>43</v>
      </c>
      <c r="AE647" s="6" t="s">
        <v>43</v>
      </c>
      <c r="AF647" s="4" t="n">
        <f aca="false">IF(T647="","",IF(T647&lt;=30,(50/30)*T647,IF(T647&lt;=60,50+((100-50)/(60-30))*(T647-30),IF(T647&lt;=90,100+((200-100)/(90-60))*(T647-60),IF(T647&lt;=120,200+((300-200)/(120-90))*(T647-90),IF(T647&lt;=250,300+((400-300)/(250-120))*(T647-120),IF(T647&lt;=380,400+((500-400)/(380-250))*(T647-250),500)))))))</f>
        <v>92.5</v>
      </c>
      <c r="AG647" s="4" t="n">
        <f aca="false">IF(U647="","",IF(U647&lt;=50,(50/50)*U647,IF(U647&lt;=100,50+((100-50)/(100-50))*(U647-50),IF(U647&lt;=250,100+((200-100)/(250-100))*(U647-100),IF(U647&lt;=350,200+((300-200)/(350-250))*(U647-250),IF(U647&lt;=430,300+((400-300)/(430-350))*(U647-350),IF(U647&lt;=600,400+((500-400)/(600-430))*(U647-430),500)))))))</f>
        <v>92.9</v>
      </c>
      <c r="AH647" s="4" t="n">
        <f aca="false">IF(V647="","",IF((V647/1000)&lt;=1,(50/1)*(V647/1000),IF((V647/1000)&lt;=2,50+((100-50)/(2-1))*(V647/1000-1),IF((V647/1000)&lt;=10,100+((200-100)/(10-2))*(V647/1000-2),IF((V647/1000)&lt;=17,200+((300-200)/(17-10))*(V647/1000-10),IF((V647/1000)&lt;=34,300+((400-300)/(34-17))*(V647/1000-17),IF((V647/1000)&lt;=57,400+((500-400)/(57-34))*(V647/1000-34),500)))))))</f>
        <v>81.25</v>
      </c>
      <c r="AI647" s="4" t="n">
        <f aca="false">IF(W647="","",IF(W647&lt;=40,(50/40)*W647,IF(W647&lt;=80,50+((100-50)/(80-40))*(W647-40),IF(W647&lt;=180,100+((200-100)/(180-80))*(W647-80),IF(W647&lt;=280,200+((300-200)/(280-180))*(W647-180),IF(W647&lt;=400,300+((400-300)/(400-280))*(W647-280),IF(W647&lt;=800,400+((500-400)/(800-400))*(W647-400),500)))))))</f>
        <v>70.125</v>
      </c>
      <c r="AJ647" s="4" t="n">
        <f aca="false">IF(X647="","",IF(X647&lt;=40,(50/40)*X647,IF(X647&lt;=80,50+((100-50)/(80-40))*(X647-40),IF(X647&lt;=380,100+((200-100)/(380-80))*(X647-80),IF(X647&lt;=800,200+((300-200)/(800-380))*(X647-380),IF(X647&lt;=1600,300+((400-300)/(1600-800))*(X647-800),IF(X647&lt;=2100,400+((500-400)/(2100-1600))*(X647-1600),500)))))))</f>
        <v>34.125</v>
      </c>
      <c r="AK647" s="4" t="n">
        <f aca="false">IF(Y647="","",IF(Y647&lt;=50,(50/50)*Y647,IF(Y647&lt;=100,50+((100-50)/(100-50))*(Y647-50),IF(Y647&lt;=168,100+((200-100)/(168-100))*(Y647-100),IF(Y647&lt;=208,200+((300-200)/(208-168))*(Y647-168),IF(Y647&lt;=748,300+((400-300)/(748-208))*(Y647-208),IF(Y647&lt;=1000,400+((500-400)/(1000-748))*(Y647-748),500)))))))</f>
        <v>51</v>
      </c>
      <c r="AL647" s="4" t="n">
        <f aca="false">ROUND(MAX(AF647,AG647,AH647,AI647,AJ647,AK647),0)</f>
        <v>93</v>
      </c>
      <c r="AM647" s="4" t="str">
        <f aca="false">IF(AL647="","",IF(AL647&lt;=50,"Good",IF(AL647&lt;=100,"Satisfactory",IF(AL647&lt;=200,"Moderate",IF(AL647&lt;=300,"Poor",IF(AL647&lt;=400,"Very Poor","Severe"))))))</f>
        <v>Satisfactory</v>
      </c>
    </row>
    <row r="648" customFormat="false" ht="15.75" hidden="false" customHeight="false" outlineLevel="0" collapsed="false">
      <c r="A648" s="1" t="s">
        <v>39</v>
      </c>
      <c r="B648" s="1" t="s">
        <v>40</v>
      </c>
      <c r="C648" s="1" t="n">
        <v>28.4595</v>
      </c>
      <c r="D648" s="1" t="n">
        <v>77.0266</v>
      </c>
      <c r="E648" s="5" t="n">
        <v>45927</v>
      </c>
      <c r="F648" s="6" t="s">
        <v>76</v>
      </c>
      <c r="G648" s="1" t="n">
        <v>9</v>
      </c>
      <c r="H648" s="7" t="s">
        <v>86</v>
      </c>
      <c r="I648" s="6" t="s">
        <v>46</v>
      </c>
      <c r="J648" s="7" t="s">
        <v>44</v>
      </c>
      <c r="K648" s="7" t="s">
        <v>75</v>
      </c>
      <c r="L648" s="1" t="n">
        <v>76</v>
      </c>
      <c r="M648" s="1" t="n">
        <v>24.3</v>
      </c>
      <c r="N648" s="1" t="n">
        <v>15.8</v>
      </c>
      <c r="O648" s="1" t="n">
        <v>0</v>
      </c>
      <c r="P648" s="6" t="s">
        <v>43</v>
      </c>
      <c r="Q648" s="6" t="s">
        <v>43</v>
      </c>
      <c r="R648" s="1" t="n">
        <v>1007.4</v>
      </c>
      <c r="S648" s="1" t="n">
        <v>26</v>
      </c>
      <c r="T648" s="1" t="n">
        <v>54.6</v>
      </c>
      <c r="U648" s="1" t="n">
        <v>83.8</v>
      </c>
      <c r="V648" s="1" t="n">
        <v>1213</v>
      </c>
      <c r="W648" s="1" t="n">
        <v>53.4</v>
      </c>
      <c r="X648" s="1" t="n">
        <v>27.7</v>
      </c>
      <c r="Y648" s="1" t="n">
        <v>49</v>
      </c>
      <c r="Z648" s="1" t="n">
        <v>59</v>
      </c>
      <c r="AA648" s="1" t="n">
        <v>153</v>
      </c>
      <c r="AB648" s="7" t="s">
        <v>81</v>
      </c>
      <c r="AC648" s="7" t="s">
        <v>48</v>
      </c>
      <c r="AD648" s="6" t="s">
        <v>43</v>
      </c>
      <c r="AE648" s="6" t="s">
        <v>43</v>
      </c>
      <c r="AF648" s="4" t="n">
        <f aca="false">IF(T648="","",IF(T648&lt;=30,(50/30)*T648,IF(T648&lt;=60,50+((100-50)/(60-30))*(T648-30),IF(T648&lt;=90,100+((200-100)/(90-60))*(T648-60),IF(T648&lt;=120,200+((300-200)/(120-90))*(T648-90),IF(T648&lt;=250,300+((400-300)/(250-120))*(T648-120),IF(T648&lt;=380,400+((500-400)/(380-250))*(T648-250),500)))))))</f>
        <v>91</v>
      </c>
      <c r="AG648" s="4" t="n">
        <f aca="false">IF(U648="","",IF(U648&lt;=50,(50/50)*U648,IF(U648&lt;=100,50+((100-50)/(100-50))*(U648-50),IF(U648&lt;=250,100+((200-100)/(250-100))*(U648-100),IF(U648&lt;=350,200+((300-200)/(350-250))*(U648-250),IF(U648&lt;=430,300+((400-300)/(430-350))*(U648-350),IF(U648&lt;=600,400+((500-400)/(600-430))*(U648-430),500)))))))</f>
        <v>83.8</v>
      </c>
      <c r="AH648" s="4" t="n">
        <f aca="false">IF(V648="","",IF((V648/1000)&lt;=1,(50/1)*(V648/1000),IF((V648/1000)&lt;=2,50+((100-50)/(2-1))*(V648/1000-1),IF((V648/1000)&lt;=10,100+((200-100)/(10-2))*(V648/1000-2),IF((V648/1000)&lt;=17,200+((300-200)/(17-10))*(V648/1000-10),IF((V648/1000)&lt;=34,300+((400-300)/(34-17))*(V648/1000-17),IF((V648/1000)&lt;=57,400+((500-400)/(57-34))*(V648/1000-34),500)))))))</f>
        <v>60.65</v>
      </c>
      <c r="AI648" s="4" t="n">
        <f aca="false">IF(W648="","",IF(W648&lt;=40,(50/40)*W648,IF(W648&lt;=80,50+((100-50)/(80-40))*(W648-40),IF(W648&lt;=180,100+((200-100)/(180-80))*(W648-80),IF(W648&lt;=280,200+((300-200)/(280-180))*(W648-180),IF(W648&lt;=400,300+((400-300)/(400-280))*(W648-280),IF(W648&lt;=800,400+((500-400)/(800-400))*(W648-400),500)))))))</f>
        <v>66.75</v>
      </c>
      <c r="AJ648" s="4" t="n">
        <f aca="false">IF(X648="","",IF(X648&lt;=40,(50/40)*X648,IF(X648&lt;=80,50+((100-50)/(80-40))*(X648-40),IF(X648&lt;=380,100+((200-100)/(380-80))*(X648-80),IF(X648&lt;=800,200+((300-200)/(800-380))*(X648-380),IF(X648&lt;=1600,300+((400-300)/(1600-800))*(X648-800),IF(X648&lt;=2100,400+((500-400)/(2100-1600))*(X648-1600),500)))))))</f>
        <v>34.625</v>
      </c>
      <c r="AK648" s="4" t="n">
        <f aca="false">IF(Y648="","",IF(Y648&lt;=50,(50/50)*Y648,IF(Y648&lt;=100,50+((100-50)/(100-50))*(Y648-50),IF(Y648&lt;=168,100+((200-100)/(168-100))*(Y648-100),IF(Y648&lt;=208,200+((300-200)/(208-168))*(Y648-168),IF(Y648&lt;=748,300+((400-300)/(748-208))*(Y648-208),IF(Y648&lt;=1000,400+((500-400)/(1000-748))*(Y648-748),500)))))))</f>
        <v>49</v>
      </c>
      <c r="AL648" s="4" t="n">
        <f aca="false">ROUND(MAX(AF648,AG648,AH648,AI648,AJ648,AK648),0)</f>
        <v>91</v>
      </c>
      <c r="AM648" s="4" t="str">
        <f aca="false">IF(AL648="","",IF(AL648&lt;=50,"Good",IF(AL648&lt;=100,"Satisfactory",IF(AL648&lt;=200,"Moderate",IF(AL648&lt;=300,"Poor",IF(AL648&lt;=400,"Very Poor","Severe"))))))</f>
        <v>Satisfactory</v>
      </c>
    </row>
    <row r="649" customFormat="false" ht="15.75" hidden="false" customHeight="false" outlineLevel="0" collapsed="false">
      <c r="A649" s="1" t="s">
        <v>39</v>
      </c>
      <c r="B649" s="1" t="s">
        <v>40</v>
      </c>
      <c r="C649" s="1" t="n">
        <v>28.4595</v>
      </c>
      <c r="D649" s="1" t="n">
        <v>77.0266</v>
      </c>
      <c r="E649" s="5" t="n">
        <v>45927</v>
      </c>
      <c r="F649" s="6" t="s">
        <v>77</v>
      </c>
      <c r="G649" s="1" t="n">
        <v>9</v>
      </c>
      <c r="H649" s="7" t="s">
        <v>86</v>
      </c>
      <c r="I649" s="6" t="s">
        <v>46</v>
      </c>
      <c r="J649" s="7" t="s">
        <v>44</v>
      </c>
      <c r="K649" s="7" t="s">
        <v>75</v>
      </c>
      <c r="L649" s="1" t="n">
        <v>76</v>
      </c>
      <c r="M649" s="1" t="n">
        <v>24.1</v>
      </c>
      <c r="N649" s="1" t="n">
        <v>12.2</v>
      </c>
      <c r="O649" s="1" t="n">
        <v>0</v>
      </c>
      <c r="P649" s="6" t="s">
        <v>43</v>
      </c>
      <c r="Q649" s="6" t="s">
        <v>43</v>
      </c>
      <c r="R649" s="1" t="n">
        <v>1007.3</v>
      </c>
      <c r="S649" s="1" t="n">
        <v>5</v>
      </c>
      <c r="T649" s="1" t="n">
        <v>54.9</v>
      </c>
      <c r="U649" s="1" t="n">
        <v>78</v>
      </c>
      <c r="V649" s="1" t="n">
        <v>900</v>
      </c>
      <c r="W649" s="1" t="n">
        <v>50.3</v>
      </c>
      <c r="X649" s="1" t="n">
        <v>27.6</v>
      </c>
      <c r="Y649" s="1" t="n">
        <v>48</v>
      </c>
      <c r="Z649" s="1" t="n">
        <v>45</v>
      </c>
      <c r="AA649" s="1" t="n">
        <v>152</v>
      </c>
      <c r="AB649" s="7" t="s">
        <v>81</v>
      </c>
      <c r="AC649" s="7" t="s">
        <v>48</v>
      </c>
      <c r="AD649" s="6" t="s">
        <v>43</v>
      </c>
      <c r="AE649" s="6" t="s">
        <v>43</v>
      </c>
      <c r="AF649" s="4" t="n">
        <f aca="false">IF(T649="","",IF(T649&lt;=30,(50/30)*T649,IF(T649&lt;=60,50+((100-50)/(60-30))*(T649-30),IF(T649&lt;=90,100+((200-100)/(90-60))*(T649-60),IF(T649&lt;=120,200+((300-200)/(120-90))*(T649-90),IF(T649&lt;=250,300+((400-300)/(250-120))*(T649-120),IF(T649&lt;=380,400+((500-400)/(380-250))*(T649-250),500)))))))</f>
        <v>91.5</v>
      </c>
      <c r="AG649" s="4" t="n">
        <f aca="false">IF(U649="","",IF(U649&lt;=50,(50/50)*U649,IF(U649&lt;=100,50+((100-50)/(100-50))*(U649-50),IF(U649&lt;=250,100+((200-100)/(250-100))*(U649-100),IF(U649&lt;=350,200+((300-200)/(350-250))*(U649-250),IF(U649&lt;=430,300+((400-300)/(430-350))*(U649-350),IF(U649&lt;=600,400+((500-400)/(600-430))*(U649-430),500)))))))</f>
        <v>78</v>
      </c>
      <c r="AH649" s="4" t="n">
        <f aca="false">IF(V649="","",IF((V649/1000)&lt;=1,(50/1)*(V649/1000),IF((V649/1000)&lt;=2,50+((100-50)/(2-1))*(V649/1000-1),IF((V649/1000)&lt;=10,100+((200-100)/(10-2))*(V649/1000-2),IF((V649/1000)&lt;=17,200+((300-200)/(17-10))*(V649/1000-10),IF((V649/1000)&lt;=34,300+((400-300)/(34-17))*(V649/1000-17),IF((V649/1000)&lt;=57,400+((500-400)/(57-34))*(V649/1000-34),500)))))))</f>
        <v>45</v>
      </c>
      <c r="AI649" s="4" t="n">
        <f aca="false">IF(W649="","",IF(W649&lt;=40,(50/40)*W649,IF(W649&lt;=80,50+((100-50)/(80-40))*(W649-40),IF(W649&lt;=180,100+((200-100)/(180-80))*(W649-80),IF(W649&lt;=280,200+((300-200)/(280-180))*(W649-180),IF(W649&lt;=400,300+((400-300)/(400-280))*(W649-280),IF(W649&lt;=800,400+((500-400)/(800-400))*(W649-400),500)))))))</f>
        <v>62.875</v>
      </c>
      <c r="AJ649" s="4" t="n">
        <f aca="false">IF(X649="","",IF(X649&lt;=40,(50/40)*X649,IF(X649&lt;=80,50+((100-50)/(80-40))*(X649-40),IF(X649&lt;=380,100+((200-100)/(380-80))*(X649-80),IF(X649&lt;=800,200+((300-200)/(800-380))*(X649-380),IF(X649&lt;=1600,300+((400-300)/(1600-800))*(X649-800),IF(X649&lt;=2100,400+((500-400)/(2100-1600))*(X649-1600),500)))))))</f>
        <v>34.5</v>
      </c>
      <c r="AK649" s="4" t="n">
        <f aca="false">IF(Y649="","",IF(Y649&lt;=50,(50/50)*Y649,IF(Y649&lt;=100,50+((100-50)/(100-50))*(Y649-50),IF(Y649&lt;=168,100+((200-100)/(168-100))*(Y649-100),IF(Y649&lt;=208,200+((300-200)/(208-168))*(Y649-168),IF(Y649&lt;=748,300+((400-300)/(748-208))*(Y649-208),IF(Y649&lt;=1000,400+((500-400)/(1000-748))*(Y649-748),500)))))))</f>
        <v>48</v>
      </c>
      <c r="AL649" s="4" t="n">
        <f aca="false">ROUND(MAX(AF649,AG649,AH649,AI649,AJ649,AK649),0)</f>
        <v>92</v>
      </c>
      <c r="AM649" s="4" t="str">
        <f aca="false">IF(AL649="","",IF(AL649&lt;=50,"Good",IF(AL649&lt;=100,"Satisfactory",IF(AL649&lt;=200,"Moderate",IF(AL649&lt;=300,"Poor",IF(AL649&lt;=400,"Very Poor","Severe"))))))</f>
        <v>Satisfactory</v>
      </c>
    </row>
    <row r="650" customFormat="false" ht="15.75" hidden="false" customHeight="false" outlineLevel="0" collapsed="false">
      <c r="A650" s="1" t="s">
        <v>39</v>
      </c>
      <c r="B650" s="1" t="s">
        <v>40</v>
      </c>
      <c r="C650" s="1" t="n">
        <v>28.4595</v>
      </c>
      <c r="D650" s="1" t="n">
        <v>77.0266</v>
      </c>
      <c r="E650" s="5" t="n">
        <v>45928</v>
      </c>
      <c r="F650" s="6" t="s">
        <v>41</v>
      </c>
      <c r="G650" s="1" t="n">
        <v>9</v>
      </c>
      <c r="H650" s="7" t="s">
        <v>87</v>
      </c>
      <c r="I650" s="6" t="s">
        <v>46</v>
      </c>
      <c r="J650" s="7" t="s">
        <v>44</v>
      </c>
      <c r="K650" s="7" t="s">
        <v>45</v>
      </c>
      <c r="L650" s="1" t="n">
        <v>75</v>
      </c>
      <c r="M650" s="1" t="n">
        <v>23.9</v>
      </c>
      <c r="N650" s="1" t="n">
        <v>15.5</v>
      </c>
      <c r="O650" s="1" t="n">
        <v>0</v>
      </c>
      <c r="P650" s="6" t="s">
        <v>43</v>
      </c>
      <c r="Q650" s="6" t="s">
        <v>43</v>
      </c>
      <c r="R650" s="1" t="n">
        <v>1007</v>
      </c>
      <c r="S650" s="1" t="n">
        <v>27</v>
      </c>
      <c r="T650" s="1" t="n">
        <v>54.9</v>
      </c>
      <c r="U650" s="1" t="n">
        <v>73.3</v>
      </c>
      <c r="V650" s="1" t="n">
        <v>835</v>
      </c>
      <c r="W650" s="1" t="n">
        <v>47.9</v>
      </c>
      <c r="X650" s="1" t="n">
        <v>26.7</v>
      </c>
      <c r="Y650" s="1" t="n">
        <v>47</v>
      </c>
      <c r="Z650" s="1" t="n">
        <v>34</v>
      </c>
      <c r="AA650" s="1" t="n">
        <v>152</v>
      </c>
      <c r="AB650" s="7" t="s">
        <v>81</v>
      </c>
      <c r="AC650" s="7" t="s">
        <v>48</v>
      </c>
      <c r="AD650" s="6" t="s">
        <v>43</v>
      </c>
      <c r="AE650" s="6" t="s">
        <v>43</v>
      </c>
      <c r="AF650" s="4" t="n">
        <f aca="false">IF(T650="","",IF(T650&lt;=30,(50/30)*T650,IF(T650&lt;=60,50+((100-50)/(60-30))*(T650-30),IF(T650&lt;=90,100+((200-100)/(90-60))*(T650-60),IF(T650&lt;=120,200+((300-200)/(120-90))*(T650-90),IF(T650&lt;=250,300+((400-300)/(250-120))*(T650-120),IF(T650&lt;=380,400+((500-400)/(380-250))*(T650-250),500)))))))</f>
        <v>91.5</v>
      </c>
      <c r="AG650" s="4" t="n">
        <f aca="false">IF(U650="","",IF(U650&lt;=50,(50/50)*U650,IF(U650&lt;=100,50+((100-50)/(100-50))*(U650-50),IF(U650&lt;=250,100+((200-100)/(250-100))*(U650-100),IF(U650&lt;=350,200+((300-200)/(350-250))*(U650-250),IF(U650&lt;=430,300+((400-300)/(430-350))*(U650-350),IF(U650&lt;=600,400+((500-400)/(600-430))*(U650-430),500)))))))</f>
        <v>73.3</v>
      </c>
      <c r="AH650" s="4" t="n">
        <f aca="false">IF(V650="","",IF((V650/1000)&lt;=1,(50/1)*(V650/1000),IF((V650/1000)&lt;=2,50+((100-50)/(2-1))*(V650/1000-1),IF((V650/1000)&lt;=10,100+((200-100)/(10-2))*(V650/1000-2),IF((V650/1000)&lt;=17,200+((300-200)/(17-10))*(V650/1000-10),IF((V650/1000)&lt;=34,300+((400-300)/(34-17))*(V650/1000-17),IF((V650/1000)&lt;=57,400+((500-400)/(57-34))*(V650/1000-34),500)))))))</f>
        <v>41.75</v>
      </c>
      <c r="AI650" s="4" t="n">
        <f aca="false">IF(W650="","",IF(W650&lt;=40,(50/40)*W650,IF(W650&lt;=80,50+((100-50)/(80-40))*(W650-40),IF(W650&lt;=180,100+((200-100)/(180-80))*(W650-80),IF(W650&lt;=280,200+((300-200)/(280-180))*(W650-180),IF(W650&lt;=400,300+((400-300)/(400-280))*(W650-280),IF(W650&lt;=800,400+((500-400)/(800-400))*(W650-400),500)))))))</f>
        <v>59.875</v>
      </c>
      <c r="AJ650" s="4" t="n">
        <f aca="false">IF(X650="","",IF(X650&lt;=40,(50/40)*X650,IF(X650&lt;=80,50+((100-50)/(80-40))*(X650-40),IF(X650&lt;=380,100+((200-100)/(380-80))*(X650-80),IF(X650&lt;=800,200+((300-200)/(800-380))*(X650-380),IF(X650&lt;=1600,300+((400-300)/(1600-800))*(X650-800),IF(X650&lt;=2100,400+((500-400)/(2100-1600))*(X650-1600),500)))))))</f>
        <v>33.375</v>
      </c>
      <c r="AK650" s="4" t="n">
        <f aca="false">IF(Y650="","",IF(Y650&lt;=50,(50/50)*Y650,IF(Y650&lt;=100,50+((100-50)/(100-50))*(Y650-50),IF(Y650&lt;=168,100+((200-100)/(168-100))*(Y650-100),IF(Y650&lt;=208,200+((300-200)/(208-168))*(Y650-168),IF(Y650&lt;=748,300+((400-300)/(748-208))*(Y650-208),IF(Y650&lt;=1000,400+((500-400)/(1000-748))*(Y650-748),500)))))))</f>
        <v>47</v>
      </c>
      <c r="AL650" s="4" t="n">
        <f aca="false">ROUND(MAX(AF650,AG650,AH650,AI650,AJ650,AK650),0)</f>
        <v>92</v>
      </c>
      <c r="AM650" s="4" t="str">
        <f aca="false">IF(AL650="","",IF(AL650&lt;=50,"Good",IF(AL650&lt;=100,"Satisfactory",IF(AL650&lt;=200,"Moderate",IF(AL650&lt;=300,"Poor",IF(AL650&lt;=400,"Very Poor","Severe"))))))</f>
        <v>Satisfactory</v>
      </c>
    </row>
    <row r="651" customFormat="false" ht="15.75" hidden="false" customHeight="false" outlineLevel="0" collapsed="false">
      <c r="A651" s="1" t="s">
        <v>39</v>
      </c>
      <c r="B651" s="1" t="s">
        <v>40</v>
      </c>
      <c r="C651" s="1" t="n">
        <v>28.4595</v>
      </c>
      <c r="D651" s="1" t="n">
        <v>77.0266</v>
      </c>
      <c r="E651" s="5" t="n">
        <v>45928</v>
      </c>
      <c r="F651" s="6" t="s">
        <v>49</v>
      </c>
      <c r="G651" s="1" t="n">
        <v>9</v>
      </c>
      <c r="H651" s="7" t="s">
        <v>87</v>
      </c>
      <c r="I651" s="6" t="s">
        <v>46</v>
      </c>
      <c r="J651" s="7" t="s">
        <v>44</v>
      </c>
      <c r="K651" s="7" t="s">
        <v>45</v>
      </c>
      <c r="L651" s="1" t="n">
        <v>76</v>
      </c>
      <c r="M651" s="1" t="n">
        <v>23.8</v>
      </c>
      <c r="N651" s="1" t="n">
        <v>15.8</v>
      </c>
      <c r="O651" s="1" t="n">
        <v>0</v>
      </c>
      <c r="P651" s="6" t="s">
        <v>43</v>
      </c>
      <c r="Q651" s="6" t="s">
        <v>43</v>
      </c>
      <c r="R651" s="1" t="n">
        <v>1006.8</v>
      </c>
      <c r="S651" s="1" t="n">
        <v>2</v>
      </c>
      <c r="T651" s="1" t="n">
        <v>53.8</v>
      </c>
      <c r="U651" s="1" t="n">
        <v>67.8</v>
      </c>
      <c r="V651" s="1" t="n">
        <v>868</v>
      </c>
      <c r="W651" s="1" t="n">
        <v>45.1</v>
      </c>
      <c r="X651" s="1" t="n">
        <v>25.2</v>
      </c>
      <c r="Y651" s="1" t="n">
        <v>48</v>
      </c>
      <c r="Z651" s="1" t="n">
        <v>27</v>
      </c>
      <c r="AA651" s="1" t="n">
        <v>152</v>
      </c>
      <c r="AB651" s="7" t="s">
        <v>81</v>
      </c>
      <c r="AC651" s="7" t="s">
        <v>48</v>
      </c>
      <c r="AD651" s="6" t="s">
        <v>43</v>
      </c>
      <c r="AE651" s="6" t="s">
        <v>43</v>
      </c>
      <c r="AF651" s="4" t="n">
        <f aca="false">IF(T651="","",IF(T651&lt;=30,(50/30)*T651,IF(T651&lt;=60,50+((100-50)/(60-30))*(T651-30),IF(T651&lt;=90,100+((200-100)/(90-60))*(T651-60),IF(T651&lt;=120,200+((300-200)/(120-90))*(T651-90),IF(T651&lt;=250,300+((400-300)/(250-120))*(T651-120),IF(T651&lt;=380,400+((500-400)/(380-250))*(T651-250),500)))))))</f>
        <v>89.6666666666667</v>
      </c>
      <c r="AG651" s="4" t="n">
        <f aca="false">IF(U651="","",IF(U651&lt;=50,(50/50)*U651,IF(U651&lt;=100,50+((100-50)/(100-50))*(U651-50),IF(U651&lt;=250,100+((200-100)/(250-100))*(U651-100),IF(U651&lt;=350,200+((300-200)/(350-250))*(U651-250),IF(U651&lt;=430,300+((400-300)/(430-350))*(U651-350),IF(U651&lt;=600,400+((500-400)/(600-430))*(U651-430),500)))))))</f>
        <v>67.8</v>
      </c>
      <c r="AH651" s="4" t="n">
        <f aca="false">IF(V651="","",IF((V651/1000)&lt;=1,(50/1)*(V651/1000),IF((V651/1000)&lt;=2,50+((100-50)/(2-1))*(V651/1000-1),IF((V651/1000)&lt;=10,100+((200-100)/(10-2))*(V651/1000-2),IF((V651/1000)&lt;=17,200+((300-200)/(17-10))*(V651/1000-10),IF((V651/1000)&lt;=34,300+((400-300)/(34-17))*(V651/1000-17),IF((V651/1000)&lt;=57,400+((500-400)/(57-34))*(V651/1000-34),500)))))))</f>
        <v>43.4</v>
      </c>
      <c r="AI651" s="4" t="n">
        <f aca="false">IF(W651="","",IF(W651&lt;=40,(50/40)*W651,IF(W651&lt;=80,50+((100-50)/(80-40))*(W651-40),IF(W651&lt;=180,100+((200-100)/(180-80))*(W651-80),IF(W651&lt;=280,200+((300-200)/(280-180))*(W651-180),IF(W651&lt;=400,300+((400-300)/(400-280))*(W651-280),IF(W651&lt;=800,400+((500-400)/(800-400))*(W651-400),500)))))))</f>
        <v>56.375</v>
      </c>
      <c r="AJ651" s="4" t="n">
        <f aca="false">IF(X651="","",IF(X651&lt;=40,(50/40)*X651,IF(X651&lt;=80,50+((100-50)/(80-40))*(X651-40),IF(X651&lt;=380,100+((200-100)/(380-80))*(X651-80),IF(X651&lt;=800,200+((300-200)/(800-380))*(X651-380),IF(X651&lt;=1600,300+((400-300)/(1600-800))*(X651-800),IF(X651&lt;=2100,400+((500-400)/(2100-1600))*(X651-1600),500)))))))</f>
        <v>31.5</v>
      </c>
      <c r="AK651" s="4" t="n">
        <f aca="false">IF(Y651="","",IF(Y651&lt;=50,(50/50)*Y651,IF(Y651&lt;=100,50+((100-50)/(100-50))*(Y651-50),IF(Y651&lt;=168,100+((200-100)/(168-100))*(Y651-100),IF(Y651&lt;=208,200+((300-200)/(208-168))*(Y651-168),IF(Y651&lt;=748,300+((400-300)/(748-208))*(Y651-208),IF(Y651&lt;=1000,400+((500-400)/(1000-748))*(Y651-748),500)))))))</f>
        <v>48</v>
      </c>
      <c r="AL651" s="4" t="n">
        <f aca="false">ROUND(MAX(AF651,AG651,AH651,AI651,AJ651,AK651),0)</f>
        <v>90</v>
      </c>
      <c r="AM651" s="4" t="str">
        <f aca="false">IF(AL651="","",IF(AL651&lt;=50,"Good",IF(AL651&lt;=100,"Satisfactory",IF(AL651&lt;=200,"Moderate",IF(AL651&lt;=300,"Poor",IF(AL651&lt;=400,"Very Poor","Severe"))))))</f>
        <v>Satisfactory</v>
      </c>
    </row>
    <row r="652" customFormat="false" ht="15.75" hidden="false" customHeight="false" outlineLevel="0" collapsed="false">
      <c r="A652" s="1" t="s">
        <v>39</v>
      </c>
      <c r="B652" s="1" t="s">
        <v>40</v>
      </c>
      <c r="C652" s="1" t="n">
        <v>28.4595</v>
      </c>
      <c r="D652" s="1" t="n">
        <v>77.0266</v>
      </c>
      <c r="E652" s="5" t="n">
        <v>45928</v>
      </c>
      <c r="F652" s="6" t="s">
        <v>51</v>
      </c>
      <c r="G652" s="1" t="n">
        <v>9</v>
      </c>
      <c r="H652" s="7" t="s">
        <v>87</v>
      </c>
      <c r="I652" s="6" t="s">
        <v>46</v>
      </c>
      <c r="J652" s="7" t="s">
        <v>44</v>
      </c>
      <c r="K652" s="7" t="s">
        <v>45</v>
      </c>
      <c r="L652" s="1" t="n">
        <v>77</v>
      </c>
      <c r="M652" s="1" t="n">
        <v>23.9</v>
      </c>
      <c r="N652" s="1" t="n">
        <v>16.2</v>
      </c>
      <c r="O652" s="1" t="n">
        <v>0</v>
      </c>
      <c r="P652" s="6" t="s">
        <v>43</v>
      </c>
      <c r="Q652" s="6" t="s">
        <v>43</v>
      </c>
      <c r="R652" s="1" t="n">
        <v>1006.7</v>
      </c>
      <c r="S652" s="1" t="n">
        <v>3</v>
      </c>
      <c r="T652" s="1" t="n">
        <v>51</v>
      </c>
      <c r="U652" s="1" t="n">
        <v>62.2</v>
      </c>
      <c r="V652" s="1" t="n">
        <v>890</v>
      </c>
      <c r="W652" s="1" t="n">
        <v>42</v>
      </c>
      <c r="X652" s="1" t="n">
        <v>24</v>
      </c>
      <c r="Y652" s="1" t="n">
        <v>50</v>
      </c>
      <c r="Z652" s="1" t="n">
        <v>22</v>
      </c>
      <c r="AA652" s="1" t="n">
        <v>151</v>
      </c>
      <c r="AB652" s="7" t="s">
        <v>81</v>
      </c>
      <c r="AC652" s="7" t="s">
        <v>48</v>
      </c>
      <c r="AD652" s="6" t="s">
        <v>43</v>
      </c>
      <c r="AE652" s="6" t="s">
        <v>43</v>
      </c>
      <c r="AF652" s="4" t="n">
        <f aca="false">IF(T652="","",IF(T652&lt;=30,(50/30)*T652,IF(T652&lt;=60,50+((100-50)/(60-30))*(T652-30),IF(T652&lt;=90,100+((200-100)/(90-60))*(T652-60),IF(T652&lt;=120,200+((300-200)/(120-90))*(T652-90),IF(T652&lt;=250,300+((400-300)/(250-120))*(T652-120),IF(T652&lt;=380,400+((500-400)/(380-250))*(T652-250),500)))))))</f>
        <v>85</v>
      </c>
      <c r="AG652" s="4" t="n">
        <f aca="false">IF(U652="","",IF(U652&lt;=50,(50/50)*U652,IF(U652&lt;=100,50+((100-50)/(100-50))*(U652-50),IF(U652&lt;=250,100+((200-100)/(250-100))*(U652-100),IF(U652&lt;=350,200+((300-200)/(350-250))*(U652-250),IF(U652&lt;=430,300+((400-300)/(430-350))*(U652-350),IF(U652&lt;=600,400+((500-400)/(600-430))*(U652-430),500)))))))</f>
        <v>62.2</v>
      </c>
      <c r="AH652" s="4" t="n">
        <f aca="false">IF(V652="","",IF((V652/1000)&lt;=1,(50/1)*(V652/1000),IF((V652/1000)&lt;=2,50+((100-50)/(2-1))*(V652/1000-1),IF((V652/1000)&lt;=10,100+((200-100)/(10-2))*(V652/1000-2),IF((V652/1000)&lt;=17,200+((300-200)/(17-10))*(V652/1000-10),IF((V652/1000)&lt;=34,300+((400-300)/(34-17))*(V652/1000-17),IF((V652/1000)&lt;=57,400+((500-400)/(57-34))*(V652/1000-34),500)))))))</f>
        <v>44.5</v>
      </c>
      <c r="AI652" s="4" t="n">
        <f aca="false">IF(W652="","",IF(W652&lt;=40,(50/40)*W652,IF(W652&lt;=80,50+((100-50)/(80-40))*(W652-40),IF(W652&lt;=180,100+((200-100)/(180-80))*(W652-80),IF(W652&lt;=280,200+((300-200)/(280-180))*(W652-180),IF(W652&lt;=400,300+((400-300)/(400-280))*(W652-280),IF(W652&lt;=800,400+((500-400)/(800-400))*(W652-400),500)))))))</f>
        <v>52.5</v>
      </c>
      <c r="AJ652" s="4" t="n">
        <f aca="false">IF(X652="","",IF(X652&lt;=40,(50/40)*X652,IF(X652&lt;=80,50+((100-50)/(80-40))*(X652-40),IF(X652&lt;=380,100+((200-100)/(380-80))*(X652-80),IF(X652&lt;=800,200+((300-200)/(800-380))*(X652-380),IF(X652&lt;=1600,300+((400-300)/(1600-800))*(X652-800),IF(X652&lt;=2100,400+((500-400)/(2100-1600))*(X652-1600),500)))))))</f>
        <v>30</v>
      </c>
      <c r="AK652" s="4" t="n">
        <f aca="false">IF(Y652="","",IF(Y652&lt;=50,(50/50)*Y652,IF(Y652&lt;=100,50+((100-50)/(100-50))*(Y652-50),IF(Y652&lt;=168,100+((200-100)/(168-100))*(Y652-100),IF(Y652&lt;=208,200+((300-200)/(208-168))*(Y652-168),IF(Y652&lt;=748,300+((400-300)/(748-208))*(Y652-208),IF(Y652&lt;=1000,400+((500-400)/(1000-748))*(Y652-748),500)))))))</f>
        <v>50</v>
      </c>
      <c r="AL652" s="4" t="n">
        <f aca="false">ROUND(MAX(AF652,AG652,AH652,AI652,AJ652,AK652),0)</f>
        <v>85</v>
      </c>
      <c r="AM652" s="4" t="str">
        <f aca="false">IF(AL652="","",IF(AL652&lt;=50,"Good",IF(AL652&lt;=100,"Satisfactory",IF(AL652&lt;=200,"Moderate",IF(AL652&lt;=300,"Poor",IF(AL652&lt;=400,"Very Poor","Severe"))))))</f>
        <v>Satisfactory</v>
      </c>
    </row>
    <row r="653" customFormat="false" ht="15.75" hidden="false" customHeight="false" outlineLevel="0" collapsed="false">
      <c r="A653" s="1" t="s">
        <v>39</v>
      </c>
      <c r="B653" s="1" t="s">
        <v>40</v>
      </c>
      <c r="C653" s="1" t="n">
        <v>28.4595</v>
      </c>
      <c r="D653" s="1" t="n">
        <v>77.0266</v>
      </c>
      <c r="E653" s="5" t="n">
        <v>45928</v>
      </c>
      <c r="F653" s="6" t="s">
        <v>52</v>
      </c>
      <c r="G653" s="1" t="n">
        <v>9</v>
      </c>
      <c r="H653" s="7" t="s">
        <v>87</v>
      </c>
      <c r="I653" s="6" t="s">
        <v>46</v>
      </c>
      <c r="J653" s="7" t="s">
        <v>44</v>
      </c>
      <c r="K653" s="7" t="s">
        <v>45</v>
      </c>
      <c r="L653" s="1" t="n">
        <v>79</v>
      </c>
      <c r="M653" s="1" t="n">
        <v>24</v>
      </c>
      <c r="N653" s="1" t="n">
        <v>18</v>
      </c>
      <c r="O653" s="1" t="n">
        <v>0</v>
      </c>
      <c r="P653" s="6" t="s">
        <v>43</v>
      </c>
      <c r="Q653" s="6" t="s">
        <v>43</v>
      </c>
      <c r="R653" s="1" t="n">
        <v>1006.5</v>
      </c>
      <c r="S653" s="1" t="n">
        <v>1</v>
      </c>
      <c r="T653" s="1" t="n">
        <v>48.4</v>
      </c>
      <c r="U653" s="1" t="n">
        <v>59</v>
      </c>
      <c r="V653" s="1" t="n">
        <v>859</v>
      </c>
      <c r="W653" s="1" t="n">
        <v>38.1</v>
      </c>
      <c r="X653" s="1" t="n">
        <v>22.9</v>
      </c>
      <c r="Y653" s="1" t="n">
        <v>52</v>
      </c>
      <c r="Z653" s="1" t="n">
        <v>16</v>
      </c>
      <c r="AA653" s="1" t="n">
        <v>151</v>
      </c>
      <c r="AB653" s="7" t="s">
        <v>81</v>
      </c>
      <c r="AC653" s="7" t="s">
        <v>48</v>
      </c>
      <c r="AD653" s="6" t="s">
        <v>43</v>
      </c>
      <c r="AE653" s="6" t="s">
        <v>43</v>
      </c>
      <c r="AF653" s="4" t="n">
        <f aca="false">IF(T653="","",IF(T653&lt;=30,(50/30)*T653,IF(T653&lt;=60,50+((100-50)/(60-30))*(T653-30),IF(T653&lt;=90,100+((200-100)/(90-60))*(T653-60),IF(T653&lt;=120,200+((300-200)/(120-90))*(T653-90),IF(T653&lt;=250,300+((400-300)/(250-120))*(T653-120),IF(T653&lt;=380,400+((500-400)/(380-250))*(T653-250),500)))))))</f>
        <v>80.6666666666667</v>
      </c>
      <c r="AG653" s="4" t="n">
        <f aca="false">IF(U653="","",IF(U653&lt;=50,(50/50)*U653,IF(U653&lt;=100,50+((100-50)/(100-50))*(U653-50),IF(U653&lt;=250,100+((200-100)/(250-100))*(U653-100),IF(U653&lt;=350,200+((300-200)/(350-250))*(U653-250),IF(U653&lt;=430,300+((400-300)/(430-350))*(U653-350),IF(U653&lt;=600,400+((500-400)/(600-430))*(U653-430),500)))))))</f>
        <v>59</v>
      </c>
      <c r="AH653" s="4" t="n">
        <f aca="false">IF(V653="","",IF((V653/1000)&lt;=1,(50/1)*(V653/1000),IF((V653/1000)&lt;=2,50+((100-50)/(2-1))*(V653/1000-1),IF((V653/1000)&lt;=10,100+((200-100)/(10-2))*(V653/1000-2),IF((V653/1000)&lt;=17,200+((300-200)/(17-10))*(V653/1000-10),IF((V653/1000)&lt;=34,300+((400-300)/(34-17))*(V653/1000-17),IF((V653/1000)&lt;=57,400+((500-400)/(57-34))*(V653/1000-34),500)))))))</f>
        <v>42.95</v>
      </c>
      <c r="AI653" s="4" t="n">
        <f aca="false">IF(W653="","",IF(W653&lt;=40,(50/40)*W653,IF(W653&lt;=80,50+((100-50)/(80-40))*(W653-40),IF(W653&lt;=180,100+((200-100)/(180-80))*(W653-80),IF(W653&lt;=280,200+((300-200)/(280-180))*(W653-180),IF(W653&lt;=400,300+((400-300)/(400-280))*(W653-280),IF(W653&lt;=800,400+((500-400)/(800-400))*(W653-400),500)))))))</f>
        <v>47.625</v>
      </c>
      <c r="AJ653" s="4" t="n">
        <f aca="false">IF(X653="","",IF(X653&lt;=40,(50/40)*X653,IF(X653&lt;=80,50+((100-50)/(80-40))*(X653-40),IF(X653&lt;=380,100+((200-100)/(380-80))*(X653-80),IF(X653&lt;=800,200+((300-200)/(800-380))*(X653-380),IF(X653&lt;=1600,300+((400-300)/(1600-800))*(X653-800),IF(X653&lt;=2100,400+((500-400)/(2100-1600))*(X653-1600),500)))))))</f>
        <v>28.625</v>
      </c>
      <c r="AK653" s="4" t="n">
        <f aca="false">IF(Y653="","",IF(Y653&lt;=50,(50/50)*Y653,IF(Y653&lt;=100,50+((100-50)/(100-50))*(Y653-50),IF(Y653&lt;=168,100+((200-100)/(168-100))*(Y653-100),IF(Y653&lt;=208,200+((300-200)/(208-168))*(Y653-168),IF(Y653&lt;=748,300+((400-300)/(748-208))*(Y653-208),IF(Y653&lt;=1000,400+((500-400)/(1000-748))*(Y653-748),500)))))))</f>
        <v>52</v>
      </c>
      <c r="AL653" s="4" t="n">
        <f aca="false">ROUND(MAX(AF653,AG653,AH653,AI653,AJ653,AK653),0)</f>
        <v>81</v>
      </c>
      <c r="AM653" s="4" t="str">
        <f aca="false">IF(AL653="","",IF(AL653&lt;=50,"Good",IF(AL653&lt;=100,"Satisfactory",IF(AL653&lt;=200,"Moderate",IF(AL653&lt;=300,"Poor",IF(AL653&lt;=400,"Very Poor","Severe"))))))</f>
        <v>Satisfactory</v>
      </c>
    </row>
    <row r="654" customFormat="false" ht="15.75" hidden="false" customHeight="false" outlineLevel="0" collapsed="false">
      <c r="A654" s="1" t="s">
        <v>39</v>
      </c>
      <c r="B654" s="1" t="s">
        <v>40</v>
      </c>
      <c r="C654" s="1" t="n">
        <v>28.4595</v>
      </c>
      <c r="D654" s="1" t="n">
        <v>77.0266</v>
      </c>
      <c r="E654" s="5" t="n">
        <v>45928</v>
      </c>
      <c r="F654" s="6" t="s">
        <v>53</v>
      </c>
      <c r="G654" s="1" t="n">
        <v>9</v>
      </c>
      <c r="H654" s="7" t="s">
        <v>87</v>
      </c>
      <c r="I654" s="6" t="s">
        <v>46</v>
      </c>
      <c r="J654" s="7" t="s">
        <v>44</v>
      </c>
      <c r="K654" s="7" t="s">
        <v>45</v>
      </c>
      <c r="L654" s="1" t="n">
        <v>80</v>
      </c>
      <c r="M654" s="1" t="n">
        <v>24</v>
      </c>
      <c r="N654" s="1" t="n">
        <v>22</v>
      </c>
      <c r="O654" s="1" t="n">
        <v>0</v>
      </c>
      <c r="P654" s="6" t="s">
        <v>43</v>
      </c>
      <c r="Q654" s="6" t="s">
        <v>43</v>
      </c>
      <c r="R654" s="1" t="n">
        <v>1007.3</v>
      </c>
      <c r="S654" s="1" t="n">
        <v>0</v>
      </c>
      <c r="T654" s="1" t="n">
        <v>45.9</v>
      </c>
      <c r="U654" s="1" t="n">
        <v>58.1</v>
      </c>
      <c r="V654" s="1" t="n">
        <v>817</v>
      </c>
      <c r="W654" s="1" t="n">
        <v>33.9</v>
      </c>
      <c r="X654" s="1" t="n">
        <v>22.1</v>
      </c>
      <c r="Y654" s="1" t="n">
        <v>55</v>
      </c>
      <c r="Z654" s="1" t="n">
        <v>12</v>
      </c>
      <c r="AA654" s="1" t="n">
        <v>150</v>
      </c>
      <c r="AB654" s="7" t="s">
        <v>81</v>
      </c>
      <c r="AC654" s="7" t="s">
        <v>82</v>
      </c>
      <c r="AD654" s="7" t="s">
        <v>83</v>
      </c>
      <c r="AE654" s="7" t="s">
        <v>84</v>
      </c>
      <c r="AF654" s="4" t="n">
        <f aca="false">IF(T654="","",IF(T654&lt;=30,(50/30)*T654,IF(T654&lt;=60,50+((100-50)/(60-30))*(T654-30),IF(T654&lt;=90,100+((200-100)/(90-60))*(T654-60),IF(T654&lt;=120,200+((300-200)/(120-90))*(T654-90),IF(T654&lt;=250,300+((400-300)/(250-120))*(T654-120),IF(T654&lt;=380,400+((500-400)/(380-250))*(T654-250),500)))))))</f>
        <v>76.5</v>
      </c>
      <c r="AG654" s="4" t="n">
        <f aca="false">IF(U654="","",IF(U654&lt;=50,(50/50)*U654,IF(U654&lt;=100,50+((100-50)/(100-50))*(U654-50),IF(U654&lt;=250,100+((200-100)/(250-100))*(U654-100),IF(U654&lt;=350,200+((300-200)/(350-250))*(U654-250),IF(U654&lt;=430,300+((400-300)/(430-350))*(U654-350),IF(U654&lt;=600,400+((500-400)/(600-430))*(U654-430),500)))))))</f>
        <v>58.1</v>
      </c>
      <c r="AH654" s="4" t="n">
        <f aca="false">IF(V654="","",IF((V654/1000)&lt;=1,(50/1)*(V654/1000),IF((V654/1000)&lt;=2,50+((100-50)/(2-1))*(V654/1000-1),IF((V654/1000)&lt;=10,100+((200-100)/(10-2))*(V654/1000-2),IF((V654/1000)&lt;=17,200+((300-200)/(17-10))*(V654/1000-10),IF((V654/1000)&lt;=34,300+((400-300)/(34-17))*(V654/1000-17),IF((V654/1000)&lt;=57,400+((500-400)/(57-34))*(V654/1000-34),500)))))))</f>
        <v>40.85</v>
      </c>
      <c r="AI654" s="4" t="n">
        <f aca="false">IF(W654="","",IF(W654&lt;=40,(50/40)*W654,IF(W654&lt;=80,50+((100-50)/(80-40))*(W654-40),IF(W654&lt;=180,100+((200-100)/(180-80))*(W654-80),IF(W654&lt;=280,200+((300-200)/(280-180))*(W654-180),IF(W654&lt;=400,300+((400-300)/(400-280))*(W654-280),IF(W654&lt;=800,400+((500-400)/(800-400))*(W654-400),500)))))))</f>
        <v>42.375</v>
      </c>
      <c r="AJ654" s="4" t="n">
        <f aca="false">IF(X654="","",IF(X654&lt;=40,(50/40)*X654,IF(X654&lt;=80,50+((100-50)/(80-40))*(X654-40),IF(X654&lt;=380,100+((200-100)/(380-80))*(X654-80),IF(X654&lt;=800,200+((300-200)/(800-380))*(X654-380),IF(X654&lt;=1600,300+((400-300)/(1600-800))*(X654-800),IF(X654&lt;=2100,400+((500-400)/(2100-1600))*(X654-1600),500)))))))</f>
        <v>27.625</v>
      </c>
      <c r="AK654" s="4" t="n">
        <f aca="false">IF(Y654="","",IF(Y654&lt;=50,(50/50)*Y654,IF(Y654&lt;=100,50+((100-50)/(100-50))*(Y654-50),IF(Y654&lt;=168,100+((200-100)/(168-100))*(Y654-100),IF(Y654&lt;=208,200+((300-200)/(208-168))*(Y654-168),IF(Y654&lt;=748,300+((400-300)/(748-208))*(Y654-208),IF(Y654&lt;=1000,400+((500-400)/(1000-748))*(Y654-748),500)))))))</f>
        <v>55</v>
      </c>
      <c r="AL654" s="4" t="n">
        <f aca="false">ROUND(MAX(AF654,AG654,AH654,AI654,AJ654,AK654),0)</f>
        <v>77</v>
      </c>
      <c r="AM654" s="4" t="str">
        <f aca="false">IF(AL654="","",IF(AL654&lt;=50,"Good",IF(AL654&lt;=100,"Satisfactory",IF(AL654&lt;=200,"Moderate",IF(AL654&lt;=300,"Poor",IF(AL654&lt;=400,"Very Poor","Severe"))))))</f>
        <v>Satisfactory</v>
      </c>
    </row>
    <row r="655" customFormat="false" ht="15.75" hidden="false" customHeight="false" outlineLevel="0" collapsed="false">
      <c r="A655" s="1" t="s">
        <v>39</v>
      </c>
      <c r="B655" s="1" t="s">
        <v>40</v>
      </c>
      <c r="C655" s="1" t="n">
        <v>28.4595</v>
      </c>
      <c r="D655" s="1" t="n">
        <v>77.0266</v>
      </c>
      <c r="E655" s="5" t="n">
        <v>45928</v>
      </c>
      <c r="F655" s="6" t="s">
        <v>54</v>
      </c>
      <c r="G655" s="1" t="n">
        <v>9</v>
      </c>
      <c r="H655" s="7" t="s">
        <v>87</v>
      </c>
      <c r="I655" s="6" t="s">
        <v>46</v>
      </c>
      <c r="J655" s="7" t="s">
        <v>44</v>
      </c>
      <c r="K655" s="7" t="s">
        <v>45</v>
      </c>
      <c r="L655" s="1" t="n">
        <v>82</v>
      </c>
      <c r="M655" s="1" t="n">
        <v>24.1</v>
      </c>
      <c r="N655" s="1" t="n">
        <v>22.3</v>
      </c>
      <c r="O655" s="1" t="n">
        <v>0</v>
      </c>
      <c r="P655" s="6" t="s">
        <v>43</v>
      </c>
      <c r="Q655" s="6" t="s">
        <v>43</v>
      </c>
      <c r="R655" s="1" t="n">
        <v>1007.5</v>
      </c>
      <c r="S655" s="1" t="n">
        <v>9</v>
      </c>
      <c r="T655" s="1" t="n">
        <v>51.8</v>
      </c>
      <c r="U655" s="1" t="n">
        <v>276.6</v>
      </c>
      <c r="V655" s="1" t="n">
        <v>773</v>
      </c>
      <c r="W655" s="1" t="n">
        <v>17.9</v>
      </c>
      <c r="X655" s="1" t="n">
        <v>25.4</v>
      </c>
      <c r="Y655" s="1" t="n">
        <v>76</v>
      </c>
      <c r="Z655" s="1" t="n">
        <v>433</v>
      </c>
      <c r="AA655" s="1" t="n">
        <v>150</v>
      </c>
      <c r="AB655" s="7" t="s">
        <v>81</v>
      </c>
      <c r="AC655" s="7" t="s">
        <v>82</v>
      </c>
      <c r="AD655" s="7" t="s">
        <v>83</v>
      </c>
      <c r="AE655" s="7" t="s">
        <v>84</v>
      </c>
      <c r="AF655" s="4" t="n">
        <f aca="false">IF(T655="","",IF(T655&lt;=30,(50/30)*T655,IF(T655&lt;=60,50+((100-50)/(60-30))*(T655-30),IF(T655&lt;=90,100+((200-100)/(90-60))*(T655-60),IF(T655&lt;=120,200+((300-200)/(120-90))*(T655-90),IF(T655&lt;=250,300+((400-300)/(250-120))*(T655-120),IF(T655&lt;=380,400+((500-400)/(380-250))*(T655-250),500)))))))</f>
        <v>86.3333333333333</v>
      </c>
      <c r="AG655" s="4" t="n">
        <f aca="false">IF(U655="","",IF(U655&lt;=50,(50/50)*U655,IF(U655&lt;=100,50+((100-50)/(100-50))*(U655-50),IF(U655&lt;=250,100+((200-100)/(250-100))*(U655-100),IF(U655&lt;=350,200+((300-200)/(350-250))*(U655-250),IF(U655&lt;=430,300+((400-300)/(430-350))*(U655-350),IF(U655&lt;=600,400+((500-400)/(600-430))*(U655-430),500)))))))</f>
        <v>226.6</v>
      </c>
      <c r="AH655" s="4" t="n">
        <f aca="false">IF(V655="","",IF((V655/1000)&lt;=1,(50/1)*(V655/1000),IF((V655/1000)&lt;=2,50+((100-50)/(2-1))*(V655/1000-1),IF((V655/1000)&lt;=10,100+((200-100)/(10-2))*(V655/1000-2),IF((V655/1000)&lt;=17,200+((300-200)/(17-10))*(V655/1000-10),IF((V655/1000)&lt;=34,300+((400-300)/(34-17))*(V655/1000-17),IF((V655/1000)&lt;=57,400+((500-400)/(57-34))*(V655/1000-34),500)))))))</f>
        <v>38.65</v>
      </c>
      <c r="AI655" s="4" t="n">
        <f aca="false">IF(W655="","",IF(W655&lt;=40,(50/40)*W655,IF(W655&lt;=80,50+((100-50)/(80-40))*(W655-40),IF(W655&lt;=180,100+((200-100)/(180-80))*(W655-80),IF(W655&lt;=280,200+((300-200)/(280-180))*(W655-180),IF(W655&lt;=400,300+((400-300)/(400-280))*(W655-280),IF(W655&lt;=800,400+((500-400)/(800-400))*(W655-400),500)))))))</f>
        <v>22.375</v>
      </c>
      <c r="AJ655" s="4" t="n">
        <f aca="false">IF(X655="","",IF(X655&lt;=40,(50/40)*X655,IF(X655&lt;=80,50+((100-50)/(80-40))*(X655-40),IF(X655&lt;=380,100+((200-100)/(380-80))*(X655-80),IF(X655&lt;=800,200+((300-200)/(800-380))*(X655-380),IF(X655&lt;=1600,300+((400-300)/(1600-800))*(X655-800),IF(X655&lt;=2100,400+((500-400)/(2100-1600))*(X655-1600),500)))))))</f>
        <v>31.75</v>
      </c>
      <c r="AK655" s="4" t="n">
        <f aca="false">IF(Y655="","",IF(Y655&lt;=50,(50/50)*Y655,IF(Y655&lt;=100,50+((100-50)/(100-50))*(Y655-50),IF(Y655&lt;=168,100+((200-100)/(168-100))*(Y655-100),IF(Y655&lt;=208,200+((300-200)/(208-168))*(Y655-168),IF(Y655&lt;=748,300+((400-300)/(748-208))*(Y655-208),IF(Y655&lt;=1000,400+((500-400)/(1000-748))*(Y655-748),500)))))))</f>
        <v>76</v>
      </c>
      <c r="AL655" s="4" t="n">
        <f aca="false">ROUND(MAX(AF655,AG655,AH655,AI655,AJ655,AK655),0)</f>
        <v>227</v>
      </c>
      <c r="AM655" s="4" t="str">
        <f aca="false">IF(AL655="","",IF(AL655&lt;=50,"Good",IF(AL655&lt;=100,"Satisfactory",IF(AL655&lt;=200,"Moderate",IF(AL655&lt;=300,"Poor",IF(AL655&lt;=400,"Very Poor","Severe"))))))</f>
        <v>Poor</v>
      </c>
    </row>
    <row r="656" customFormat="false" ht="15.75" hidden="false" customHeight="false" outlineLevel="0" collapsed="false">
      <c r="A656" s="1" t="s">
        <v>39</v>
      </c>
      <c r="B656" s="1" t="s">
        <v>40</v>
      </c>
      <c r="C656" s="1" t="n">
        <v>28.4595</v>
      </c>
      <c r="D656" s="1" t="n">
        <v>77.0266</v>
      </c>
      <c r="E656" s="5" t="n">
        <v>45928</v>
      </c>
      <c r="F656" s="6" t="s">
        <v>55</v>
      </c>
      <c r="G656" s="1" t="n">
        <v>9</v>
      </c>
      <c r="H656" s="7" t="s">
        <v>87</v>
      </c>
      <c r="I656" s="6" t="s">
        <v>46</v>
      </c>
      <c r="J656" s="7" t="s">
        <v>44</v>
      </c>
      <c r="K656" s="7" t="s">
        <v>56</v>
      </c>
      <c r="L656" s="1" t="n">
        <v>84</v>
      </c>
      <c r="M656" s="1" t="n">
        <v>24.7</v>
      </c>
      <c r="N656" s="1" t="n">
        <v>16.9</v>
      </c>
      <c r="O656" s="1" t="n">
        <v>0</v>
      </c>
      <c r="P656" s="6" t="s">
        <v>43</v>
      </c>
      <c r="Q656" s="6" t="s">
        <v>43</v>
      </c>
      <c r="R656" s="1" t="n">
        <v>1008.2</v>
      </c>
      <c r="S656" s="1" t="n">
        <v>6</v>
      </c>
      <c r="T656" s="1" t="n">
        <v>46.2</v>
      </c>
      <c r="U656" s="1" t="n">
        <v>213.7</v>
      </c>
      <c r="V656" s="1" t="n">
        <v>738</v>
      </c>
      <c r="W656" s="1" t="n">
        <v>19.3</v>
      </c>
      <c r="X656" s="1" t="n">
        <v>27.3</v>
      </c>
      <c r="Y656" s="1" t="n">
        <v>76</v>
      </c>
      <c r="Z656" s="1" t="n">
        <v>406</v>
      </c>
      <c r="AA656" s="1" t="n">
        <v>148</v>
      </c>
      <c r="AB656" s="7" t="s">
        <v>81</v>
      </c>
      <c r="AC656" s="7" t="s">
        <v>82</v>
      </c>
      <c r="AD656" s="7" t="s">
        <v>83</v>
      </c>
      <c r="AE656" s="7" t="s">
        <v>84</v>
      </c>
      <c r="AF656" s="4" t="n">
        <f aca="false">IF(T656="","",IF(T656&lt;=30,(50/30)*T656,IF(T656&lt;=60,50+((100-50)/(60-30))*(T656-30),IF(T656&lt;=90,100+((200-100)/(90-60))*(T656-60),IF(T656&lt;=120,200+((300-200)/(120-90))*(T656-90),IF(T656&lt;=250,300+((400-300)/(250-120))*(T656-120),IF(T656&lt;=380,400+((500-400)/(380-250))*(T656-250),500)))))))</f>
        <v>77</v>
      </c>
      <c r="AG656" s="4" t="n">
        <f aca="false">IF(U656="","",IF(U656&lt;=50,(50/50)*U656,IF(U656&lt;=100,50+((100-50)/(100-50))*(U656-50),IF(U656&lt;=250,100+((200-100)/(250-100))*(U656-100),IF(U656&lt;=350,200+((300-200)/(350-250))*(U656-250),IF(U656&lt;=430,300+((400-300)/(430-350))*(U656-350),IF(U656&lt;=600,400+((500-400)/(600-430))*(U656-430),500)))))))</f>
        <v>175.8</v>
      </c>
      <c r="AH656" s="4" t="n">
        <f aca="false">IF(V656="","",IF((V656/1000)&lt;=1,(50/1)*(V656/1000),IF((V656/1000)&lt;=2,50+((100-50)/(2-1))*(V656/1000-1),IF((V656/1000)&lt;=10,100+((200-100)/(10-2))*(V656/1000-2),IF((V656/1000)&lt;=17,200+((300-200)/(17-10))*(V656/1000-10),IF((V656/1000)&lt;=34,300+((400-300)/(34-17))*(V656/1000-17),IF((V656/1000)&lt;=57,400+((500-400)/(57-34))*(V656/1000-34),500)))))))</f>
        <v>36.9</v>
      </c>
      <c r="AI656" s="4" t="n">
        <f aca="false">IF(W656="","",IF(W656&lt;=40,(50/40)*W656,IF(W656&lt;=80,50+((100-50)/(80-40))*(W656-40),IF(W656&lt;=180,100+((200-100)/(180-80))*(W656-80),IF(W656&lt;=280,200+((300-200)/(280-180))*(W656-180),IF(W656&lt;=400,300+((400-300)/(400-280))*(W656-280),IF(W656&lt;=800,400+((500-400)/(800-400))*(W656-400),500)))))))</f>
        <v>24.125</v>
      </c>
      <c r="AJ656" s="4" t="n">
        <f aca="false">IF(X656="","",IF(X656&lt;=40,(50/40)*X656,IF(X656&lt;=80,50+((100-50)/(80-40))*(X656-40),IF(X656&lt;=380,100+((200-100)/(380-80))*(X656-80),IF(X656&lt;=800,200+((300-200)/(800-380))*(X656-380),IF(X656&lt;=1600,300+((400-300)/(1600-800))*(X656-800),IF(X656&lt;=2100,400+((500-400)/(2100-1600))*(X656-1600),500)))))))</f>
        <v>34.125</v>
      </c>
      <c r="AK656" s="4" t="n">
        <f aca="false">IF(Y656="","",IF(Y656&lt;=50,(50/50)*Y656,IF(Y656&lt;=100,50+((100-50)/(100-50))*(Y656-50),IF(Y656&lt;=168,100+((200-100)/(168-100))*(Y656-100),IF(Y656&lt;=208,200+((300-200)/(208-168))*(Y656-168),IF(Y656&lt;=748,300+((400-300)/(748-208))*(Y656-208),IF(Y656&lt;=1000,400+((500-400)/(1000-748))*(Y656-748),500)))))))</f>
        <v>76</v>
      </c>
      <c r="AL656" s="4" t="n">
        <f aca="false">ROUND(MAX(AF656,AG656,AH656,AI656,AJ656,AK656),0)</f>
        <v>176</v>
      </c>
      <c r="AM656" s="4" t="str">
        <f aca="false">IF(AL656="","",IF(AL656&lt;=50,"Good",IF(AL656&lt;=100,"Satisfactory",IF(AL656&lt;=200,"Moderate",IF(AL656&lt;=300,"Poor",IF(AL656&lt;=400,"Very Poor","Severe"))))))</f>
        <v>Moderate</v>
      </c>
    </row>
    <row r="657" customFormat="false" ht="15.75" hidden="false" customHeight="false" outlineLevel="0" collapsed="false">
      <c r="A657" s="1" t="s">
        <v>39</v>
      </c>
      <c r="B657" s="1" t="s">
        <v>40</v>
      </c>
      <c r="C657" s="1" t="n">
        <v>28.4595</v>
      </c>
      <c r="D657" s="1" t="n">
        <v>77.0266</v>
      </c>
      <c r="E657" s="5" t="n">
        <v>45928</v>
      </c>
      <c r="F657" s="6" t="s">
        <v>57</v>
      </c>
      <c r="G657" s="1" t="n">
        <v>9</v>
      </c>
      <c r="H657" s="7" t="s">
        <v>87</v>
      </c>
      <c r="I657" s="6" t="s">
        <v>46</v>
      </c>
      <c r="J657" s="7" t="s">
        <v>44</v>
      </c>
      <c r="K657" s="7" t="s">
        <v>56</v>
      </c>
      <c r="L657" s="1" t="n">
        <v>82</v>
      </c>
      <c r="M657" s="1" t="n">
        <v>25</v>
      </c>
      <c r="N657" s="1" t="n">
        <v>15.8</v>
      </c>
      <c r="O657" s="1" t="n">
        <v>0</v>
      </c>
      <c r="P657" s="6" t="s">
        <v>43</v>
      </c>
      <c r="Q657" s="6" t="s">
        <v>43</v>
      </c>
      <c r="R657" s="1" t="n">
        <v>1008.3</v>
      </c>
      <c r="S657" s="1" t="n">
        <v>0</v>
      </c>
      <c r="T657" s="1" t="n">
        <v>43.1</v>
      </c>
      <c r="U657" s="1" t="n">
        <v>172.8</v>
      </c>
      <c r="V657" s="1" t="n">
        <v>703</v>
      </c>
      <c r="W657" s="1" t="n">
        <v>21.1</v>
      </c>
      <c r="X657" s="1" t="n">
        <v>29.7</v>
      </c>
      <c r="Y657" s="1" t="n">
        <v>78</v>
      </c>
      <c r="Z657" s="1" t="n">
        <v>366</v>
      </c>
      <c r="AA657" s="1" t="n">
        <v>146</v>
      </c>
      <c r="AB657" s="7" t="s">
        <v>81</v>
      </c>
      <c r="AC657" s="7" t="s">
        <v>82</v>
      </c>
      <c r="AD657" s="7" t="s">
        <v>83</v>
      </c>
      <c r="AE657" s="7" t="s">
        <v>84</v>
      </c>
      <c r="AF657" s="4" t="n">
        <f aca="false">IF(T657="","",IF(T657&lt;=30,(50/30)*T657,IF(T657&lt;=60,50+((100-50)/(60-30))*(T657-30),IF(T657&lt;=90,100+((200-100)/(90-60))*(T657-60),IF(T657&lt;=120,200+((300-200)/(120-90))*(T657-90),IF(T657&lt;=250,300+((400-300)/(250-120))*(T657-120),IF(T657&lt;=380,400+((500-400)/(380-250))*(T657-250),500)))))))</f>
        <v>71.8333333333333</v>
      </c>
      <c r="AG657" s="4" t="n">
        <f aca="false">IF(U657="","",IF(U657&lt;=50,(50/50)*U657,IF(U657&lt;=100,50+((100-50)/(100-50))*(U657-50),IF(U657&lt;=250,100+((200-100)/(250-100))*(U657-100),IF(U657&lt;=350,200+((300-200)/(350-250))*(U657-250),IF(U657&lt;=430,300+((400-300)/(430-350))*(U657-350),IF(U657&lt;=600,400+((500-400)/(600-430))*(U657-430),500)))))))</f>
        <v>148.533333333333</v>
      </c>
      <c r="AH657" s="4" t="n">
        <f aca="false">IF(V657="","",IF((V657/1000)&lt;=1,(50/1)*(V657/1000),IF((V657/1000)&lt;=2,50+((100-50)/(2-1))*(V657/1000-1),IF((V657/1000)&lt;=10,100+((200-100)/(10-2))*(V657/1000-2),IF((V657/1000)&lt;=17,200+((300-200)/(17-10))*(V657/1000-10),IF((V657/1000)&lt;=34,300+((400-300)/(34-17))*(V657/1000-17),IF((V657/1000)&lt;=57,400+((500-400)/(57-34))*(V657/1000-34),500)))))))</f>
        <v>35.15</v>
      </c>
      <c r="AI657" s="4" t="n">
        <f aca="false">IF(W657="","",IF(W657&lt;=40,(50/40)*W657,IF(W657&lt;=80,50+((100-50)/(80-40))*(W657-40),IF(W657&lt;=180,100+((200-100)/(180-80))*(W657-80),IF(W657&lt;=280,200+((300-200)/(280-180))*(W657-180),IF(W657&lt;=400,300+((400-300)/(400-280))*(W657-280),IF(W657&lt;=800,400+((500-400)/(800-400))*(W657-400),500)))))))</f>
        <v>26.375</v>
      </c>
      <c r="AJ657" s="4" t="n">
        <f aca="false">IF(X657="","",IF(X657&lt;=40,(50/40)*X657,IF(X657&lt;=80,50+((100-50)/(80-40))*(X657-40),IF(X657&lt;=380,100+((200-100)/(380-80))*(X657-80),IF(X657&lt;=800,200+((300-200)/(800-380))*(X657-380),IF(X657&lt;=1600,300+((400-300)/(1600-800))*(X657-800),IF(X657&lt;=2100,400+((500-400)/(2100-1600))*(X657-1600),500)))))))</f>
        <v>37.125</v>
      </c>
      <c r="AK657" s="4" t="n">
        <f aca="false">IF(Y657="","",IF(Y657&lt;=50,(50/50)*Y657,IF(Y657&lt;=100,50+((100-50)/(100-50))*(Y657-50),IF(Y657&lt;=168,100+((200-100)/(168-100))*(Y657-100),IF(Y657&lt;=208,200+((300-200)/(208-168))*(Y657-168),IF(Y657&lt;=748,300+((400-300)/(748-208))*(Y657-208),IF(Y657&lt;=1000,400+((500-400)/(1000-748))*(Y657-748),500)))))))</f>
        <v>78</v>
      </c>
      <c r="AL657" s="4" t="n">
        <f aca="false">ROUND(MAX(AF657,AG657,AH657,AI657,AJ657,AK657),0)</f>
        <v>149</v>
      </c>
      <c r="AM657" s="4" t="str">
        <f aca="false">IF(AL657="","",IF(AL657&lt;=50,"Good",IF(AL657&lt;=100,"Satisfactory",IF(AL657&lt;=200,"Moderate",IF(AL657&lt;=300,"Poor",IF(AL657&lt;=400,"Very Poor","Severe"))))))</f>
        <v>Moderate</v>
      </c>
    </row>
    <row r="658" customFormat="false" ht="15.75" hidden="false" customHeight="false" outlineLevel="0" collapsed="false">
      <c r="A658" s="1" t="s">
        <v>39</v>
      </c>
      <c r="B658" s="1" t="s">
        <v>40</v>
      </c>
      <c r="C658" s="1" t="n">
        <v>28.4595</v>
      </c>
      <c r="D658" s="1" t="n">
        <v>77.0266</v>
      </c>
      <c r="E658" s="5" t="n">
        <v>45928</v>
      </c>
      <c r="F658" s="6" t="s">
        <v>58</v>
      </c>
      <c r="G658" s="1" t="n">
        <v>9</v>
      </c>
      <c r="H658" s="7" t="s">
        <v>87</v>
      </c>
      <c r="I658" s="6" t="s">
        <v>46</v>
      </c>
      <c r="J658" s="7" t="s">
        <v>44</v>
      </c>
      <c r="K658" s="7" t="s">
        <v>56</v>
      </c>
      <c r="L658" s="1" t="n">
        <v>73</v>
      </c>
      <c r="M658" s="1" t="n">
        <v>24.9</v>
      </c>
      <c r="N658" s="1" t="n">
        <v>20.9</v>
      </c>
      <c r="O658" s="1" t="n">
        <v>0</v>
      </c>
      <c r="P658" s="6" t="s">
        <v>43</v>
      </c>
      <c r="Q658" s="6" t="s">
        <v>43</v>
      </c>
      <c r="R658" s="1" t="n">
        <v>1008.7</v>
      </c>
      <c r="S658" s="1" t="n">
        <v>0</v>
      </c>
      <c r="T658" s="1" t="n">
        <v>42.4</v>
      </c>
      <c r="U658" s="1" t="n">
        <v>204.4</v>
      </c>
      <c r="V658" s="1" t="n">
        <v>648</v>
      </c>
      <c r="W658" s="1" t="n">
        <v>20.8</v>
      </c>
      <c r="X658" s="1" t="n">
        <v>29.9</v>
      </c>
      <c r="Y658" s="1" t="n">
        <v>85</v>
      </c>
      <c r="Z658" s="1" t="n">
        <v>312</v>
      </c>
      <c r="AA658" s="1" t="n">
        <v>143</v>
      </c>
      <c r="AB658" s="7" t="s">
        <v>81</v>
      </c>
      <c r="AC658" s="7" t="s">
        <v>82</v>
      </c>
      <c r="AD658" s="7" t="s">
        <v>83</v>
      </c>
      <c r="AE658" s="7" t="s">
        <v>84</v>
      </c>
      <c r="AF658" s="4" t="n">
        <f aca="false">IF(T658="","",IF(T658&lt;=30,(50/30)*T658,IF(T658&lt;=60,50+((100-50)/(60-30))*(T658-30),IF(T658&lt;=90,100+((200-100)/(90-60))*(T658-60),IF(T658&lt;=120,200+((300-200)/(120-90))*(T658-90),IF(T658&lt;=250,300+((400-300)/(250-120))*(T658-120),IF(T658&lt;=380,400+((500-400)/(380-250))*(T658-250),500)))))))</f>
        <v>70.6666666666667</v>
      </c>
      <c r="AG658" s="4" t="n">
        <f aca="false">IF(U658="","",IF(U658&lt;=50,(50/50)*U658,IF(U658&lt;=100,50+((100-50)/(100-50))*(U658-50),IF(U658&lt;=250,100+((200-100)/(250-100))*(U658-100),IF(U658&lt;=350,200+((300-200)/(350-250))*(U658-250),IF(U658&lt;=430,300+((400-300)/(430-350))*(U658-350),IF(U658&lt;=600,400+((500-400)/(600-430))*(U658-430),500)))))))</f>
        <v>169.6</v>
      </c>
      <c r="AH658" s="4" t="n">
        <f aca="false">IF(V658="","",IF((V658/1000)&lt;=1,(50/1)*(V658/1000),IF((V658/1000)&lt;=2,50+((100-50)/(2-1))*(V658/1000-1),IF((V658/1000)&lt;=10,100+((200-100)/(10-2))*(V658/1000-2),IF((V658/1000)&lt;=17,200+((300-200)/(17-10))*(V658/1000-10),IF((V658/1000)&lt;=34,300+((400-300)/(34-17))*(V658/1000-17),IF((V658/1000)&lt;=57,400+((500-400)/(57-34))*(V658/1000-34),500)))))))</f>
        <v>32.4</v>
      </c>
      <c r="AI658" s="4" t="n">
        <f aca="false">IF(W658="","",IF(W658&lt;=40,(50/40)*W658,IF(W658&lt;=80,50+((100-50)/(80-40))*(W658-40),IF(W658&lt;=180,100+((200-100)/(180-80))*(W658-80),IF(W658&lt;=280,200+((300-200)/(280-180))*(W658-180),IF(W658&lt;=400,300+((400-300)/(400-280))*(W658-280),IF(W658&lt;=800,400+((500-400)/(800-400))*(W658-400),500)))))))</f>
        <v>26</v>
      </c>
      <c r="AJ658" s="4" t="n">
        <f aca="false">IF(X658="","",IF(X658&lt;=40,(50/40)*X658,IF(X658&lt;=80,50+((100-50)/(80-40))*(X658-40),IF(X658&lt;=380,100+((200-100)/(380-80))*(X658-80),IF(X658&lt;=800,200+((300-200)/(800-380))*(X658-380),IF(X658&lt;=1600,300+((400-300)/(1600-800))*(X658-800),IF(X658&lt;=2100,400+((500-400)/(2100-1600))*(X658-1600),500)))))))</f>
        <v>37.375</v>
      </c>
      <c r="AK658" s="4" t="n">
        <f aca="false">IF(Y658="","",IF(Y658&lt;=50,(50/50)*Y658,IF(Y658&lt;=100,50+((100-50)/(100-50))*(Y658-50),IF(Y658&lt;=168,100+((200-100)/(168-100))*(Y658-100),IF(Y658&lt;=208,200+((300-200)/(208-168))*(Y658-168),IF(Y658&lt;=748,300+((400-300)/(748-208))*(Y658-208),IF(Y658&lt;=1000,400+((500-400)/(1000-748))*(Y658-748),500)))))))</f>
        <v>85</v>
      </c>
      <c r="AL658" s="4" t="n">
        <f aca="false">ROUND(MAX(AF658,AG658,AH658,AI658,AJ658,AK658),0)</f>
        <v>170</v>
      </c>
      <c r="AM658" s="4" t="str">
        <f aca="false">IF(AL658="","",IF(AL658&lt;=50,"Good",IF(AL658&lt;=100,"Satisfactory",IF(AL658&lt;=200,"Moderate",IF(AL658&lt;=300,"Poor",IF(AL658&lt;=400,"Very Poor","Severe"))))))</f>
        <v>Moderate</v>
      </c>
    </row>
    <row r="659" customFormat="false" ht="15.75" hidden="false" customHeight="false" outlineLevel="0" collapsed="false">
      <c r="A659" s="1" t="s">
        <v>39</v>
      </c>
      <c r="B659" s="1" t="s">
        <v>40</v>
      </c>
      <c r="C659" s="1" t="n">
        <v>28.4595</v>
      </c>
      <c r="D659" s="1" t="n">
        <v>77.0266</v>
      </c>
      <c r="E659" s="5" t="n">
        <v>45928</v>
      </c>
      <c r="F659" s="6" t="s">
        <v>59</v>
      </c>
      <c r="G659" s="1" t="n">
        <v>9</v>
      </c>
      <c r="H659" s="7" t="s">
        <v>87</v>
      </c>
      <c r="I659" s="6" t="s">
        <v>46</v>
      </c>
      <c r="J659" s="7" t="s">
        <v>44</v>
      </c>
      <c r="K659" s="7" t="s">
        <v>60</v>
      </c>
      <c r="L659" s="1" t="n">
        <v>64</v>
      </c>
      <c r="M659" s="1" t="n">
        <v>24.2</v>
      </c>
      <c r="N659" s="1" t="n">
        <v>29.2</v>
      </c>
      <c r="O659" s="1" t="n">
        <v>0</v>
      </c>
      <c r="P659" s="6" t="s">
        <v>43</v>
      </c>
      <c r="Q659" s="6" t="s">
        <v>43</v>
      </c>
      <c r="R659" s="1" t="n">
        <v>1008.6</v>
      </c>
      <c r="S659" s="1" t="n">
        <v>0</v>
      </c>
      <c r="T659" s="1" t="n">
        <v>29.8</v>
      </c>
      <c r="U659" s="1" t="n">
        <v>99.9</v>
      </c>
      <c r="V659" s="1" t="n">
        <v>552</v>
      </c>
      <c r="W659" s="1" t="n">
        <v>16.5</v>
      </c>
      <c r="X659" s="1" t="n">
        <v>25.7</v>
      </c>
      <c r="Y659" s="1" t="n">
        <v>103</v>
      </c>
      <c r="Z659" s="1" t="n">
        <v>208</v>
      </c>
      <c r="AA659" s="1" t="n">
        <v>140</v>
      </c>
      <c r="AB659" s="7" t="s">
        <v>81</v>
      </c>
      <c r="AC659" s="7" t="s">
        <v>82</v>
      </c>
      <c r="AD659" s="7" t="s">
        <v>83</v>
      </c>
      <c r="AE659" s="7" t="s">
        <v>84</v>
      </c>
      <c r="AF659" s="4" t="n">
        <f aca="false">IF(T659="","",IF(T659&lt;=30,(50/30)*T659,IF(T659&lt;=60,50+((100-50)/(60-30))*(T659-30),IF(T659&lt;=90,100+((200-100)/(90-60))*(T659-60),IF(T659&lt;=120,200+((300-200)/(120-90))*(T659-90),IF(T659&lt;=250,300+((400-300)/(250-120))*(T659-120),IF(T659&lt;=380,400+((500-400)/(380-250))*(T659-250),500)))))))</f>
        <v>49.6666666666667</v>
      </c>
      <c r="AG659" s="4" t="n">
        <f aca="false">IF(U659="","",IF(U659&lt;=50,(50/50)*U659,IF(U659&lt;=100,50+((100-50)/(100-50))*(U659-50),IF(U659&lt;=250,100+((200-100)/(250-100))*(U659-100),IF(U659&lt;=350,200+((300-200)/(350-250))*(U659-250),IF(U659&lt;=430,300+((400-300)/(430-350))*(U659-350),IF(U659&lt;=600,400+((500-400)/(600-430))*(U659-430),500)))))))</f>
        <v>99.9</v>
      </c>
      <c r="AH659" s="4" t="n">
        <f aca="false">IF(V659="","",IF((V659/1000)&lt;=1,(50/1)*(V659/1000),IF((V659/1000)&lt;=2,50+((100-50)/(2-1))*(V659/1000-1),IF((V659/1000)&lt;=10,100+((200-100)/(10-2))*(V659/1000-2),IF((V659/1000)&lt;=17,200+((300-200)/(17-10))*(V659/1000-10),IF((V659/1000)&lt;=34,300+((400-300)/(34-17))*(V659/1000-17),IF((V659/1000)&lt;=57,400+((500-400)/(57-34))*(V659/1000-34),500)))))))</f>
        <v>27.6</v>
      </c>
      <c r="AI659" s="4" t="n">
        <f aca="false">IF(W659="","",IF(W659&lt;=40,(50/40)*W659,IF(W659&lt;=80,50+((100-50)/(80-40))*(W659-40),IF(W659&lt;=180,100+((200-100)/(180-80))*(W659-80),IF(W659&lt;=280,200+((300-200)/(280-180))*(W659-180),IF(W659&lt;=400,300+((400-300)/(400-280))*(W659-280),IF(W659&lt;=800,400+((500-400)/(800-400))*(W659-400),500)))))))</f>
        <v>20.625</v>
      </c>
      <c r="AJ659" s="4" t="n">
        <f aca="false">IF(X659="","",IF(X659&lt;=40,(50/40)*X659,IF(X659&lt;=80,50+((100-50)/(80-40))*(X659-40),IF(X659&lt;=380,100+((200-100)/(380-80))*(X659-80),IF(X659&lt;=800,200+((300-200)/(800-380))*(X659-380),IF(X659&lt;=1600,300+((400-300)/(1600-800))*(X659-800),IF(X659&lt;=2100,400+((500-400)/(2100-1600))*(X659-1600),500)))))))</f>
        <v>32.125</v>
      </c>
      <c r="AK659" s="4" t="n">
        <f aca="false">IF(Y659="","",IF(Y659&lt;=50,(50/50)*Y659,IF(Y659&lt;=100,50+((100-50)/(100-50))*(Y659-50),IF(Y659&lt;=168,100+((200-100)/(168-100))*(Y659-100),IF(Y659&lt;=208,200+((300-200)/(208-168))*(Y659-168),IF(Y659&lt;=748,300+((400-300)/(748-208))*(Y659-208),IF(Y659&lt;=1000,400+((500-400)/(1000-748))*(Y659-748),500)))))))</f>
        <v>104.411764705882</v>
      </c>
      <c r="AL659" s="4" t="n">
        <f aca="false">ROUND(MAX(AF659,AG659,AH659,AI659,AJ659,AK659),0)</f>
        <v>104</v>
      </c>
      <c r="AM659" s="4" t="str">
        <f aca="false">IF(AL659="","",IF(AL659&lt;=50,"Good",IF(AL659&lt;=100,"Satisfactory",IF(AL659&lt;=200,"Moderate",IF(AL659&lt;=300,"Poor",IF(AL659&lt;=400,"Very Poor","Severe"))))))</f>
        <v>Moderate</v>
      </c>
    </row>
    <row r="660" customFormat="false" ht="15.75" hidden="false" customHeight="false" outlineLevel="0" collapsed="false">
      <c r="A660" s="1" t="s">
        <v>39</v>
      </c>
      <c r="B660" s="1" t="s">
        <v>40</v>
      </c>
      <c r="C660" s="1" t="n">
        <v>28.4595</v>
      </c>
      <c r="D660" s="1" t="n">
        <v>77.0266</v>
      </c>
      <c r="E660" s="5" t="n">
        <v>45928</v>
      </c>
      <c r="F660" s="6" t="s">
        <v>61</v>
      </c>
      <c r="G660" s="1" t="n">
        <v>9</v>
      </c>
      <c r="H660" s="7" t="s">
        <v>87</v>
      </c>
      <c r="I660" s="6" t="s">
        <v>46</v>
      </c>
      <c r="J660" s="7" t="s">
        <v>44</v>
      </c>
      <c r="K660" s="7" t="s">
        <v>60</v>
      </c>
      <c r="L660" s="1" t="n">
        <v>56</v>
      </c>
      <c r="M660" s="1" t="n">
        <v>23.3</v>
      </c>
      <c r="N660" s="1" t="n">
        <v>37.1</v>
      </c>
      <c r="O660" s="1" t="n">
        <v>0</v>
      </c>
      <c r="P660" s="6" t="s">
        <v>43</v>
      </c>
      <c r="Q660" s="6" t="s">
        <v>43</v>
      </c>
      <c r="R660" s="1" t="n">
        <v>1008.4</v>
      </c>
      <c r="S660" s="1" t="n">
        <v>8</v>
      </c>
      <c r="T660" s="1" t="n">
        <v>21.5</v>
      </c>
      <c r="U660" s="1" t="n">
        <v>58.7</v>
      </c>
      <c r="V660" s="1" t="n">
        <v>437</v>
      </c>
      <c r="W660" s="1" t="n">
        <v>10.3</v>
      </c>
      <c r="X660" s="1" t="n">
        <v>19.2</v>
      </c>
      <c r="Y660" s="1" t="n">
        <v>127</v>
      </c>
      <c r="Z660" s="1" t="n">
        <v>89</v>
      </c>
      <c r="AA660" s="1" t="n">
        <v>135</v>
      </c>
      <c r="AB660" s="7" t="s">
        <v>81</v>
      </c>
      <c r="AC660" s="7" t="s">
        <v>82</v>
      </c>
      <c r="AD660" s="7" t="s">
        <v>83</v>
      </c>
      <c r="AE660" s="7" t="s">
        <v>84</v>
      </c>
      <c r="AF660" s="4" t="n">
        <f aca="false">IF(T660="","",IF(T660&lt;=30,(50/30)*T660,IF(T660&lt;=60,50+((100-50)/(60-30))*(T660-30),IF(T660&lt;=90,100+((200-100)/(90-60))*(T660-60),IF(T660&lt;=120,200+((300-200)/(120-90))*(T660-90),IF(T660&lt;=250,300+((400-300)/(250-120))*(T660-120),IF(T660&lt;=380,400+((500-400)/(380-250))*(T660-250),500)))))))</f>
        <v>35.8333333333333</v>
      </c>
      <c r="AG660" s="4" t="n">
        <f aca="false">IF(U660="","",IF(U660&lt;=50,(50/50)*U660,IF(U660&lt;=100,50+((100-50)/(100-50))*(U660-50),IF(U660&lt;=250,100+((200-100)/(250-100))*(U660-100),IF(U660&lt;=350,200+((300-200)/(350-250))*(U660-250),IF(U660&lt;=430,300+((400-300)/(430-350))*(U660-350),IF(U660&lt;=600,400+((500-400)/(600-430))*(U660-430),500)))))))</f>
        <v>58.7</v>
      </c>
      <c r="AH660" s="4" t="n">
        <f aca="false">IF(V660="","",IF((V660/1000)&lt;=1,(50/1)*(V660/1000),IF((V660/1000)&lt;=2,50+((100-50)/(2-1))*(V660/1000-1),IF((V660/1000)&lt;=10,100+((200-100)/(10-2))*(V660/1000-2),IF((V660/1000)&lt;=17,200+((300-200)/(17-10))*(V660/1000-10),IF((V660/1000)&lt;=34,300+((400-300)/(34-17))*(V660/1000-17),IF((V660/1000)&lt;=57,400+((500-400)/(57-34))*(V660/1000-34),500)))))))</f>
        <v>21.85</v>
      </c>
      <c r="AI660" s="4" t="n">
        <f aca="false">IF(W660="","",IF(W660&lt;=40,(50/40)*W660,IF(W660&lt;=80,50+((100-50)/(80-40))*(W660-40),IF(W660&lt;=180,100+((200-100)/(180-80))*(W660-80),IF(W660&lt;=280,200+((300-200)/(280-180))*(W660-180),IF(W660&lt;=400,300+((400-300)/(400-280))*(W660-280),IF(W660&lt;=800,400+((500-400)/(800-400))*(W660-400),500)))))))</f>
        <v>12.875</v>
      </c>
      <c r="AJ660" s="4" t="n">
        <f aca="false">IF(X660="","",IF(X660&lt;=40,(50/40)*X660,IF(X660&lt;=80,50+((100-50)/(80-40))*(X660-40),IF(X660&lt;=380,100+((200-100)/(380-80))*(X660-80),IF(X660&lt;=800,200+((300-200)/(800-380))*(X660-380),IF(X660&lt;=1600,300+((400-300)/(1600-800))*(X660-800),IF(X660&lt;=2100,400+((500-400)/(2100-1600))*(X660-1600),500)))))))</f>
        <v>24</v>
      </c>
      <c r="AK660" s="4" t="n">
        <f aca="false">IF(Y660="","",IF(Y660&lt;=50,(50/50)*Y660,IF(Y660&lt;=100,50+((100-50)/(100-50))*(Y660-50),IF(Y660&lt;=168,100+((200-100)/(168-100))*(Y660-100),IF(Y660&lt;=208,200+((300-200)/(208-168))*(Y660-168),IF(Y660&lt;=748,300+((400-300)/(748-208))*(Y660-208),IF(Y660&lt;=1000,400+((500-400)/(1000-748))*(Y660-748),500)))))))</f>
        <v>139.705882352941</v>
      </c>
      <c r="AL660" s="4" t="n">
        <f aca="false">ROUND(MAX(AF660,AG660,AH660,AI660,AJ660,AK660),0)</f>
        <v>140</v>
      </c>
      <c r="AM660" s="4" t="str">
        <f aca="false">IF(AL660="","",IF(AL660&lt;=50,"Good",IF(AL660&lt;=100,"Satisfactory",IF(AL660&lt;=200,"Moderate",IF(AL660&lt;=300,"Poor",IF(AL660&lt;=400,"Very Poor","Severe"))))))</f>
        <v>Moderate</v>
      </c>
    </row>
    <row r="661" customFormat="false" ht="15.75" hidden="false" customHeight="false" outlineLevel="0" collapsed="false">
      <c r="A661" s="1" t="s">
        <v>39</v>
      </c>
      <c r="B661" s="1" t="s">
        <v>40</v>
      </c>
      <c r="C661" s="1" t="n">
        <v>28.4595</v>
      </c>
      <c r="D661" s="1" t="n">
        <v>77.0266</v>
      </c>
      <c r="E661" s="5" t="n">
        <v>45928</v>
      </c>
      <c r="F661" s="6" t="s">
        <v>62</v>
      </c>
      <c r="G661" s="1" t="n">
        <v>9</v>
      </c>
      <c r="H661" s="7" t="s">
        <v>87</v>
      </c>
      <c r="I661" s="6" t="s">
        <v>46</v>
      </c>
      <c r="J661" s="7" t="s">
        <v>44</v>
      </c>
      <c r="K661" s="7" t="s">
        <v>60</v>
      </c>
      <c r="L661" s="1" t="n">
        <v>50</v>
      </c>
      <c r="M661" s="1" t="n">
        <v>22.5</v>
      </c>
      <c r="N661" s="1" t="n">
        <v>39.6</v>
      </c>
      <c r="O661" s="1" t="n">
        <v>0</v>
      </c>
      <c r="P661" s="6" t="s">
        <v>43</v>
      </c>
      <c r="Q661" s="6" t="s">
        <v>43</v>
      </c>
      <c r="R661" s="1" t="n">
        <v>1007.7</v>
      </c>
      <c r="S661" s="1" t="n">
        <v>7</v>
      </c>
      <c r="T661" s="1" t="n">
        <v>21.3</v>
      </c>
      <c r="U661" s="1" t="n">
        <v>55.1</v>
      </c>
      <c r="V661" s="1" t="n">
        <v>351</v>
      </c>
      <c r="W661" s="1" t="n">
        <v>5.6</v>
      </c>
      <c r="X661" s="1" t="n">
        <v>14.2</v>
      </c>
      <c r="Y661" s="1" t="n">
        <v>145</v>
      </c>
      <c r="Z661" s="1" t="n">
        <v>65</v>
      </c>
      <c r="AA661" s="1" t="n">
        <v>131</v>
      </c>
      <c r="AB661" s="7" t="s">
        <v>81</v>
      </c>
      <c r="AC661" s="7" t="s">
        <v>82</v>
      </c>
      <c r="AD661" s="7" t="s">
        <v>83</v>
      </c>
      <c r="AE661" s="7" t="s">
        <v>84</v>
      </c>
      <c r="AF661" s="4" t="n">
        <f aca="false">IF(T661="","",IF(T661&lt;=30,(50/30)*T661,IF(T661&lt;=60,50+((100-50)/(60-30))*(T661-30),IF(T661&lt;=90,100+((200-100)/(90-60))*(T661-60),IF(T661&lt;=120,200+((300-200)/(120-90))*(T661-90),IF(T661&lt;=250,300+((400-300)/(250-120))*(T661-120),IF(T661&lt;=380,400+((500-400)/(380-250))*(T661-250),500)))))))</f>
        <v>35.5</v>
      </c>
      <c r="AG661" s="4" t="n">
        <f aca="false">IF(U661="","",IF(U661&lt;=50,(50/50)*U661,IF(U661&lt;=100,50+((100-50)/(100-50))*(U661-50),IF(U661&lt;=250,100+((200-100)/(250-100))*(U661-100),IF(U661&lt;=350,200+((300-200)/(350-250))*(U661-250),IF(U661&lt;=430,300+((400-300)/(430-350))*(U661-350),IF(U661&lt;=600,400+((500-400)/(600-430))*(U661-430),500)))))))</f>
        <v>55.1</v>
      </c>
      <c r="AH661" s="4" t="n">
        <f aca="false">IF(V661="","",IF((V661/1000)&lt;=1,(50/1)*(V661/1000),IF((V661/1000)&lt;=2,50+((100-50)/(2-1))*(V661/1000-1),IF((V661/1000)&lt;=10,100+((200-100)/(10-2))*(V661/1000-2),IF((V661/1000)&lt;=17,200+((300-200)/(17-10))*(V661/1000-10),IF((V661/1000)&lt;=34,300+((400-300)/(34-17))*(V661/1000-17),IF((V661/1000)&lt;=57,400+((500-400)/(57-34))*(V661/1000-34),500)))))))</f>
        <v>17.55</v>
      </c>
      <c r="AI661" s="4" t="n">
        <f aca="false">IF(W661="","",IF(W661&lt;=40,(50/40)*W661,IF(W661&lt;=80,50+((100-50)/(80-40))*(W661-40),IF(W661&lt;=180,100+((200-100)/(180-80))*(W661-80),IF(W661&lt;=280,200+((300-200)/(280-180))*(W661-180),IF(W661&lt;=400,300+((400-300)/(400-280))*(W661-280),IF(W661&lt;=800,400+((500-400)/(800-400))*(W661-400),500)))))))</f>
        <v>7</v>
      </c>
      <c r="AJ661" s="4" t="n">
        <f aca="false">IF(X661="","",IF(X661&lt;=40,(50/40)*X661,IF(X661&lt;=80,50+((100-50)/(80-40))*(X661-40),IF(X661&lt;=380,100+((200-100)/(380-80))*(X661-80),IF(X661&lt;=800,200+((300-200)/(800-380))*(X661-380),IF(X661&lt;=1600,300+((400-300)/(1600-800))*(X661-800),IF(X661&lt;=2100,400+((500-400)/(2100-1600))*(X661-1600),500)))))))</f>
        <v>17.75</v>
      </c>
      <c r="AK661" s="4" t="n">
        <f aca="false">IF(Y661="","",IF(Y661&lt;=50,(50/50)*Y661,IF(Y661&lt;=100,50+((100-50)/(100-50))*(Y661-50),IF(Y661&lt;=168,100+((200-100)/(168-100))*(Y661-100),IF(Y661&lt;=208,200+((300-200)/(208-168))*(Y661-168),IF(Y661&lt;=748,300+((400-300)/(748-208))*(Y661-208),IF(Y661&lt;=1000,400+((500-400)/(1000-748))*(Y661-748),500)))))))</f>
        <v>166.176470588235</v>
      </c>
      <c r="AL661" s="4" t="n">
        <f aca="false">ROUND(MAX(AF661,AG661,AH661,AI661,AJ661,AK661),0)</f>
        <v>166</v>
      </c>
      <c r="AM661" s="4" t="str">
        <f aca="false">IF(AL661="","",IF(AL661&lt;=50,"Good",IF(AL661&lt;=100,"Satisfactory",IF(AL661&lt;=200,"Moderate",IF(AL661&lt;=300,"Poor",IF(AL661&lt;=400,"Very Poor","Severe"))))))</f>
        <v>Moderate</v>
      </c>
    </row>
    <row r="662" customFormat="false" ht="15.75" hidden="false" customHeight="false" outlineLevel="0" collapsed="false">
      <c r="A662" s="1" t="s">
        <v>39</v>
      </c>
      <c r="B662" s="1" t="s">
        <v>40</v>
      </c>
      <c r="C662" s="1" t="n">
        <v>28.4595</v>
      </c>
      <c r="D662" s="1" t="n">
        <v>77.0266</v>
      </c>
      <c r="E662" s="5" t="n">
        <v>45928</v>
      </c>
      <c r="F662" s="6" t="s">
        <v>63</v>
      </c>
      <c r="G662" s="1" t="n">
        <v>9</v>
      </c>
      <c r="H662" s="7" t="s">
        <v>87</v>
      </c>
      <c r="I662" s="6" t="s">
        <v>46</v>
      </c>
      <c r="J662" s="7" t="s">
        <v>44</v>
      </c>
      <c r="K662" s="7" t="s">
        <v>60</v>
      </c>
      <c r="L662" s="1" t="n">
        <v>47</v>
      </c>
      <c r="M662" s="1" t="n">
        <v>22.1</v>
      </c>
      <c r="N662" s="1" t="n">
        <v>40</v>
      </c>
      <c r="O662" s="1" t="n">
        <v>0</v>
      </c>
      <c r="P662" s="6" t="s">
        <v>43</v>
      </c>
      <c r="Q662" s="6" t="s">
        <v>43</v>
      </c>
      <c r="R662" s="1" t="n">
        <v>1006.7</v>
      </c>
      <c r="S662" s="1" t="n">
        <v>12</v>
      </c>
      <c r="T662" s="1" t="n">
        <v>29.8</v>
      </c>
      <c r="U662" s="1" t="n">
        <v>138.3</v>
      </c>
      <c r="V662" s="1" t="n">
        <v>315</v>
      </c>
      <c r="W662" s="1" t="n">
        <v>3.8</v>
      </c>
      <c r="X662" s="1" t="n">
        <v>12.1</v>
      </c>
      <c r="Y662" s="1" t="n">
        <v>153</v>
      </c>
      <c r="Z662" s="1" t="n">
        <v>232</v>
      </c>
      <c r="AA662" s="1" t="n">
        <v>128</v>
      </c>
      <c r="AB662" s="7" t="s">
        <v>81</v>
      </c>
      <c r="AC662" s="7" t="s">
        <v>82</v>
      </c>
      <c r="AD662" s="7" t="s">
        <v>83</v>
      </c>
      <c r="AE662" s="7" t="s">
        <v>84</v>
      </c>
      <c r="AF662" s="4" t="n">
        <f aca="false">IF(T662="","",IF(T662&lt;=30,(50/30)*T662,IF(T662&lt;=60,50+((100-50)/(60-30))*(T662-30),IF(T662&lt;=90,100+((200-100)/(90-60))*(T662-60),IF(T662&lt;=120,200+((300-200)/(120-90))*(T662-90),IF(T662&lt;=250,300+((400-300)/(250-120))*(T662-120),IF(T662&lt;=380,400+((500-400)/(380-250))*(T662-250),500)))))))</f>
        <v>49.6666666666667</v>
      </c>
      <c r="AG662" s="4" t="n">
        <f aca="false">IF(U662="","",IF(U662&lt;=50,(50/50)*U662,IF(U662&lt;=100,50+((100-50)/(100-50))*(U662-50),IF(U662&lt;=250,100+((200-100)/(250-100))*(U662-100),IF(U662&lt;=350,200+((300-200)/(350-250))*(U662-250),IF(U662&lt;=430,300+((400-300)/(430-350))*(U662-350),IF(U662&lt;=600,400+((500-400)/(600-430))*(U662-430),500)))))))</f>
        <v>125.533333333333</v>
      </c>
      <c r="AH662" s="4" t="n">
        <f aca="false">IF(V662="","",IF((V662/1000)&lt;=1,(50/1)*(V662/1000),IF((V662/1000)&lt;=2,50+((100-50)/(2-1))*(V662/1000-1),IF((V662/1000)&lt;=10,100+((200-100)/(10-2))*(V662/1000-2),IF((V662/1000)&lt;=17,200+((300-200)/(17-10))*(V662/1000-10),IF((V662/1000)&lt;=34,300+((400-300)/(34-17))*(V662/1000-17),IF((V662/1000)&lt;=57,400+((500-400)/(57-34))*(V662/1000-34),500)))))))</f>
        <v>15.75</v>
      </c>
      <c r="AI662" s="4" t="n">
        <f aca="false">IF(W662="","",IF(W662&lt;=40,(50/40)*W662,IF(W662&lt;=80,50+((100-50)/(80-40))*(W662-40),IF(W662&lt;=180,100+((200-100)/(180-80))*(W662-80),IF(W662&lt;=280,200+((300-200)/(280-180))*(W662-180),IF(W662&lt;=400,300+((400-300)/(400-280))*(W662-280),IF(W662&lt;=800,400+((500-400)/(800-400))*(W662-400),500)))))))</f>
        <v>4.75</v>
      </c>
      <c r="AJ662" s="4" t="n">
        <f aca="false">IF(X662="","",IF(X662&lt;=40,(50/40)*X662,IF(X662&lt;=80,50+((100-50)/(80-40))*(X662-40),IF(X662&lt;=380,100+((200-100)/(380-80))*(X662-80),IF(X662&lt;=800,200+((300-200)/(800-380))*(X662-380),IF(X662&lt;=1600,300+((400-300)/(1600-800))*(X662-800),IF(X662&lt;=2100,400+((500-400)/(2100-1600))*(X662-1600),500)))))))</f>
        <v>15.125</v>
      </c>
      <c r="AK662" s="4" t="n">
        <f aca="false">IF(Y662="","",IF(Y662&lt;=50,(50/50)*Y662,IF(Y662&lt;=100,50+((100-50)/(100-50))*(Y662-50),IF(Y662&lt;=168,100+((200-100)/(168-100))*(Y662-100),IF(Y662&lt;=208,200+((300-200)/(208-168))*(Y662-168),IF(Y662&lt;=748,300+((400-300)/(748-208))*(Y662-208),IF(Y662&lt;=1000,400+((500-400)/(1000-748))*(Y662-748),500)))))))</f>
        <v>177.941176470588</v>
      </c>
      <c r="AL662" s="4" t="n">
        <f aca="false">ROUND(MAX(AF662,AG662,AH662,AI662,AJ662,AK662),0)</f>
        <v>178</v>
      </c>
      <c r="AM662" s="4" t="str">
        <f aca="false">IF(AL662="","",IF(AL662&lt;=50,"Good",IF(AL662&lt;=100,"Satisfactory",IF(AL662&lt;=200,"Moderate",IF(AL662&lt;=300,"Poor",IF(AL662&lt;=400,"Very Poor","Severe"))))))</f>
        <v>Moderate</v>
      </c>
    </row>
    <row r="663" customFormat="false" ht="15.75" hidden="false" customHeight="false" outlineLevel="0" collapsed="false">
      <c r="A663" s="1" t="s">
        <v>39</v>
      </c>
      <c r="B663" s="1" t="s">
        <v>40</v>
      </c>
      <c r="C663" s="1" t="n">
        <v>28.4595</v>
      </c>
      <c r="D663" s="1" t="n">
        <v>77.0266</v>
      </c>
      <c r="E663" s="5" t="n">
        <v>45928</v>
      </c>
      <c r="F663" s="6" t="s">
        <v>64</v>
      </c>
      <c r="G663" s="1" t="n">
        <v>9</v>
      </c>
      <c r="H663" s="7" t="s">
        <v>87</v>
      </c>
      <c r="I663" s="6" t="s">
        <v>46</v>
      </c>
      <c r="J663" s="7" t="s">
        <v>44</v>
      </c>
      <c r="K663" s="7" t="s">
        <v>65</v>
      </c>
      <c r="L663" s="1" t="n">
        <v>47</v>
      </c>
      <c r="M663" s="1" t="n">
        <v>22.2</v>
      </c>
      <c r="N663" s="1" t="n">
        <v>39.2</v>
      </c>
      <c r="O663" s="1" t="n">
        <v>0</v>
      </c>
      <c r="P663" s="6" t="s">
        <v>43</v>
      </c>
      <c r="Q663" s="6" t="s">
        <v>43</v>
      </c>
      <c r="R663" s="1" t="n">
        <v>1005.5</v>
      </c>
      <c r="S663" s="1" t="n">
        <v>9</v>
      </c>
      <c r="T663" s="1" t="n">
        <v>32.2</v>
      </c>
      <c r="U663" s="1" t="n">
        <v>170</v>
      </c>
      <c r="V663" s="1" t="n">
        <v>308</v>
      </c>
      <c r="W663" s="1" t="n">
        <v>3.7</v>
      </c>
      <c r="X663" s="1" t="n">
        <v>11.5</v>
      </c>
      <c r="Y663" s="1" t="n">
        <v>156</v>
      </c>
      <c r="Z663" s="1" t="n">
        <v>493</v>
      </c>
      <c r="AA663" s="1" t="n">
        <v>125</v>
      </c>
      <c r="AB663" s="7" t="s">
        <v>81</v>
      </c>
      <c r="AC663" s="7" t="s">
        <v>82</v>
      </c>
      <c r="AD663" s="7" t="s">
        <v>83</v>
      </c>
      <c r="AE663" s="7" t="s">
        <v>84</v>
      </c>
      <c r="AF663" s="4" t="n">
        <f aca="false">IF(T663="","",IF(T663&lt;=30,(50/30)*T663,IF(T663&lt;=60,50+((100-50)/(60-30))*(T663-30),IF(T663&lt;=90,100+((200-100)/(90-60))*(T663-60),IF(T663&lt;=120,200+((300-200)/(120-90))*(T663-90),IF(T663&lt;=250,300+((400-300)/(250-120))*(T663-120),IF(T663&lt;=380,400+((500-400)/(380-250))*(T663-250),500)))))))</f>
        <v>53.6666666666667</v>
      </c>
      <c r="AG663" s="4" t="n">
        <f aca="false">IF(U663="","",IF(U663&lt;=50,(50/50)*U663,IF(U663&lt;=100,50+((100-50)/(100-50))*(U663-50),IF(U663&lt;=250,100+((200-100)/(250-100))*(U663-100),IF(U663&lt;=350,200+((300-200)/(350-250))*(U663-250),IF(U663&lt;=430,300+((400-300)/(430-350))*(U663-350),IF(U663&lt;=600,400+((500-400)/(600-430))*(U663-430),500)))))))</f>
        <v>146.666666666667</v>
      </c>
      <c r="AH663" s="4" t="n">
        <f aca="false">IF(V663="","",IF((V663/1000)&lt;=1,(50/1)*(V663/1000),IF((V663/1000)&lt;=2,50+((100-50)/(2-1))*(V663/1000-1),IF((V663/1000)&lt;=10,100+((200-100)/(10-2))*(V663/1000-2),IF((V663/1000)&lt;=17,200+((300-200)/(17-10))*(V663/1000-10),IF((V663/1000)&lt;=34,300+((400-300)/(34-17))*(V663/1000-17),IF((V663/1000)&lt;=57,400+((500-400)/(57-34))*(V663/1000-34),500)))))))</f>
        <v>15.4</v>
      </c>
      <c r="AI663" s="4" t="n">
        <f aca="false">IF(W663="","",IF(W663&lt;=40,(50/40)*W663,IF(W663&lt;=80,50+((100-50)/(80-40))*(W663-40),IF(W663&lt;=180,100+((200-100)/(180-80))*(W663-80),IF(W663&lt;=280,200+((300-200)/(280-180))*(W663-180),IF(W663&lt;=400,300+((400-300)/(400-280))*(W663-280),IF(W663&lt;=800,400+((500-400)/(800-400))*(W663-400),500)))))))</f>
        <v>4.625</v>
      </c>
      <c r="AJ663" s="4" t="n">
        <f aca="false">IF(X663="","",IF(X663&lt;=40,(50/40)*X663,IF(X663&lt;=80,50+((100-50)/(80-40))*(X663-40),IF(X663&lt;=380,100+((200-100)/(380-80))*(X663-80),IF(X663&lt;=800,200+((300-200)/(800-380))*(X663-380),IF(X663&lt;=1600,300+((400-300)/(1600-800))*(X663-800),IF(X663&lt;=2100,400+((500-400)/(2100-1600))*(X663-1600),500)))))))</f>
        <v>14.375</v>
      </c>
      <c r="AK663" s="4" t="n">
        <f aca="false">IF(Y663="","",IF(Y663&lt;=50,(50/50)*Y663,IF(Y663&lt;=100,50+((100-50)/(100-50))*(Y663-50),IF(Y663&lt;=168,100+((200-100)/(168-100))*(Y663-100),IF(Y663&lt;=208,200+((300-200)/(208-168))*(Y663-168),IF(Y663&lt;=748,300+((400-300)/(748-208))*(Y663-208),IF(Y663&lt;=1000,400+((500-400)/(1000-748))*(Y663-748),500)))))))</f>
        <v>182.352941176471</v>
      </c>
      <c r="AL663" s="4" t="n">
        <f aca="false">ROUND(MAX(AF663,AG663,AH663,AI663,AJ663,AK663),0)</f>
        <v>182</v>
      </c>
      <c r="AM663" s="4" t="str">
        <f aca="false">IF(AL663="","",IF(AL663&lt;=50,"Good",IF(AL663&lt;=100,"Satisfactory",IF(AL663&lt;=200,"Moderate",IF(AL663&lt;=300,"Poor",IF(AL663&lt;=400,"Very Poor","Severe"))))))</f>
        <v>Moderate</v>
      </c>
    </row>
    <row r="664" customFormat="false" ht="15.75" hidden="false" customHeight="false" outlineLevel="0" collapsed="false">
      <c r="A664" s="1" t="s">
        <v>39</v>
      </c>
      <c r="B664" s="1" t="s">
        <v>40</v>
      </c>
      <c r="C664" s="1" t="n">
        <v>28.4595</v>
      </c>
      <c r="D664" s="1" t="n">
        <v>77.0266</v>
      </c>
      <c r="E664" s="5" t="n">
        <v>45928</v>
      </c>
      <c r="F664" s="6" t="s">
        <v>66</v>
      </c>
      <c r="G664" s="1" t="n">
        <v>9</v>
      </c>
      <c r="H664" s="7" t="s">
        <v>87</v>
      </c>
      <c r="I664" s="6" t="s">
        <v>46</v>
      </c>
      <c r="J664" s="7" t="s">
        <v>44</v>
      </c>
      <c r="K664" s="7" t="s">
        <v>65</v>
      </c>
      <c r="L664" s="1" t="n">
        <v>46</v>
      </c>
      <c r="M664" s="1" t="n">
        <v>22.3</v>
      </c>
      <c r="N664" s="1" t="n">
        <v>35.3</v>
      </c>
      <c r="O664" s="1" t="n">
        <v>0</v>
      </c>
      <c r="P664" s="6" t="s">
        <v>43</v>
      </c>
      <c r="Q664" s="6" t="s">
        <v>43</v>
      </c>
      <c r="R664" s="1" t="n">
        <v>1004.1</v>
      </c>
      <c r="S664" s="1" t="n">
        <v>5</v>
      </c>
      <c r="T664" s="1" t="n">
        <v>48.9</v>
      </c>
      <c r="U664" s="1" t="n">
        <v>385.6</v>
      </c>
      <c r="V664" s="1" t="n">
        <v>317</v>
      </c>
      <c r="W664" s="1" t="n">
        <v>4.8</v>
      </c>
      <c r="X664" s="1" t="n">
        <v>11.5</v>
      </c>
      <c r="Y664" s="1" t="n">
        <v>155</v>
      </c>
      <c r="Z664" s="1" t="n">
        <v>665</v>
      </c>
      <c r="AA664" s="1" t="n">
        <v>123</v>
      </c>
      <c r="AB664" s="7" t="s">
        <v>81</v>
      </c>
      <c r="AC664" s="7" t="s">
        <v>82</v>
      </c>
      <c r="AD664" s="7" t="s">
        <v>83</v>
      </c>
      <c r="AE664" s="7" t="s">
        <v>84</v>
      </c>
      <c r="AF664" s="4" t="n">
        <f aca="false">IF(T664="","",IF(T664&lt;=30,(50/30)*T664,IF(T664&lt;=60,50+((100-50)/(60-30))*(T664-30),IF(T664&lt;=90,100+((200-100)/(90-60))*(T664-60),IF(T664&lt;=120,200+((300-200)/(120-90))*(T664-90),IF(T664&lt;=250,300+((400-300)/(250-120))*(T664-120),IF(T664&lt;=380,400+((500-400)/(380-250))*(T664-250),500)))))))</f>
        <v>81.5</v>
      </c>
      <c r="AG664" s="4" t="n">
        <f aca="false">IF(U664="","",IF(U664&lt;=50,(50/50)*U664,IF(U664&lt;=100,50+((100-50)/(100-50))*(U664-50),IF(U664&lt;=250,100+((200-100)/(250-100))*(U664-100),IF(U664&lt;=350,200+((300-200)/(350-250))*(U664-250),IF(U664&lt;=430,300+((400-300)/(430-350))*(U664-350),IF(U664&lt;=600,400+((500-400)/(600-430))*(U664-430),500)))))))</f>
        <v>344.5</v>
      </c>
      <c r="AH664" s="4" t="n">
        <f aca="false">IF(V664="","",IF((V664/1000)&lt;=1,(50/1)*(V664/1000),IF((V664/1000)&lt;=2,50+((100-50)/(2-1))*(V664/1000-1),IF((V664/1000)&lt;=10,100+((200-100)/(10-2))*(V664/1000-2),IF((V664/1000)&lt;=17,200+((300-200)/(17-10))*(V664/1000-10),IF((V664/1000)&lt;=34,300+((400-300)/(34-17))*(V664/1000-17),IF((V664/1000)&lt;=57,400+((500-400)/(57-34))*(V664/1000-34),500)))))))</f>
        <v>15.85</v>
      </c>
      <c r="AI664" s="4" t="n">
        <f aca="false">IF(W664="","",IF(W664&lt;=40,(50/40)*W664,IF(W664&lt;=80,50+((100-50)/(80-40))*(W664-40),IF(W664&lt;=180,100+((200-100)/(180-80))*(W664-80),IF(W664&lt;=280,200+((300-200)/(280-180))*(W664-180),IF(W664&lt;=400,300+((400-300)/(400-280))*(W664-280),IF(W664&lt;=800,400+((500-400)/(800-400))*(W664-400),500)))))))</f>
        <v>6</v>
      </c>
      <c r="AJ664" s="4" t="n">
        <f aca="false">IF(X664="","",IF(X664&lt;=40,(50/40)*X664,IF(X664&lt;=80,50+((100-50)/(80-40))*(X664-40),IF(X664&lt;=380,100+((200-100)/(380-80))*(X664-80),IF(X664&lt;=800,200+((300-200)/(800-380))*(X664-380),IF(X664&lt;=1600,300+((400-300)/(1600-800))*(X664-800),IF(X664&lt;=2100,400+((500-400)/(2100-1600))*(X664-1600),500)))))))</f>
        <v>14.375</v>
      </c>
      <c r="AK664" s="4" t="n">
        <f aca="false">IF(Y664="","",IF(Y664&lt;=50,(50/50)*Y664,IF(Y664&lt;=100,50+((100-50)/(100-50))*(Y664-50),IF(Y664&lt;=168,100+((200-100)/(168-100))*(Y664-100),IF(Y664&lt;=208,200+((300-200)/(208-168))*(Y664-168),IF(Y664&lt;=748,300+((400-300)/(748-208))*(Y664-208),IF(Y664&lt;=1000,400+((500-400)/(1000-748))*(Y664-748),500)))))))</f>
        <v>180.882352941176</v>
      </c>
      <c r="AL664" s="4" t="n">
        <f aca="false">ROUND(MAX(AF664,AG664,AH664,AI664,AJ664,AK664),0)</f>
        <v>345</v>
      </c>
      <c r="AM664" s="4" t="str">
        <f aca="false">IF(AL664="","",IF(AL664&lt;=50,"Good",IF(AL664&lt;=100,"Satisfactory",IF(AL664&lt;=200,"Moderate",IF(AL664&lt;=300,"Poor",IF(AL664&lt;=400,"Very Poor","Severe"))))))</f>
        <v>Very Poor</v>
      </c>
    </row>
    <row r="665" customFormat="false" ht="15.75" hidden="false" customHeight="false" outlineLevel="0" collapsed="false">
      <c r="A665" s="1" t="s">
        <v>39</v>
      </c>
      <c r="B665" s="1" t="s">
        <v>40</v>
      </c>
      <c r="C665" s="1" t="n">
        <v>28.4595</v>
      </c>
      <c r="D665" s="1" t="n">
        <v>77.0266</v>
      </c>
      <c r="E665" s="5" t="n">
        <v>45928</v>
      </c>
      <c r="F665" s="6" t="s">
        <v>67</v>
      </c>
      <c r="G665" s="1" t="n">
        <v>9</v>
      </c>
      <c r="H665" s="7" t="s">
        <v>87</v>
      </c>
      <c r="I665" s="6" t="s">
        <v>46</v>
      </c>
      <c r="J665" s="7" t="s">
        <v>44</v>
      </c>
      <c r="K665" s="7" t="s">
        <v>65</v>
      </c>
      <c r="L665" s="1" t="n">
        <v>47</v>
      </c>
      <c r="M665" s="1" t="n">
        <v>22.3</v>
      </c>
      <c r="N665" s="1" t="n">
        <v>31.3</v>
      </c>
      <c r="O665" s="1" t="n">
        <v>0</v>
      </c>
      <c r="P665" s="6" t="s">
        <v>43</v>
      </c>
      <c r="Q665" s="6" t="s">
        <v>43</v>
      </c>
      <c r="R665" s="1" t="n">
        <v>1003.1</v>
      </c>
      <c r="S665" s="1" t="n">
        <v>7</v>
      </c>
      <c r="T665" s="1" t="n">
        <v>44.6</v>
      </c>
      <c r="U665" s="1" t="n">
        <v>327.8</v>
      </c>
      <c r="V665" s="1" t="n">
        <v>337</v>
      </c>
      <c r="W665" s="1" t="n">
        <v>7.1</v>
      </c>
      <c r="X665" s="1" t="n">
        <v>12.1</v>
      </c>
      <c r="Y665" s="1" t="n">
        <v>151</v>
      </c>
      <c r="Z665" s="1" t="n">
        <v>659</v>
      </c>
      <c r="AA665" s="1" t="n">
        <v>123</v>
      </c>
      <c r="AB665" s="7" t="s">
        <v>81</v>
      </c>
      <c r="AC665" s="7" t="s">
        <v>82</v>
      </c>
      <c r="AD665" s="7" t="s">
        <v>83</v>
      </c>
      <c r="AE665" s="7" t="s">
        <v>84</v>
      </c>
      <c r="AF665" s="4" t="n">
        <f aca="false">IF(T665="","",IF(T665&lt;=30,(50/30)*T665,IF(T665&lt;=60,50+((100-50)/(60-30))*(T665-30),IF(T665&lt;=90,100+((200-100)/(90-60))*(T665-60),IF(T665&lt;=120,200+((300-200)/(120-90))*(T665-90),IF(T665&lt;=250,300+((400-300)/(250-120))*(T665-120),IF(T665&lt;=380,400+((500-400)/(380-250))*(T665-250),500)))))))</f>
        <v>74.3333333333333</v>
      </c>
      <c r="AG665" s="4" t="n">
        <f aca="false">IF(U665="","",IF(U665&lt;=50,(50/50)*U665,IF(U665&lt;=100,50+((100-50)/(100-50))*(U665-50),IF(U665&lt;=250,100+((200-100)/(250-100))*(U665-100),IF(U665&lt;=350,200+((300-200)/(350-250))*(U665-250),IF(U665&lt;=430,300+((400-300)/(430-350))*(U665-350),IF(U665&lt;=600,400+((500-400)/(600-430))*(U665-430),500)))))))</f>
        <v>277.8</v>
      </c>
      <c r="AH665" s="4" t="n">
        <f aca="false">IF(V665="","",IF((V665/1000)&lt;=1,(50/1)*(V665/1000),IF((V665/1000)&lt;=2,50+((100-50)/(2-1))*(V665/1000-1),IF((V665/1000)&lt;=10,100+((200-100)/(10-2))*(V665/1000-2),IF((V665/1000)&lt;=17,200+((300-200)/(17-10))*(V665/1000-10),IF((V665/1000)&lt;=34,300+((400-300)/(34-17))*(V665/1000-17),IF((V665/1000)&lt;=57,400+((500-400)/(57-34))*(V665/1000-34),500)))))))</f>
        <v>16.85</v>
      </c>
      <c r="AI665" s="4" t="n">
        <f aca="false">IF(W665="","",IF(W665&lt;=40,(50/40)*W665,IF(W665&lt;=80,50+((100-50)/(80-40))*(W665-40),IF(W665&lt;=180,100+((200-100)/(180-80))*(W665-80),IF(W665&lt;=280,200+((300-200)/(280-180))*(W665-180),IF(W665&lt;=400,300+((400-300)/(400-280))*(W665-280),IF(W665&lt;=800,400+((500-400)/(800-400))*(W665-400),500)))))))</f>
        <v>8.875</v>
      </c>
      <c r="AJ665" s="4" t="n">
        <f aca="false">IF(X665="","",IF(X665&lt;=40,(50/40)*X665,IF(X665&lt;=80,50+((100-50)/(80-40))*(X665-40),IF(X665&lt;=380,100+((200-100)/(380-80))*(X665-80),IF(X665&lt;=800,200+((300-200)/(800-380))*(X665-380),IF(X665&lt;=1600,300+((400-300)/(1600-800))*(X665-800),IF(X665&lt;=2100,400+((500-400)/(2100-1600))*(X665-1600),500)))))))</f>
        <v>15.125</v>
      </c>
      <c r="AK665" s="4" t="n">
        <f aca="false">IF(Y665="","",IF(Y665&lt;=50,(50/50)*Y665,IF(Y665&lt;=100,50+((100-50)/(100-50))*(Y665-50),IF(Y665&lt;=168,100+((200-100)/(168-100))*(Y665-100),IF(Y665&lt;=208,200+((300-200)/(208-168))*(Y665-168),IF(Y665&lt;=748,300+((400-300)/(748-208))*(Y665-208),IF(Y665&lt;=1000,400+((500-400)/(1000-748))*(Y665-748),500)))))))</f>
        <v>175</v>
      </c>
      <c r="AL665" s="4" t="n">
        <f aca="false">ROUND(MAX(AF665,AG665,AH665,AI665,AJ665,AK665),0)</f>
        <v>278</v>
      </c>
      <c r="AM665" s="4" t="str">
        <f aca="false">IF(AL665="","",IF(AL665&lt;=50,"Good",IF(AL665&lt;=100,"Satisfactory",IF(AL665&lt;=200,"Moderate",IF(AL665&lt;=300,"Poor",IF(AL665&lt;=400,"Very Poor","Severe"))))))</f>
        <v>Poor</v>
      </c>
    </row>
    <row r="666" customFormat="false" ht="15.75" hidden="false" customHeight="false" outlineLevel="0" collapsed="false">
      <c r="A666" s="1" t="s">
        <v>39</v>
      </c>
      <c r="B666" s="1" t="s">
        <v>40</v>
      </c>
      <c r="C666" s="1" t="n">
        <v>28.4595</v>
      </c>
      <c r="D666" s="1" t="n">
        <v>77.0266</v>
      </c>
      <c r="E666" s="5" t="n">
        <v>45928</v>
      </c>
      <c r="F666" s="6" t="s">
        <v>68</v>
      </c>
      <c r="G666" s="1" t="n">
        <v>9</v>
      </c>
      <c r="H666" s="7" t="s">
        <v>87</v>
      </c>
      <c r="I666" s="6" t="s">
        <v>46</v>
      </c>
      <c r="J666" s="7" t="s">
        <v>44</v>
      </c>
      <c r="K666" s="7" t="s">
        <v>65</v>
      </c>
      <c r="L666" s="1" t="n">
        <v>48</v>
      </c>
      <c r="M666" s="1" t="n">
        <v>22.1</v>
      </c>
      <c r="N666" s="1" t="n">
        <v>29.2</v>
      </c>
      <c r="O666" s="1" t="n">
        <v>0</v>
      </c>
      <c r="P666" s="6" t="s">
        <v>43</v>
      </c>
      <c r="Q666" s="6" t="s">
        <v>43</v>
      </c>
      <c r="R666" s="1" t="n">
        <v>1003.2</v>
      </c>
      <c r="S666" s="1" t="n">
        <v>12</v>
      </c>
      <c r="T666" s="1" t="n">
        <v>42.1</v>
      </c>
      <c r="U666" s="1" t="n">
        <v>296.2</v>
      </c>
      <c r="V666" s="1" t="n">
        <v>372</v>
      </c>
      <c r="W666" s="1" t="n">
        <v>10.7</v>
      </c>
      <c r="X666" s="1" t="n">
        <v>13.3</v>
      </c>
      <c r="Y666" s="1" t="n">
        <v>143</v>
      </c>
      <c r="Z666" s="1" t="n">
        <v>564</v>
      </c>
      <c r="AA666" s="1" t="n">
        <v>123</v>
      </c>
      <c r="AB666" s="7" t="s">
        <v>81</v>
      </c>
      <c r="AC666" s="7" t="s">
        <v>82</v>
      </c>
      <c r="AD666" s="7" t="s">
        <v>83</v>
      </c>
      <c r="AE666" s="7" t="s">
        <v>84</v>
      </c>
      <c r="AF666" s="4" t="n">
        <f aca="false">IF(T666="","",IF(T666&lt;=30,(50/30)*T666,IF(T666&lt;=60,50+((100-50)/(60-30))*(T666-30),IF(T666&lt;=90,100+((200-100)/(90-60))*(T666-60),IF(T666&lt;=120,200+((300-200)/(120-90))*(T666-90),IF(T666&lt;=250,300+((400-300)/(250-120))*(T666-120),IF(T666&lt;=380,400+((500-400)/(380-250))*(T666-250),500)))))))</f>
        <v>70.1666666666667</v>
      </c>
      <c r="AG666" s="4" t="n">
        <f aca="false">IF(U666="","",IF(U666&lt;=50,(50/50)*U666,IF(U666&lt;=100,50+((100-50)/(100-50))*(U666-50),IF(U666&lt;=250,100+((200-100)/(250-100))*(U666-100),IF(U666&lt;=350,200+((300-200)/(350-250))*(U666-250),IF(U666&lt;=430,300+((400-300)/(430-350))*(U666-350),IF(U666&lt;=600,400+((500-400)/(600-430))*(U666-430),500)))))))</f>
        <v>246.2</v>
      </c>
      <c r="AH666" s="4" t="n">
        <f aca="false">IF(V666="","",IF((V666/1000)&lt;=1,(50/1)*(V666/1000),IF((V666/1000)&lt;=2,50+((100-50)/(2-1))*(V666/1000-1),IF((V666/1000)&lt;=10,100+((200-100)/(10-2))*(V666/1000-2),IF((V666/1000)&lt;=17,200+((300-200)/(17-10))*(V666/1000-10),IF((V666/1000)&lt;=34,300+((400-300)/(34-17))*(V666/1000-17),IF((V666/1000)&lt;=57,400+((500-400)/(57-34))*(V666/1000-34),500)))))))</f>
        <v>18.6</v>
      </c>
      <c r="AI666" s="4" t="n">
        <f aca="false">IF(W666="","",IF(W666&lt;=40,(50/40)*W666,IF(W666&lt;=80,50+((100-50)/(80-40))*(W666-40),IF(W666&lt;=180,100+((200-100)/(180-80))*(W666-80),IF(W666&lt;=280,200+((300-200)/(280-180))*(W666-180),IF(W666&lt;=400,300+((400-300)/(400-280))*(W666-280),IF(W666&lt;=800,400+((500-400)/(800-400))*(W666-400),500)))))))</f>
        <v>13.375</v>
      </c>
      <c r="AJ666" s="4" t="n">
        <f aca="false">IF(X666="","",IF(X666&lt;=40,(50/40)*X666,IF(X666&lt;=80,50+((100-50)/(80-40))*(X666-40),IF(X666&lt;=380,100+((200-100)/(380-80))*(X666-80),IF(X666&lt;=800,200+((300-200)/(800-380))*(X666-380),IF(X666&lt;=1600,300+((400-300)/(1600-800))*(X666-800),IF(X666&lt;=2100,400+((500-400)/(2100-1600))*(X666-1600),500)))))))</f>
        <v>16.625</v>
      </c>
      <c r="AK666" s="4" t="n">
        <f aca="false">IF(Y666="","",IF(Y666&lt;=50,(50/50)*Y666,IF(Y666&lt;=100,50+((100-50)/(100-50))*(Y666-50),IF(Y666&lt;=168,100+((200-100)/(168-100))*(Y666-100),IF(Y666&lt;=208,200+((300-200)/(208-168))*(Y666-168),IF(Y666&lt;=748,300+((400-300)/(748-208))*(Y666-208),IF(Y666&lt;=1000,400+((500-400)/(1000-748))*(Y666-748),500)))))))</f>
        <v>163.235294117647</v>
      </c>
      <c r="AL666" s="4" t="n">
        <f aca="false">ROUND(MAX(AF666,AG666,AH666,AI666,AJ666,AK666),0)</f>
        <v>246</v>
      </c>
      <c r="AM666" s="4" t="str">
        <f aca="false">IF(AL666="","",IF(AL666&lt;=50,"Good",IF(AL666&lt;=100,"Satisfactory",IF(AL666&lt;=200,"Moderate",IF(AL666&lt;=300,"Poor",IF(AL666&lt;=400,"Very Poor","Severe"))))))</f>
        <v>Poor</v>
      </c>
    </row>
    <row r="667" customFormat="false" ht="15.75" hidden="false" customHeight="false" outlineLevel="0" collapsed="false">
      <c r="A667" s="1" t="s">
        <v>39</v>
      </c>
      <c r="B667" s="1" t="s">
        <v>40</v>
      </c>
      <c r="C667" s="1" t="n">
        <v>28.4595</v>
      </c>
      <c r="D667" s="1" t="n">
        <v>77.0266</v>
      </c>
      <c r="E667" s="5" t="n">
        <v>45928</v>
      </c>
      <c r="F667" s="6" t="s">
        <v>69</v>
      </c>
      <c r="G667" s="1" t="n">
        <v>9</v>
      </c>
      <c r="H667" s="7" t="s">
        <v>87</v>
      </c>
      <c r="I667" s="6" t="s">
        <v>46</v>
      </c>
      <c r="J667" s="7" t="s">
        <v>44</v>
      </c>
      <c r="K667" s="7" t="s">
        <v>65</v>
      </c>
      <c r="L667" s="1" t="n">
        <v>52</v>
      </c>
      <c r="M667" s="1" t="n">
        <v>22.6</v>
      </c>
      <c r="N667" s="1" t="n">
        <v>24.1</v>
      </c>
      <c r="O667" s="1" t="n">
        <v>0</v>
      </c>
      <c r="P667" s="6" t="s">
        <v>43</v>
      </c>
      <c r="Q667" s="6" t="s">
        <v>43</v>
      </c>
      <c r="R667" s="1" t="n">
        <v>1003.3</v>
      </c>
      <c r="S667" s="1" t="n">
        <v>9</v>
      </c>
      <c r="T667" s="1" t="n">
        <v>50.8</v>
      </c>
      <c r="U667" s="1" t="n">
        <v>385.6</v>
      </c>
      <c r="V667" s="1" t="n">
        <v>426</v>
      </c>
      <c r="W667" s="1" t="n">
        <v>14.9</v>
      </c>
      <c r="X667" s="1" t="n">
        <v>14.1</v>
      </c>
      <c r="Y667" s="1" t="n">
        <v>121</v>
      </c>
      <c r="Z667" s="1" t="n">
        <v>659</v>
      </c>
      <c r="AA667" s="1" t="n">
        <v>123</v>
      </c>
      <c r="AB667" s="7" t="s">
        <v>81</v>
      </c>
      <c r="AC667" s="7" t="s">
        <v>82</v>
      </c>
      <c r="AD667" s="7" t="s">
        <v>83</v>
      </c>
      <c r="AE667" s="7" t="s">
        <v>84</v>
      </c>
      <c r="AF667" s="4" t="n">
        <f aca="false">IF(T667="","",IF(T667&lt;=30,(50/30)*T667,IF(T667&lt;=60,50+((100-50)/(60-30))*(T667-30),IF(T667&lt;=90,100+((200-100)/(90-60))*(T667-60),IF(T667&lt;=120,200+((300-200)/(120-90))*(T667-90),IF(T667&lt;=250,300+((400-300)/(250-120))*(T667-120),IF(T667&lt;=380,400+((500-400)/(380-250))*(T667-250),500)))))))</f>
        <v>84.6666666666667</v>
      </c>
      <c r="AG667" s="4" t="n">
        <f aca="false">IF(U667="","",IF(U667&lt;=50,(50/50)*U667,IF(U667&lt;=100,50+((100-50)/(100-50))*(U667-50),IF(U667&lt;=250,100+((200-100)/(250-100))*(U667-100),IF(U667&lt;=350,200+((300-200)/(350-250))*(U667-250),IF(U667&lt;=430,300+((400-300)/(430-350))*(U667-350),IF(U667&lt;=600,400+((500-400)/(600-430))*(U667-430),500)))))))</f>
        <v>344.5</v>
      </c>
      <c r="AH667" s="4" t="n">
        <f aca="false">IF(V667="","",IF((V667/1000)&lt;=1,(50/1)*(V667/1000),IF((V667/1000)&lt;=2,50+((100-50)/(2-1))*(V667/1000-1),IF((V667/1000)&lt;=10,100+((200-100)/(10-2))*(V667/1000-2),IF((V667/1000)&lt;=17,200+((300-200)/(17-10))*(V667/1000-10),IF((V667/1000)&lt;=34,300+((400-300)/(34-17))*(V667/1000-17),IF((V667/1000)&lt;=57,400+((500-400)/(57-34))*(V667/1000-34),500)))))))</f>
        <v>21.3</v>
      </c>
      <c r="AI667" s="4" t="n">
        <f aca="false">IF(W667="","",IF(W667&lt;=40,(50/40)*W667,IF(W667&lt;=80,50+((100-50)/(80-40))*(W667-40),IF(W667&lt;=180,100+((200-100)/(180-80))*(W667-80),IF(W667&lt;=280,200+((300-200)/(280-180))*(W667-180),IF(W667&lt;=400,300+((400-300)/(400-280))*(W667-280),IF(W667&lt;=800,400+((500-400)/(800-400))*(W667-400),500)))))))</f>
        <v>18.625</v>
      </c>
      <c r="AJ667" s="4" t="n">
        <f aca="false">IF(X667="","",IF(X667&lt;=40,(50/40)*X667,IF(X667&lt;=80,50+((100-50)/(80-40))*(X667-40),IF(X667&lt;=380,100+((200-100)/(380-80))*(X667-80),IF(X667&lt;=800,200+((300-200)/(800-380))*(X667-380),IF(X667&lt;=1600,300+((400-300)/(1600-800))*(X667-800),IF(X667&lt;=2100,400+((500-400)/(2100-1600))*(X667-1600),500)))))))</f>
        <v>17.625</v>
      </c>
      <c r="AK667" s="4" t="n">
        <f aca="false">IF(Y667="","",IF(Y667&lt;=50,(50/50)*Y667,IF(Y667&lt;=100,50+((100-50)/(100-50))*(Y667-50),IF(Y667&lt;=168,100+((200-100)/(168-100))*(Y667-100),IF(Y667&lt;=208,200+((300-200)/(208-168))*(Y667-168),IF(Y667&lt;=748,300+((400-300)/(748-208))*(Y667-208),IF(Y667&lt;=1000,400+((500-400)/(1000-748))*(Y667-748),500)))))))</f>
        <v>130.882352941176</v>
      </c>
      <c r="AL667" s="4" t="n">
        <f aca="false">ROUND(MAX(AF667,AG667,AH667,AI667,AJ667,AK667),0)</f>
        <v>345</v>
      </c>
      <c r="AM667" s="4" t="str">
        <f aca="false">IF(AL667="","",IF(AL667&lt;=50,"Good",IF(AL667&lt;=100,"Satisfactory",IF(AL667&lt;=200,"Moderate",IF(AL667&lt;=300,"Poor",IF(AL667&lt;=400,"Very Poor","Severe"))))))</f>
        <v>Very Poor</v>
      </c>
    </row>
    <row r="668" customFormat="false" ht="15.75" hidden="false" customHeight="false" outlineLevel="0" collapsed="false">
      <c r="A668" s="1" t="s">
        <v>39</v>
      </c>
      <c r="B668" s="1" t="s">
        <v>40</v>
      </c>
      <c r="C668" s="1" t="n">
        <v>28.4595</v>
      </c>
      <c r="D668" s="1" t="n">
        <v>77.0266</v>
      </c>
      <c r="E668" s="5" t="n">
        <v>45928</v>
      </c>
      <c r="F668" s="6" t="s">
        <v>70</v>
      </c>
      <c r="G668" s="1" t="n">
        <v>9</v>
      </c>
      <c r="H668" s="7" t="s">
        <v>87</v>
      </c>
      <c r="I668" s="6" t="s">
        <v>46</v>
      </c>
      <c r="J668" s="7" t="s">
        <v>44</v>
      </c>
      <c r="K668" s="7" t="s">
        <v>71</v>
      </c>
      <c r="L668" s="1" t="n">
        <v>64</v>
      </c>
      <c r="M668" s="1" t="n">
        <v>24.3</v>
      </c>
      <c r="N668" s="1" t="n">
        <v>20.2</v>
      </c>
      <c r="O668" s="1" t="n">
        <v>0</v>
      </c>
      <c r="P668" s="6" t="s">
        <v>43</v>
      </c>
      <c r="Q668" s="6" t="s">
        <v>43</v>
      </c>
      <c r="R668" s="1" t="n">
        <v>1004.2</v>
      </c>
      <c r="S668" s="1" t="n">
        <v>5</v>
      </c>
      <c r="T668" s="1" t="n">
        <v>50.2</v>
      </c>
      <c r="U668" s="1" t="n">
        <v>301.7</v>
      </c>
      <c r="V668" s="1" t="n">
        <v>517</v>
      </c>
      <c r="W668" s="1" t="n">
        <v>20.6</v>
      </c>
      <c r="X668" s="1" t="n">
        <v>16</v>
      </c>
      <c r="Y668" s="1" t="n">
        <v>106</v>
      </c>
      <c r="Z668" s="1" t="n">
        <v>566</v>
      </c>
      <c r="AA668" s="1" t="n">
        <v>124</v>
      </c>
      <c r="AB668" s="7" t="s">
        <v>81</v>
      </c>
      <c r="AC668" s="7" t="s">
        <v>82</v>
      </c>
      <c r="AD668" s="7" t="s">
        <v>83</v>
      </c>
      <c r="AE668" s="7" t="s">
        <v>84</v>
      </c>
      <c r="AF668" s="4" t="n">
        <f aca="false">IF(T668="","",IF(T668&lt;=30,(50/30)*T668,IF(T668&lt;=60,50+((100-50)/(60-30))*(T668-30),IF(T668&lt;=90,100+((200-100)/(90-60))*(T668-60),IF(T668&lt;=120,200+((300-200)/(120-90))*(T668-90),IF(T668&lt;=250,300+((400-300)/(250-120))*(T668-120),IF(T668&lt;=380,400+((500-400)/(380-250))*(T668-250),500)))))))</f>
        <v>83.6666666666667</v>
      </c>
      <c r="AG668" s="4" t="n">
        <f aca="false">IF(U668="","",IF(U668&lt;=50,(50/50)*U668,IF(U668&lt;=100,50+((100-50)/(100-50))*(U668-50),IF(U668&lt;=250,100+((200-100)/(250-100))*(U668-100),IF(U668&lt;=350,200+((300-200)/(350-250))*(U668-250),IF(U668&lt;=430,300+((400-300)/(430-350))*(U668-350),IF(U668&lt;=600,400+((500-400)/(600-430))*(U668-430),500)))))))</f>
        <v>251.7</v>
      </c>
      <c r="AH668" s="4" t="n">
        <f aca="false">IF(V668="","",IF((V668/1000)&lt;=1,(50/1)*(V668/1000),IF((V668/1000)&lt;=2,50+((100-50)/(2-1))*(V668/1000-1),IF((V668/1000)&lt;=10,100+((200-100)/(10-2))*(V668/1000-2),IF((V668/1000)&lt;=17,200+((300-200)/(17-10))*(V668/1000-10),IF((V668/1000)&lt;=34,300+((400-300)/(34-17))*(V668/1000-17),IF((V668/1000)&lt;=57,400+((500-400)/(57-34))*(V668/1000-34),500)))))))</f>
        <v>25.85</v>
      </c>
      <c r="AI668" s="4" t="n">
        <f aca="false">IF(W668="","",IF(W668&lt;=40,(50/40)*W668,IF(W668&lt;=80,50+((100-50)/(80-40))*(W668-40),IF(W668&lt;=180,100+((200-100)/(180-80))*(W668-80),IF(W668&lt;=280,200+((300-200)/(280-180))*(W668-180),IF(W668&lt;=400,300+((400-300)/(400-280))*(W668-280),IF(W668&lt;=800,400+((500-400)/(800-400))*(W668-400),500)))))))</f>
        <v>25.75</v>
      </c>
      <c r="AJ668" s="4" t="n">
        <f aca="false">IF(X668="","",IF(X668&lt;=40,(50/40)*X668,IF(X668&lt;=80,50+((100-50)/(80-40))*(X668-40),IF(X668&lt;=380,100+((200-100)/(380-80))*(X668-80),IF(X668&lt;=800,200+((300-200)/(800-380))*(X668-380),IF(X668&lt;=1600,300+((400-300)/(1600-800))*(X668-800),IF(X668&lt;=2100,400+((500-400)/(2100-1600))*(X668-1600),500)))))))</f>
        <v>20</v>
      </c>
      <c r="AK668" s="4" t="n">
        <f aca="false">IF(Y668="","",IF(Y668&lt;=50,(50/50)*Y668,IF(Y668&lt;=100,50+((100-50)/(100-50))*(Y668-50),IF(Y668&lt;=168,100+((200-100)/(168-100))*(Y668-100),IF(Y668&lt;=208,200+((300-200)/(208-168))*(Y668-168),IF(Y668&lt;=748,300+((400-300)/(748-208))*(Y668-208),IF(Y668&lt;=1000,400+((500-400)/(1000-748))*(Y668-748),500)))))))</f>
        <v>108.823529411765</v>
      </c>
      <c r="AL668" s="4" t="n">
        <f aca="false">ROUND(MAX(AF668,AG668,AH668,AI668,AJ668,AK668),0)</f>
        <v>252</v>
      </c>
      <c r="AM668" s="4" t="str">
        <f aca="false">IF(AL668="","",IF(AL668&lt;=50,"Good",IF(AL668&lt;=100,"Satisfactory",IF(AL668&lt;=200,"Moderate",IF(AL668&lt;=300,"Poor",IF(AL668&lt;=400,"Very Poor","Severe"))))))</f>
        <v>Poor</v>
      </c>
    </row>
    <row r="669" customFormat="false" ht="15.75" hidden="false" customHeight="false" outlineLevel="0" collapsed="false">
      <c r="A669" s="1" t="s">
        <v>39</v>
      </c>
      <c r="B669" s="1" t="s">
        <v>40</v>
      </c>
      <c r="C669" s="1" t="n">
        <v>28.4595</v>
      </c>
      <c r="D669" s="1" t="n">
        <v>77.0266</v>
      </c>
      <c r="E669" s="5" t="n">
        <v>45928</v>
      </c>
      <c r="F669" s="6" t="s">
        <v>72</v>
      </c>
      <c r="G669" s="1" t="n">
        <v>9</v>
      </c>
      <c r="H669" s="7" t="s">
        <v>87</v>
      </c>
      <c r="I669" s="6" t="s">
        <v>46</v>
      </c>
      <c r="J669" s="7" t="s">
        <v>44</v>
      </c>
      <c r="K669" s="7" t="s">
        <v>71</v>
      </c>
      <c r="L669" s="1" t="n">
        <v>68</v>
      </c>
      <c r="M669" s="1" t="n">
        <v>24.6</v>
      </c>
      <c r="N669" s="1" t="n">
        <v>14</v>
      </c>
      <c r="O669" s="1" t="n">
        <v>0</v>
      </c>
      <c r="P669" s="6" t="s">
        <v>43</v>
      </c>
      <c r="Q669" s="6" t="s">
        <v>43</v>
      </c>
      <c r="R669" s="1" t="n">
        <v>1004.8</v>
      </c>
      <c r="S669" s="1" t="n">
        <v>4</v>
      </c>
      <c r="T669" s="1" t="n">
        <v>50.5</v>
      </c>
      <c r="U669" s="1" t="n">
        <v>250.5</v>
      </c>
      <c r="V669" s="1" t="n">
        <v>626</v>
      </c>
      <c r="W669" s="1" t="n">
        <v>28.4</v>
      </c>
      <c r="X669" s="1" t="n">
        <v>18.6</v>
      </c>
      <c r="Y669" s="1" t="n">
        <v>85</v>
      </c>
      <c r="Z669" s="1" t="n">
        <v>438</v>
      </c>
      <c r="AA669" s="1" t="n">
        <v>124</v>
      </c>
      <c r="AB669" s="7" t="s">
        <v>81</v>
      </c>
      <c r="AC669" s="7" t="s">
        <v>82</v>
      </c>
      <c r="AD669" s="7" t="s">
        <v>83</v>
      </c>
      <c r="AE669" s="7" t="s">
        <v>84</v>
      </c>
      <c r="AF669" s="4" t="n">
        <f aca="false">IF(T669="","",IF(T669&lt;=30,(50/30)*T669,IF(T669&lt;=60,50+((100-50)/(60-30))*(T669-30),IF(T669&lt;=90,100+((200-100)/(90-60))*(T669-60),IF(T669&lt;=120,200+((300-200)/(120-90))*(T669-90),IF(T669&lt;=250,300+((400-300)/(250-120))*(T669-120),IF(T669&lt;=380,400+((500-400)/(380-250))*(T669-250),500)))))))</f>
        <v>84.1666666666667</v>
      </c>
      <c r="AG669" s="4" t="n">
        <f aca="false">IF(U669="","",IF(U669&lt;=50,(50/50)*U669,IF(U669&lt;=100,50+((100-50)/(100-50))*(U669-50),IF(U669&lt;=250,100+((200-100)/(250-100))*(U669-100),IF(U669&lt;=350,200+((300-200)/(350-250))*(U669-250),IF(U669&lt;=430,300+((400-300)/(430-350))*(U669-350),IF(U669&lt;=600,400+((500-400)/(600-430))*(U669-430),500)))))))</f>
        <v>200.5</v>
      </c>
      <c r="AH669" s="4" t="n">
        <f aca="false">IF(V669="","",IF((V669/1000)&lt;=1,(50/1)*(V669/1000),IF((V669/1000)&lt;=2,50+((100-50)/(2-1))*(V669/1000-1),IF((V669/1000)&lt;=10,100+((200-100)/(10-2))*(V669/1000-2),IF((V669/1000)&lt;=17,200+((300-200)/(17-10))*(V669/1000-10),IF((V669/1000)&lt;=34,300+((400-300)/(34-17))*(V669/1000-17),IF((V669/1000)&lt;=57,400+((500-400)/(57-34))*(V669/1000-34),500)))))))</f>
        <v>31.3</v>
      </c>
      <c r="AI669" s="4" t="n">
        <f aca="false">IF(W669="","",IF(W669&lt;=40,(50/40)*W669,IF(W669&lt;=80,50+((100-50)/(80-40))*(W669-40),IF(W669&lt;=180,100+((200-100)/(180-80))*(W669-80),IF(W669&lt;=280,200+((300-200)/(280-180))*(W669-180),IF(W669&lt;=400,300+((400-300)/(400-280))*(W669-280),IF(W669&lt;=800,400+((500-400)/(800-400))*(W669-400),500)))))))</f>
        <v>35.5</v>
      </c>
      <c r="AJ669" s="4" t="n">
        <f aca="false">IF(X669="","",IF(X669&lt;=40,(50/40)*X669,IF(X669&lt;=80,50+((100-50)/(80-40))*(X669-40),IF(X669&lt;=380,100+((200-100)/(380-80))*(X669-80),IF(X669&lt;=800,200+((300-200)/(800-380))*(X669-380),IF(X669&lt;=1600,300+((400-300)/(1600-800))*(X669-800),IF(X669&lt;=2100,400+((500-400)/(2100-1600))*(X669-1600),500)))))))</f>
        <v>23.25</v>
      </c>
      <c r="AK669" s="4" t="n">
        <f aca="false">IF(Y669="","",IF(Y669&lt;=50,(50/50)*Y669,IF(Y669&lt;=100,50+((100-50)/(100-50))*(Y669-50),IF(Y669&lt;=168,100+((200-100)/(168-100))*(Y669-100),IF(Y669&lt;=208,200+((300-200)/(208-168))*(Y669-168),IF(Y669&lt;=748,300+((400-300)/(748-208))*(Y669-208),IF(Y669&lt;=1000,400+((500-400)/(1000-748))*(Y669-748),500)))))))</f>
        <v>85</v>
      </c>
      <c r="AL669" s="4" t="n">
        <f aca="false">ROUND(MAX(AF669,AG669,AH669,AI669,AJ669,AK669),0)</f>
        <v>201</v>
      </c>
      <c r="AM669" s="4" t="str">
        <f aca="false">IF(AL669="","",IF(AL669&lt;=50,"Good",IF(AL669&lt;=100,"Satisfactory",IF(AL669&lt;=200,"Moderate",IF(AL669&lt;=300,"Poor",IF(AL669&lt;=400,"Very Poor","Severe"))))))</f>
        <v>Poor</v>
      </c>
    </row>
    <row r="670" customFormat="false" ht="15.75" hidden="false" customHeight="false" outlineLevel="0" collapsed="false">
      <c r="A670" s="1" t="s">
        <v>39</v>
      </c>
      <c r="B670" s="1" t="s">
        <v>40</v>
      </c>
      <c r="C670" s="1" t="n">
        <v>28.4595</v>
      </c>
      <c r="D670" s="1" t="n">
        <v>77.0266</v>
      </c>
      <c r="E670" s="5" t="n">
        <v>45928</v>
      </c>
      <c r="F670" s="6" t="s">
        <v>73</v>
      </c>
      <c r="G670" s="1" t="n">
        <v>9</v>
      </c>
      <c r="H670" s="7" t="s">
        <v>87</v>
      </c>
      <c r="I670" s="6" t="s">
        <v>46</v>
      </c>
      <c r="J670" s="7" t="s">
        <v>44</v>
      </c>
      <c r="K670" s="7" t="s">
        <v>71</v>
      </c>
      <c r="L670" s="1" t="n">
        <v>70</v>
      </c>
      <c r="M670" s="1" t="n">
        <v>24.5</v>
      </c>
      <c r="N670" s="1" t="n">
        <v>14.4</v>
      </c>
      <c r="O670" s="1" t="n">
        <v>0</v>
      </c>
      <c r="P670" s="6" t="s">
        <v>43</v>
      </c>
      <c r="Q670" s="6" t="s">
        <v>43</v>
      </c>
      <c r="R670" s="1" t="n">
        <v>1005.2</v>
      </c>
      <c r="S670" s="1" t="n">
        <v>1</v>
      </c>
      <c r="T670" s="1" t="n">
        <v>49.7</v>
      </c>
      <c r="U670" s="1" t="n">
        <v>226.3</v>
      </c>
      <c r="V670" s="1" t="n">
        <v>699</v>
      </c>
      <c r="W670" s="1" t="n">
        <v>33.9</v>
      </c>
      <c r="X670" s="1" t="n">
        <v>20.3</v>
      </c>
      <c r="Y670" s="1" t="n">
        <v>68</v>
      </c>
      <c r="Z670" s="1" t="n">
        <v>343</v>
      </c>
      <c r="AA670" s="1" t="n">
        <v>124</v>
      </c>
      <c r="AB670" s="7" t="s">
        <v>81</v>
      </c>
      <c r="AC670" s="7" t="s">
        <v>82</v>
      </c>
      <c r="AD670" s="7" t="s">
        <v>83</v>
      </c>
      <c r="AE670" s="7" t="s">
        <v>84</v>
      </c>
      <c r="AF670" s="4" t="n">
        <f aca="false">IF(T670="","",IF(T670&lt;=30,(50/30)*T670,IF(T670&lt;=60,50+((100-50)/(60-30))*(T670-30),IF(T670&lt;=90,100+((200-100)/(90-60))*(T670-60),IF(T670&lt;=120,200+((300-200)/(120-90))*(T670-90),IF(T670&lt;=250,300+((400-300)/(250-120))*(T670-120),IF(T670&lt;=380,400+((500-400)/(380-250))*(T670-250),500)))))))</f>
        <v>82.8333333333333</v>
      </c>
      <c r="AG670" s="4" t="n">
        <f aca="false">IF(U670="","",IF(U670&lt;=50,(50/50)*U670,IF(U670&lt;=100,50+((100-50)/(100-50))*(U670-50),IF(U670&lt;=250,100+((200-100)/(250-100))*(U670-100),IF(U670&lt;=350,200+((300-200)/(350-250))*(U670-250),IF(U670&lt;=430,300+((400-300)/(430-350))*(U670-350),IF(U670&lt;=600,400+((500-400)/(600-430))*(U670-430),500)))))))</f>
        <v>184.2</v>
      </c>
      <c r="AH670" s="4" t="n">
        <f aca="false">IF(V670="","",IF((V670/1000)&lt;=1,(50/1)*(V670/1000),IF((V670/1000)&lt;=2,50+((100-50)/(2-1))*(V670/1000-1),IF((V670/1000)&lt;=10,100+((200-100)/(10-2))*(V670/1000-2),IF((V670/1000)&lt;=17,200+((300-200)/(17-10))*(V670/1000-10),IF((V670/1000)&lt;=34,300+((400-300)/(34-17))*(V670/1000-17),IF((V670/1000)&lt;=57,400+((500-400)/(57-34))*(V670/1000-34),500)))))))</f>
        <v>34.95</v>
      </c>
      <c r="AI670" s="4" t="n">
        <f aca="false">IF(W670="","",IF(W670&lt;=40,(50/40)*W670,IF(W670&lt;=80,50+((100-50)/(80-40))*(W670-40),IF(W670&lt;=180,100+((200-100)/(180-80))*(W670-80),IF(W670&lt;=280,200+((300-200)/(280-180))*(W670-180),IF(W670&lt;=400,300+((400-300)/(400-280))*(W670-280),IF(W670&lt;=800,400+((500-400)/(800-400))*(W670-400),500)))))))</f>
        <v>42.375</v>
      </c>
      <c r="AJ670" s="4" t="n">
        <f aca="false">IF(X670="","",IF(X670&lt;=40,(50/40)*X670,IF(X670&lt;=80,50+((100-50)/(80-40))*(X670-40),IF(X670&lt;=380,100+((200-100)/(380-80))*(X670-80),IF(X670&lt;=800,200+((300-200)/(800-380))*(X670-380),IF(X670&lt;=1600,300+((400-300)/(1600-800))*(X670-800),IF(X670&lt;=2100,400+((500-400)/(2100-1600))*(X670-1600),500)))))))</f>
        <v>25.375</v>
      </c>
      <c r="AK670" s="4" t="n">
        <f aca="false">IF(Y670="","",IF(Y670&lt;=50,(50/50)*Y670,IF(Y670&lt;=100,50+((100-50)/(100-50))*(Y670-50),IF(Y670&lt;=168,100+((200-100)/(168-100))*(Y670-100),IF(Y670&lt;=208,200+((300-200)/(208-168))*(Y670-168),IF(Y670&lt;=748,300+((400-300)/(748-208))*(Y670-208),IF(Y670&lt;=1000,400+((500-400)/(1000-748))*(Y670-748),500)))))))</f>
        <v>68</v>
      </c>
      <c r="AL670" s="4" t="n">
        <f aca="false">ROUND(MAX(AF670,AG670,AH670,AI670,AJ670,AK670),0)</f>
        <v>184</v>
      </c>
      <c r="AM670" s="4" t="str">
        <f aca="false">IF(AL670="","",IF(AL670&lt;=50,"Good",IF(AL670&lt;=100,"Satisfactory",IF(AL670&lt;=200,"Moderate",IF(AL670&lt;=300,"Poor",IF(AL670&lt;=400,"Very Poor","Severe"))))))</f>
        <v>Moderate</v>
      </c>
    </row>
    <row r="671" customFormat="false" ht="15.75" hidden="false" customHeight="false" outlineLevel="0" collapsed="false">
      <c r="A671" s="1" t="s">
        <v>39</v>
      </c>
      <c r="B671" s="1" t="s">
        <v>40</v>
      </c>
      <c r="C671" s="1" t="n">
        <v>28.4595</v>
      </c>
      <c r="D671" s="1" t="n">
        <v>77.0266</v>
      </c>
      <c r="E671" s="5" t="n">
        <v>45928</v>
      </c>
      <c r="F671" s="6" t="s">
        <v>74</v>
      </c>
      <c r="G671" s="1" t="n">
        <v>9</v>
      </c>
      <c r="H671" s="7" t="s">
        <v>87</v>
      </c>
      <c r="I671" s="6" t="s">
        <v>46</v>
      </c>
      <c r="J671" s="7" t="s">
        <v>44</v>
      </c>
      <c r="K671" s="7" t="s">
        <v>75</v>
      </c>
      <c r="L671" s="1" t="n">
        <v>71</v>
      </c>
      <c r="M671" s="1" t="n">
        <v>24.2</v>
      </c>
      <c r="N671" s="1" t="n">
        <v>15.5</v>
      </c>
      <c r="O671" s="1" t="n">
        <v>0</v>
      </c>
      <c r="P671" s="6" t="s">
        <v>43</v>
      </c>
      <c r="Q671" s="6" t="s">
        <v>43</v>
      </c>
      <c r="R671" s="1" t="n">
        <v>1005.6</v>
      </c>
      <c r="S671" s="1" t="n">
        <v>0</v>
      </c>
      <c r="T671" s="1" t="n">
        <v>48.8</v>
      </c>
      <c r="U671" s="1" t="n">
        <v>205.4</v>
      </c>
      <c r="V671" s="1" t="n">
        <v>713</v>
      </c>
      <c r="W671" s="1" t="n">
        <v>35</v>
      </c>
      <c r="X671" s="1" t="n">
        <v>20.4</v>
      </c>
      <c r="Y671" s="1" t="n">
        <v>60</v>
      </c>
      <c r="Z671" s="1" t="n">
        <v>315</v>
      </c>
      <c r="AA671" s="1" t="n">
        <v>123</v>
      </c>
      <c r="AB671" s="7" t="s">
        <v>81</v>
      </c>
      <c r="AC671" s="7" t="s">
        <v>82</v>
      </c>
      <c r="AD671" s="7" t="s">
        <v>83</v>
      </c>
      <c r="AE671" s="7" t="s">
        <v>84</v>
      </c>
      <c r="AF671" s="4" t="n">
        <f aca="false">IF(T671="","",IF(T671&lt;=30,(50/30)*T671,IF(T671&lt;=60,50+((100-50)/(60-30))*(T671-30),IF(T671&lt;=90,100+((200-100)/(90-60))*(T671-60),IF(T671&lt;=120,200+((300-200)/(120-90))*(T671-90),IF(T671&lt;=250,300+((400-300)/(250-120))*(T671-120),IF(T671&lt;=380,400+((500-400)/(380-250))*(T671-250),500)))))))</f>
        <v>81.3333333333333</v>
      </c>
      <c r="AG671" s="4" t="n">
        <f aca="false">IF(U671="","",IF(U671&lt;=50,(50/50)*U671,IF(U671&lt;=100,50+((100-50)/(100-50))*(U671-50),IF(U671&lt;=250,100+((200-100)/(250-100))*(U671-100),IF(U671&lt;=350,200+((300-200)/(350-250))*(U671-250),IF(U671&lt;=430,300+((400-300)/(430-350))*(U671-350),IF(U671&lt;=600,400+((500-400)/(600-430))*(U671-430),500)))))))</f>
        <v>170.266666666667</v>
      </c>
      <c r="AH671" s="4" t="n">
        <f aca="false">IF(V671="","",IF((V671/1000)&lt;=1,(50/1)*(V671/1000),IF((V671/1000)&lt;=2,50+((100-50)/(2-1))*(V671/1000-1),IF((V671/1000)&lt;=10,100+((200-100)/(10-2))*(V671/1000-2),IF((V671/1000)&lt;=17,200+((300-200)/(17-10))*(V671/1000-10),IF((V671/1000)&lt;=34,300+((400-300)/(34-17))*(V671/1000-17),IF((V671/1000)&lt;=57,400+((500-400)/(57-34))*(V671/1000-34),500)))))))</f>
        <v>35.65</v>
      </c>
      <c r="AI671" s="4" t="n">
        <f aca="false">IF(W671="","",IF(W671&lt;=40,(50/40)*W671,IF(W671&lt;=80,50+((100-50)/(80-40))*(W671-40),IF(W671&lt;=180,100+((200-100)/(180-80))*(W671-80),IF(W671&lt;=280,200+((300-200)/(280-180))*(W671-180),IF(W671&lt;=400,300+((400-300)/(400-280))*(W671-280),IF(W671&lt;=800,400+((500-400)/(800-400))*(W671-400),500)))))))</f>
        <v>43.75</v>
      </c>
      <c r="AJ671" s="4" t="n">
        <f aca="false">IF(X671="","",IF(X671&lt;=40,(50/40)*X671,IF(X671&lt;=80,50+((100-50)/(80-40))*(X671-40),IF(X671&lt;=380,100+((200-100)/(380-80))*(X671-80),IF(X671&lt;=800,200+((300-200)/(800-380))*(X671-380),IF(X671&lt;=1600,300+((400-300)/(1600-800))*(X671-800),IF(X671&lt;=2100,400+((500-400)/(2100-1600))*(X671-1600),500)))))))</f>
        <v>25.5</v>
      </c>
      <c r="AK671" s="4" t="n">
        <f aca="false">IF(Y671="","",IF(Y671&lt;=50,(50/50)*Y671,IF(Y671&lt;=100,50+((100-50)/(100-50))*(Y671-50),IF(Y671&lt;=168,100+((200-100)/(168-100))*(Y671-100),IF(Y671&lt;=208,200+((300-200)/(208-168))*(Y671-168),IF(Y671&lt;=748,300+((400-300)/(748-208))*(Y671-208),IF(Y671&lt;=1000,400+((500-400)/(1000-748))*(Y671-748),500)))))))</f>
        <v>60</v>
      </c>
      <c r="AL671" s="4" t="n">
        <f aca="false">ROUND(MAX(AF671,AG671,AH671,AI671,AJ671,AK671),0)</f>
        <v>170</v>
      </c>
      <c r="AM671" s="4" t="str">
        <f aca="false">IF(AL671="","",IF(AL671&lt;=50,"Good",IF(AL671&lt;=100,"Satisfactory",IF(AL671&lt;=200,"Moderate",IF(AL671&lt;=300,"Poor",IF(AL671&lt;=400,"Very Poor","Severe"))))))</f>
        <v>Moderate</v>
      </c>
    </row>
    <row r="672" customFormat="false" ht="15.75" hidden="false" customHeight="false" outlineLevel="0" collapsed="false">
      <c r="A672" s="1" t="s">
        <v>39</v>
      </c>
      <c r="B672" s="1" t="s">
        <v>40</v>
      </c>
      <c r="C672" s="1" t="n">
        <v>28.4595</v>
      </c>
      <c r="D672" s="1" t="n">
        <v>77.0266</v>
      </c>
      <c r="E672" s="5" t="n">
        <v>45928</v>
      </c>
      <c r="F672" s="6" t="s">
        <v>76</v>
      </c>
      <c r="G672" s="1" t="n">
        <v>9</v>
      </c>
      <c r="H672" s="7" t="s">
        <v>87</v>
      </c>
      <c r="I672" s="6" t="s">
        <v>46</v>
      </c>
      <c r="J672" s="7" t="s">
        <v>44</v>
      </c>
      <c r="K672" s="7" t="s">
        <v>75</v>
      </c>
      <c r="L672" s="1" t="n">
        <v>75</v>
      </c>
      <c r="M672" s="1" t="n">
        <v>24.5</v>
      </c>
      <c r="N672" s="1" t="n">
        <v>15.5</v>
      </c>
      <c r="O672" s="1" t="n">
        <v>0</v>
      </c>
      <c r="P672" s="6" t="s">
        <v>43</v>
      </c>
      <c r="Q672" s="6" t="s">
        <v>43</v>
      </c>
      <c r="R672" s="1" t="n">
        <v>1005.9</v>
      </c>
      <c r="S672" s="1" t="n">
        <v>0</v>
      </c>
      <c r="T672" s="1" t="n">
        <v>49</v>
      </c>
      <c r="U672" s="1" t="n">
        <v>203</v>
      </c>
      <c r="V672" s="1" t="n">
        <v>692</v>
      </c>
      <c r="W672" s="1" t="n">
        <v>33.8</v>
      </c>
      <c r="X672" s="1" t="n">
        <v>19.7</v>
      </c>
      <c r="Y672" s="1" t="n">
        <v>56</v>
      </c>
      <c r="Z672" s="1" t="n">
        <v>320</v>
      </c>
      <c r="AA672" s="1" t="n">
        <v>122</v>
      </c>
      <c r="AB672" s="7" t="s">
        <v>81</v>
      </c>
      <c r="AC672" s="7" t="s">
        <v>82</v>
      </c>
      <c r="AD672" s="7" t="s">
        <v>83</v>
      </c>
      <c r="AE672" s="7" t="s">
        <v>84</v>
      </c>
      <c r="AF672" s="4" t="n">
        <f aca="false">IF(T672="","",IF(T672&lt;=30,(50/30)*T672,IF(T672&lt;=60,50+((100-50)/(60-30))*(T672-30),IF(T672&lt;=90,100+((200-100)/(90-60))*(T672-60),IF(T672&lt;=120,200+((300-200)/(120-90))*(T672-90),IF(T672&lt;=250,300+((400-300)/(250-120))*(T672-120),IF(T672&lt;=380,400+((500-400)/(380-250))*(T672-250),500)))))))</f>
        <v>81.6666666666667</v>
      </c>
      <c r="AG672" s="4" t="n">
        <f aca="false">IF(U672="","",IF(U672&lt;=50,(50/50)*U672,IF(U672&lt;=100,50+((100-50)/(100-50))*(U672-50),IF(U672&lt;=250,100+((200-100)/(250-100))*(U672-100),IF(U672&lt;=350,200+((300-200)/(350-250))*(U672-250),IF(U672&lt;=430,300+((400-300)/(430-350))*(U672-350),IF(U672&lt;=600,400+((500-400)/(600-430))*(U672-430),500)))))))</f>
        <v>168.666666666667</v>
      </c>
      <c r="AH672" s="4" t="n">
        <f aca="false">IF(V672="","",IF((V672/1000)&lt;=1,(50/1)*(V672/1000),IF((V672/1000)&lt;=2,50+((100-50)/(2-1))*(V672/1000-1),IF((V672/1000)&lt;=10,100+((200-100)/(10-2))*(V672/1000-2),IF((V672/1000)&lt;=17,200+((300-200)/(17-10))*(V672/1000-10),IF((V672/1000)&lt;=34,300+((400-300)/(34-17))*(V672/1000-17),IF((V672/1000)&lt;=57,400+((500-400)/(57-34))*(V672/1000-34),500)))))))</f>
        <v>34.6</v>
      </c>
      <c r="AI672" s="4" t="n">
        <f aca="false">IF(W672="","",IF(W672&lt;=40,(50/40)*W672,IF(W672&lt;=80,50+((100-50)/(80-40))*(W672-40),IF(W672&lt;=180,100+((200-100)/(180-80))*(W672-80),IF(W672&lt;=280,200+((300-200)/(280-180))*(W672-180),IF(W672&lt;=400,300+((400-300)/(400-280))*(W672-280),IF(W672&lt;=800,400+((500-400)/(800-400))*(W672-400),500)))))))</f>
        <v>42.25</v>
      </c>
      <c r="AJ672" s="4" t="n">
        <f aca="false">IF(X672="","",IF(X672&lt;=40,(50/40)*X672,IF(X672&lt;=80,50+((100-50)/(80-40))*(X672-40),IF(X672&lt;=380,100+((200-100)/(380-80))*(X672-80),IF(X672&lt;=800,200+((300-200)/(800-380))*(X672-380),IF(X672&lt;=1600,300+((400-300)/(1600-800))*(X672-800),IF(X672&lt;=2100,400+((500-400)/(2100-1600))*(X672-1600),500)))))))</f>
        <v>24.625</v>
      </c>
      <c r="AK672" s="4" t="n">
        <f aca="false">IF(Y672="","",IF(Y672&lt;=50,(50/50)*Y672,IF(Y672&lt;=100,50+((100-50)/(100-50))*(Y672-50),IF(Y672&lt;=168,100+((200-100)/(168-100))*(Y672-100),IF(Y672&lt;=208,200+((300-200)/(208-168))*(Y672-168),IF(Y672&lt;=748,300+((400-300)/(748-208))*(Y672-208),IF(Y672&lt;=1000,400+((500-400)/(1000-748))*(Y672-748),500)))))))</f>
        <v>56</v>
      </c>
      <c r="AL672" s="4" t="n">
        <f aca="false">ROUND(MAX(AF672,AG672,AH672,AI672,AJ672,AK672),0)</f>
        <v>169</v>
      </c>
      <c r="AM672" s="4" t="str">
        <f aca="false">IF(AL672="","",IF(AL672&lt;=50,"Good",IF(AL672&lt;=100,"Satisfactory",IF(AL672&lt;=200,"Moderate",IF(AL672&lt;=300,"Poor",IF(AL672&lt;=400,"Very Poor","Severe"))))))</f>
        <v>Moderate</v>
      </c>
    </row>
    <row r="673" customFormat="false" ht="15.75" hidden="false" customHeight="false" outlineLevel="0" collapsed="false">
      <c r="A673" s="1" t="s">
        <v>39</v>
      </c>
      <c r="B673" s="1" t="s">
        <v>40</v>
      </c>
      <c r="C673" s="1" t="n">
        <v>28.4595</v>
      </c>
      <c r="D673" s="1" t="n">
        <v>77.0266</v>
      </c>
      <c r="E673" s="5" t="n">
        <v>45928</v>
      </c>
      <c r="F673" s="6" t="s">
        <v>77</v>
      </c>
      <c r="G673" s="1" t="n">
        <v>9</v>
      </c>
      <c r="H673" s="7" t="s">
        <v>87</v>
      </c>
      <c r="I673" s="6" t="s">
        <v>46</v>
      </c>
      <c r="J673" s="7" t="s">
        <v>44</v>
      </c>
      <c r="K673" s="7" t="s">
        <v>75</v>
      </c>
      <c r="L673" s="1" t="n">
        <v>79</v>
      </c>
      <c r="M673" s="1" t="n">
        <v>24.7</v>
      </c>
      <c r="N673" s="1" t="n">
        <v>15.1</v>
      </c>
      <c r="O673" s="1" t="n">
        <v>0</v>
      </c>
      <c r="P673" s="6" t="s">
        <v>43</v>
      </c>
      <c r="Q673" s="6" t="s">
        <v>43</v>
      </c>
      <c r="R673" s="1" t="n">
        <v>1005.7</v>
      </c>
      <c r="S673" s="1" t="n">
        <v>0</v>
      </c>
      <c r="T673" s="1" t="n">
        <v>49.5</v>
      </c>
      <c r="U673" s="1" t="n">
        <v>217.5</v>
      </c>
      <c r="V673" s="1" t="n">
        <v>647</v>
      </c>
      <c r="W673" s="1" t="n">
        <v>31.8</v>
      </c>
      <c r="X673" s="1" t="n">
        <v>19</v>
      </c>
      <c r="Y673" s="1" t="n">
        <v>54</v>
      </c>
      <c r="Z673" s="1" t="n">
        <v>325</v>
      </c>
      <c r="AA673" s="1" t="n">
        <v>122</v>
      </c>
      <c r="AB673" s="7" t="s">
        <v>81</v>
      </c>
      <c r="AC673" s="7" t="s">
        <v>82</v>
      </c>
      <c r="AD673" s="7" t="s">
        <v>83</v>
      </c>
      <c r="AE673" s="7" t="s">
        <v>84</v>
      </c>
      <c r="AF673" s="4" t="n">
        <f aca="false">IF(T673="","",IF(T673&lt;=30,(50/30)*T673,IF(T673&lt;=60,50+((100-50)/(60-30))*(T673-30),IF(T673&lt;=90,100+((200-100)/(90-60))*(T673-60),IF(T673&lt;=120,200+((300-200)/(120-90))*(T673-90),IF(T673&lt;=250,300+((400-300)/(250-120))*(T673-120),IF(T673&lt;=380,400+((500-400)/(380-250))*(T673-250),500)))))))</f>
        <v>82.5</v>
      </c>
      <c r="AG673" s="4" t="n">
        <f aca="false">IF(U673="","",IF(U673&lt;=50,(50/50)*U673,IF(U673&lt;=100,50+((100-50)/(100-50))*(U673-50),IF(U673&lt;=250,100+((200-100)/(250-100))*(U673-100),IF(U673&lt;=350,200+((300-200)/(350-250))*(U673-250),IF(U673&lt;=430,300+((400-300)/(430-350))*(U673-350),IF(U673&lt;=600,400+((500-400)/(600-430))*(U673-430),500)))))))</f>
        <v>178.333333333333</v>
      </c>
      <c r="AH673" s="4" t="n">
        <f aca="false">IF(V673="","",IF((V673/1000)&lt;=1,(50/1)*(V673/1000),IF((V673/1000)&lt;=2,50+((100-50)/(2-1))*(V673/1000-1),IF((V673/1000)&lt;=10,100+((200-100)/(10-2))*(V673/1000-2),IF((V673/1000)&lt;=17,200+((300-200)/(17-10))*(V673/1000-10),IF((V673/1000)&lt;=34,300+((400-300)/(34-17))*(V673/1000-17),IF((V673/1000)&lt;=57,400+((500-400)/(57-34))*(V673/1000-34),500)))))))</f>
        <v>32.35</v>
      </c>
      <c r="AI673" s="4" t="n">
        <f aca="false">IF(W673="","",IF(W673&lt;=40,(50/40)*W673,IF(W673&lt;=80,50+((100-50)/(80-40))*(W673-40),IF(W673&lt;=180,100+((200-100)/(180-80))*(W673-80),IF(W673&lt;=280,200+((300-200)/(280-180))*(W673-180),IF(W673&lt;=400,300+((400-300)/(400-280))*(W673-280),IF(W673&lt;=800,400+((500-400)/(800-400))*(W673-400),500)))))))</f>
        <v>39.75</v>
      </c>
      <c r="AJ673" s="4" t="n">
        <f aca="false">IF(X673="","",IF(X673&lt;=40,(50/40)*X673,IF(X673&lt;=80,50+((100-50)/(80-40))*(X673-40),IF(X673&lt;=380,100+((200-100)/(380-80))*(X673-80),IF(X673&lt;=800,200+((300-200)/(800-380))*(X673-380),IF(X673&lt;=1600,300+((400-300)/(1600-800))*(X673-800),IF(X673&lt;=2100,400+((500-400)/(2100-1600))*(X673-1600),500)))))))</f>
        <v>23.75</v>
      </c>
      <c r="AK673" s="4" t="n">
        <f aca="false">IF(Y673="","",IF(Y673&lt;=50,(50/50)*Y673,IF(Y673&lt;=100,50+((100-50)/(100-50))*(Y673-50),IF(Y673&lt;=168,100+((200-100)/(168-100))*(Y673-100),IF(Y673&lt;=208,200+((300-200)/(208-168))*(Y673-168),IF(Y673&lt;=748,300+((400-300)/(748-208))*(Y673-208),IF(Y673&lt;=1000,400+((500-400)/(1000-748))*(Y673-748),500)))))))</f>
        <v>54</v>
      </c>
      <c r="AL673" s="4" t="n">
        <f aca="false">ROUND(MAX(AF673,AG673,AH673,AI673,AJ673,AK673),0)</f>
        <v>178</v>
      </c>
      <c r="AM673" s="4" t="str">
        <f aca="false">IF(AL673="","",IF(AL673&lt;=50,"Good",IF(AL673&lt;=100,"Satisfactory",IF(AL673&lt;=200,"Moderate",IF(AL673&lt;=300,"Poor",IF(AL673&lt;=400,"Very Poor","Severe"))))))</f>
        <v>Moderate</v>
      </c>
    </row>
    <row r="674" customFormat="false" ht="15.75" hidden="false" customHeight="false" outlineLevel="0" collapsed="false">
      <c r="A674" s="1" t="s">
        <v>39</v>
      </c>
      <c r="B674" s="1" t="s">
        <v>40</v>
      </c>
      <c r="C674" s="1" t="n">
        <v>28.4595</v>
      </c>
      <c r="D674" s="1" t="n">
        <v>77.0266</v>
      </c>
      <c r="E674" s="5" t="n">
        <v>45929</v>
      </c>
      <c r="F674" s="6" t="s">
        <v>41</v>
      </c>
      <c r="G674" s="1" t="n">
        <v>9</v>
      </c>
      <c r="H674" s="7" t="s">
        <v>42</v>
      </c>
      <c r="I674" s="6" t="s">
        <v>43</v>
      </c>
      <c r="J674" s="7" t="s">
        <v>44</v>
      </c>
      <c r="K674" s="7" t="s">
        <v>45</v>
      </c>
      <c r="L674" s="1" t="n">
        <v>82</v>
      </c>
      <c r="M674" s="1" t="n">
        <v>24.8</v>
      </c>
      <c r="N674" s="1" t="n">
        <v>16.6</v>
      </c>
      <c r="O674" s="1" t="n">
        <v>0</v>
      </c>
      <c r="P674" s="6" t="s">
        <v>43</v>
      </c>
      <c r="Q674" s="6" t="s">
        <v>43</v>
      </c>
      <c r="R674" s="1" t="n">
        <v>1005.7</v>
      </c>
      <c r="S674" s="1" t="n">
        <v>0</v>
      </c>
      <c r="T674" s="1" t="n">
        <v>49.4</v>
      </c>
      <c r="U674" s="1" t="n">
        <v>234.7</v>
      </c>
      <c r="V674" s="1" t="n">
        <v>567</v>
      </c>
      <c r="W674" s="1" t="n">
        <v>28.7</v>
      </c>
      <c r="X674" s="1" t="n">
        <v>18.5</v>
      </c>
      <c r="Y674" s="1" t="n">
        <v>54</v>
      </c>
      <c r="Z674" s="1" t="n">
        <v>328</v>
      </c>
      <c r="AA674" s="1" t="n">
        <v>121</v>
      </c>
      <c r="AB674" s="7" t="s">
        <v>81</v>
      </c>
      <c r="AC674" s="7" t="s">
        <v>82</v>
      </c>
      <c r="AD674" s="7" t="s">
        <v>83</v>
      </c>
      <c r="AE674" s="7" t="s">
        <v>84</v>
      </c>
      <c r="AF674" s="4" t="n">
        <f aca="false">IF(T674="","",IF(T674&lt;=30,(50/30)*T674,IF(T674&lt;=60,50+((100-50)/(60-30))*(T674-30),IF(T674&lt;=90,100+((200-100)/(90-60))*(T674-60),IF(T674&lt;=120,200+((300-200)/(120-90))*(T674-90),IF(T674&lt;=250,300+((400-300)/(250-120))*(T674-120),IF(T674&lt;=380,400+((500-400)/(380-250))*(T674-250),500)))))))</f>
        <v>82.3333333333333</v>
      </c>
      <c r="AG674" s="4" t="n">
        <f aca="false">IF(U674="","",IF(U674&lt;=50,(50/50)*U674,IF(U674&lt;=100,50+((100-50)/(100-50))*(U674-50),IF(U674&lt;=250,100+((200-100)/(250-100))*(U674-100),IF(U674&lt;=350,200+((300-200)/(350-250))*(U674-250),IF(U674&lt;=430,300+((400-300)/(430-350))*(U674-350),IF(U674&lt;=600,400+((500-400)/(600-430))*(U674-430),500)))))))</f>
        <v>189.8</v>
      </c>
      <c r="AH674" s="4" t="n">
        <f aca="false">IF(V674="","",IF((V674/1000)&lt;=1,(50/1)*(V674/1000),IF((V674/1000)&lt;=2,50+((100-50)/(2-1))*(V674/1000-1),IF((V674/1000)&lt;=10,100+((200-100)/(10-2))*(V674/1000-2),IF((V674/1000)&lt;=17,200+((300-200)/(17-10))*(V674/1000-10),IF((V674/1000)&lt;=34,300+((400-300)/(34-17))*(V674/1000-17),IF((V674/1000)&lt;=57,400+((500-400)/(57-34))*(V674/1000-34),500)))))))</f>
        <v>28.35</v>
      </c>
      <c r="AI674" s="4" t="n">
        <f aca="false">IF(W674="","",IF(W674&lt;=40,(50/40)*W674,IF(W674&lt;=80,50+((100-50)/(80-40))*(W674-40),IF(W674&lt;=180,100+((200-100)/(180-80))*(W674-80),IF(W674&lt;=280,200+((300-200)/(280-180))*(W674-180),IF(W674&lt;=400,300+((400-300)/(400-280))*(W674-280),IF(W674&lt;=800,400+((500-400)/(800-400))*(W674-400),500)))))))</f>
        <v>35.875</v>
      </c>
      <c r="AJ674" s="4" t="n">
        <f aca="false">IF(X674="","",IF(X674&lt;=40,(50/40)*X674,IF(X674&lt;=80,50+((100-50)/(80-40))*(X674-40),IF(X674&lt;=380,100+((200-100)/(380-80))*(X674-80),IF(X674&lt;=800,200+((300-200)/(800-380))*(X674-380),IF(X674&lt;=1600,300+((400-300)/(1600-800))*(X674-800),IF(X674&lt;=2100,400+((500-400)/(2100-1600))*(X674-1600),500)))))))</f>
        <v>23.125</v>
      </c>
      <c r="AK674" s="4" t="n">
        <f aca="false">IF(Y674="","",IF(Y674&lt;=50,(50/50)*Y674,IF(Y674&lt;=100,50+((100-50)/(100-50))*(Y674-50),IF(Y674&lt;=168,100+((200-100)/(168-100))*(Y674-100),IF(Y674&lt;=208,200+((300-200)/(208-168))*(Y674-168),IF(Y674&lt;=748,300+((400-300)/(748-208))*(Y674-208),IF(Y674&lt;=1000,400+((500-400)/(1000-748))*(Y674-748),500)))))))</f>
        <v>54</v>
      </c>
      <c r="AL674" s="4" t="n">
        <f aca="false">ROUND(MAX(AF674,AG674,AH674,AI674,AJ674,AK674),0)</f>
        <v>190</v>
      </c>
      <c r="AM674" s="4" t="str">
        <f aca="false">IF(AL674="","",IF(AL674&lt;=50,"Good",IF(AL674&lt;=100,"Satisfactory",IF(AL674&lt;=200,"Moderate",IF(AL674&lt;=300,"Poor",IF(AL674&lt;=400,"Very Poor","Severe"))))))</f>
        <v>Moderate</v>
      </c>
    </row>
    <row r="675" customFormat="false" ht="15.75" hidden="false" customHeight="false" outlineLevel="0" collapsed="false">
      <c r="A675" s="1" t="s">
        <v>39</v>
      </c>
      <c r="B675" s="1" t="s">
        <v>40</v>
      </c>
      <c r="C675" s="1" t="n">
        <v>28.4595</v>
      </c>
      <c r="D675" s="1" t="n">
        <v>77.0266</v>
      </c>
      <c r="E675" s="5" t="n">
        <v>45929</v>
      </c>
      <c r="F675" s="6" t="s">
        <v>49</v>
      </c>
      <c r="G675" s="1" t="n">
        <v>9</v>
      </c>
      <c r="H675" s="7" t="s">
        <v>42</v>
      </c>
      <c r="I675" s="6" t="s">
        <v>43</v>
      </c>
      <c r="J675" s="7" t="s">
        <v>44</v>
      </c>
      <c r="K675" s="7" t="s">
        <v>45</v>
      </c>
      <c r="L675" s="1" t="n">
        <v>82</v>
      </c>
      <c r="M675" s="1" t="n">
        <v>24.6</v>
      </c>
      <c r="N675" s="1" t="n">
        <v>19.1</v>
      </c>
      <c r="O675" s="1" t="n">
        <v>0</v>
      </c>
      <c r="P675" s="6" t="s">
        <v>43</v>
      </c>
      <c r="Q675" s="6" t="s">
        <v>43</v>
      </c>
      <c r="R675" s="1" t="n">
        <v>1005.5</v>
      </c>
      <c r="S675" s="1" t="n">
        <v>0</v>
      </c>
      <c r="T675" s="1" t="n">
        <v>48.9</v>
      </c>
      <c r="U675" s="1" t="n">
        <v>233.8</v>
      </c>
      <c r="V675" s="1" t="n">
        <v>465</v>
      </c>
      <c r="W675" s="1" t="n">
        <v>24.7</v>
      </c>
      <c r="X675" s="1" t="n">
        <v>18</v>
      </c>
      <c r="Y675" s="1" t="n">
        <v>55</v>
      </c>
      <c r="Z675" s="1" t="n">
        <v>332</v>
      </c>
      <c r="AA675" s="1" t="n">
        <v>121</v>
      </c>
      <c r="AB675" s="7" t="s">
        <v>81</v>
      </c>
      <c r="AC675" s="7" t="s">
        <v>82</v>
      </c>
      <c r="AD675" s="7" t="s">
        <v>83</v>
      </c>
      <c r="AE675" s="7" t="s">
        <v>84</v>
      </c>
      <c r="AF675" s="4" t="n">
        <f aca="false">IF(T675="","",IF(T675&lt;=30,(50/30)*T675,IF(T675&lt;=60,50+((100-50)/(60-30))*(T675-30),IF(T675&lt;=90,100+((200-100)/(90-60))*(T675-60),IF(T675&lt;=120,200+((300-200)/(120-90))*(T675-90),IF(T675&lt;=250,300+((400-300)/(250-120))*(T675-120),IF(T675&lt;=380,400+((500-400)/(380-250))*(T675-250),500)))))))</f>
        <v>81.5</v>
      </c>
      <c r="AG675" s="4" t="n">
        <f aca="false">IF(U675="","",IF(U675&lt;=50,(50/50)*U675,IF(U675&lt;=100,50+((100-50)/(100-50))*(U675-50),IF(U675&lt;=250,100+((200-100)/(250-100))*(U675-100),IF(U675&lt;=350,200+((300-200)/(350-250))*(U675-250),IF(U675&lt;=430,300+((400-300)/(430-350))*(U675-350),IF(U675&lt;=600,400+((500-400)/(600-430))*(U675-430),500)))))))</f>
        <v>189.2</v>
      </c>
      <c r="AH675" s="4" t="n">
        <f aca="false">IF(V675="","",IF((V675/1000)&lt;=1,(50/1)*(V675/1000),IF((V675/1000)&lt;=2,50+((100-50)/(2-1))*(V675/1000-1),IF((V675/1000)&lt;=10,100+((200-100)/(10-2))*(V675/1000-2),IF((V675/1000)&lt;=17,200+((300-200)/(17-10))*(V675/1000-10),IF((V675/1000)&lt;=34,300+((400-300)/(34-17))*(V675/1000-17),IF((V675/1000)&lt;=57,400+((500-400)/(57-34))*(V675/1000-34),500)))))))</f>
        <v>23.25</v>
      </c>
      <c r="AI675" s="4" t="n">
        <f aca="false">IF(W675="","",IF(W675&lt;=40,(50/40)*W675,IF(W675&lt;=80,50+((100-50)/(80-40))*(W675-40),IF(W675&lt;=180,100+((200-100)/(180-80))*(W675-80),IF(W675&lt;=280,200+((300-200)/(280-180))*(W675-180),IF(W675&lt;=400,300+((400-300)/(400-280))*(W675-280),IF(W675&lt;=800,400+((500-400)/(800-400))*(W675-400),500)))))))</f>
        <v>30.875</v>
      </c>
      <c r="AJ675" s="4" t="n">
        <f aca="false">IF(X675="","",IF(X675&lt;=40,(50/40)*X675,IF(X675&lt;=80,50+((100-50)/(80-40))*(X675-40),IF(X675&lt;=380,100+((200-100)/(380-80))*(X675-80),IF(X675&lt;=800,200+((300-200)/(800-380))*(X675-380),IF(X675&lt;=1600,300+((400-300)/(1600-800))*(X675-800),IF(X675&lt;=2100,400+((500-400)/(2100-1600))*(X675-1600),500)))))))</f>
        <v>22.5</v>
      </c>
      <c r="AK675" s="4" t="n">
        <f aca="false">IF(Y675="","",IF(Y675&lt;=50,(50/50)*Y675,IF(Y675&lt;=100,50+((100-50)/(100-50))*(Y675-50),IF(Y675&lt;=168,100+((200-100)/(168-100))*(Y675-100),IF(Y675&lt;=208,200+((300-200)/(208-168))*(Y675-168),IF(Y675&lt;=748,300+((400-300)/(748-208))*(Y675-208),IF(Y675&lt;=1000,400+((500-400)/(1000-748))*(Y675-748),500)))))))</f>
        <v>55</v>
      </c>
      <c r="AL675" s="4" t="n">
        <f aca="false">ROUND(MAX(AF675,AG675,AH675,AI675,AJ675,AK675),0)</f>
        <v>189</v>
      </c>
      <c r="AM675" s="4" t="str">
        <f aca="false">IF(AL675="","",IF(AL675&lt;=50,"Good",IF(AL675&lt;=100,"Satisfactory",IF(AL675&lt;=200,"Moderate",IF(AL675&lt;=300,"Poor",IF(AL675&lt;=400,"Very Poor","Severe"))))))</f>
        <v>Moderate</v>
      </c>
    </row>
    <row r="676" customFormat="false" ht="15.75" hidden="false" customHeight="false" outlineLevel="0" collapsed="false">
      <c r="A676" s="1" t="s">
        <v>39</v>
      </c>
      <c r="B676" s="1" t="s">
        <v>40</v>
      </c>
      <c r="C676" s="1" t="n">
        <v>28.4595</v>
      </c>
      <c r="D676" s="1" t="n">
        <v>77.0266</v>
      </c>
      <c r="E676" s="5" t="n">
        <v>45929</v>
      </c>
      <c r="F676" s="6" t="s">
        <v>51</v>
      </c>
      <c r="G676" s="1" t="n">
        <v>9</v>
      </c>
      <c r="H676" s="7" t="s">
        <v>42</v>
      </c>
      <c r="I676" s="6" t="s">
        <v>43</v>
      </c>
      <c r="J676" s="7" t="s">
        <v>44</v>
      </c>
      <c r="K676" s="7" t="s">
        <v>45</v>
      </c>
      <c r="L676" s="1" t="n">
        <v>83</v>
      </c>
      <c r="M676" s="1" t="n">
        <v>24.3</v>
      </c>
      <c r="N676" s="1" t="n">
        <v>19.1</v>
      </c>
      <c r="O676" s="1" t="n">
        <v>0</v>
      </c>
      <c r="P676" s="6" t="s">
        <v>43</v>
      </c>
      <c r="Q676" s="6" t="s">
        <v>43</v>
      </c>
      <c r="R676" s="1" t="n">
        <v>1005.6</v>
      </c>
      <c r="S676" s="1" t="n">
        <v>0</v>
      </c>
      <c r="T676" s="1" t="n">
        <v>46.6</v>
      </c>
      <c r="U676" s="1" t="n">
        <v>209.1</v>
      </c>
      <c r="V676" s="1" t="n">
        <v>390</v>
      </c>
      <c r="W676" s="1" t="n">
        <v>22.1</v>
      </c>
      <c r="X676" s="1" t="n">
        <v>18</v>
      </c>
      <c r="Y676" s="1" t="n">
        <v>54</v>
      </c>
      <c r="Z676" s="1" t="n">
        <v>313</v>
      </c>
      <c r="AA676" s="1" t="n">
        <v>123</v>
      </c>
      <c r="AB676" s="7" t="s">
        <v>81</v>
      </c>
      <c r="AC676" s="7" t="s">
        <v>82</v>
      </c>
      <c r="AD676" s="7" t="s">
        <v>83</v>
      </c>
      <c r="AE676" s="7" t="s">
        <v>84</v>
      </c>
      <c r="AF676" s="4" t="n">
        <f aca="false">IF(T676="","",IF(T676&lt;=30,(50/30)*T676,IF(T676&lt;=60,50+((100-50)/(60-30))*(T676-30),IF(T676&lt;=90,100+((200-100)/(90-60))*(T676-60),IF(T676&lt;=120,200+((300-200)/(120-90))*(T676-90),IF(T676&lt;=250,300+((400-300)/(250-120))*(T676-120),IF(T676&lt;=380,400+((500-400)/(380-250))*(T676-250),500)))))))</f>
        <v>77.6666666666667</v>
      </c>
      <c r="AG676" s="4" t="n">
        <f aca="false">IF(U676="","",IF(U676&lt;=50,(50/50)*U676,IF(U676&lt;=100,50+((100-50)/(100-50))*(U676-50),IF(U676&lt;=250,100+((200-100)/(250-100))*(U676-100),IF(U676&lt;=350,200+((300-200)/(350-250))*(U676-250),IF(U676&lt;=430,300+((400-300)/(430-350))*(U676-350),IF(U676&lt;=600,400+((500-400)/(600-430))*(U676-430),500)))))))</f>
        <v>172.733333333333</v>
      </c>
      <c r="AH676" s="4" t="n">
        <f aca="false">IF(V676="","",IF((V676/1000)&lt;=1,(50/1)*(V676/1000),IF((V676/1000)&lt;=2,50+((100-50)/(2-1))*(V676/1000-1),IF((V676/1000)&lt;=10,100+((200-100)/(10-2))*(V676/1000-2),IF((V676/1000)&lt;=17,200+((300-200)/(17-10))*(V676/1000-10),IF((V676/1000)&lt;=34,300+((400-300)/(34-17))*(V676/1000-17),IF((V676/1000)&lt;=57,400+((500-400)/(57-34))*(V676/1000-34),500)))))))</f>
        <v>19.5</v>
      </c>
      <c r="AI676" s="4" t="n">
        <f aca="false">IF(W676="","",IF(W676&lt;=40,(50/40)*W676,IF(W676&lt;=80,50+((100-50)/(80-40))*(W676-40),IF(W676&lt;=180,100+((200-100)/(180-80))*(W676-80),IF(W676&lt;=280,200+((300-200)/(280-180))*(W676-180),IF(W676&lt;=400,300+((400-300)/(400-280))*(W676-280),IF(W676&lt;=800,400+((500-400)/(800-400))*(W676-400),500)))))))</f>
        <v>27.625</v>
      </c>
      <c r="AJ676" s="4" t="n">
        <f aca="false">IF(X676="","",IF(X676&lt;=40,(50/40)*X676,IF(X676&lt;=80,50+((100-50)/(80-40))*(X676-40),IF(X676&lt;=380,100+((200-100)/(380-80))*(X676-80),IF(X676&lt;=800,200+((300-200)/(800-380))*(X676-380),IF(X676&lt;=1600,300+((400-300)/(1600-800))*(X676-800),IF(X676&lt;=2100,400+((500-400)/(2100-1600))*(X676-1600),500)))))))</f>
        <v>22.5</v>
      </c>
      <c r="AK676" s="4" t="n">
        <f aca="false">IF(Y676="","",IF(Y676&lt;=50,(50/50)*Y676,IF(Y676&lt;=100,50+((100-50)/(100-50))*(Y676-50),IF(Y676&lt;=168,100+((200-100)/(168-100))*(Y676-100),IF(Y676&lt;=208,200+((300-200)/(208-168))*(Y676-168),IF(Y676&lt;=748,300+((400-300)/(748-208))*(Y676-208),IF(Y676&lt;=1000,400+((500-400)/(1000-748))*(Y676-748),500)))))))</f>
        <v>54</v>
      </c>
      <c r="AL676" s="4" t="n">
        <f aca="false">ROUND(MAX(AF676,AG676,AH676,AI676,AJ676,AK676),0)</f>
        <v>173</v>
      </c>
      <c r="AM676" s="4" t="str">
        <f aca="false">IF(AL676="","",IF(AL676&lt;=50,"Good",IF(AL676&lt;=100,"Satisfactory",IF(AL676&lt;=200,"Moderate",IF(AL676&lt;=300,"Poor",IF(AL676&lt;=400,"Very Poor","Severe"))))))</f>
        <v>Moderate</v>
      </c>
    </row>
    <row r="677" customFormat="false" ht="15.75" hidden="false" customHeight="false" outlineLevel="0" collapsed="false">
      <c r="A677" s="1" t="s">
        <v>39</v>
      </c>
      <c r="B677" s="1" t="s">
        <v>40</v>
      </c>
      <c r="C677" s="1" t="n">
        <v>28.4595</v>
      </c>
      <c r="D677" s="1" t="n">
        <v>77.0266</v>
      </c>
      <c r="E677" s="5" t="n">
        <v>45929</v>
      </c>
      <c r="F677" s="6" t="s">
        <v>52</v>
      </c>
      <c r="G677" s="1" t="n">
        <v>9</v>
      </c>
      <c r="H677" s="7" t="s">
        <v>42</v>
      </c>
      <c r="I677" s="6" t="s">
        <v>43</v>
      </c>
      <c r="J677" s="7" t="s">
        <v>44</v>
      </c>
      <c r="K677" s="7" t="s">
        <v>45</v>
      </c>
      <c r="L677" s="1" t="n">
        <v>85</v>
      </c>
      <c r="M677" s="1" t="n">
        <v>24.2</v>
      </c>
      <c r="N677" s="1" t="n">
        <v>18.4</v>
      </c>
      <c r="O677" s="1" t="n">
        <v>0</v>
      </c>
      <c r="P677" s="6" t="s">
        <v>43</v>
      </c>
      <c r="Q677" s="6" t="s">
        <v>43</v>
      </c>
      <c r="R677" s="1" t="n">
        <v>1005.5</v>
      </c>
      <c r="S677" s="1" t="n">
        <v>0</v>
      </c>
      <c r="T677" s="1" t="n">
        <v>42</v>
      </c>
      <c r="U677" s="1" t="n">
        <v>156.9</v>
      </c>
      <c r="V677" s="1" t="n">
        <v>361</v>
      </c>
      <c r="W677" s="1" t="n">
        <v>22.1</v>
      </c>
      <c r="X677" s="1" t="n">
        <v>18.7</v>
      </c>
      <c r="Y677" s="1" t="n">
        <v>49</v>
      </c>
      <c r="Z677" s="1" t="n">
        <v>240</v>
      </c>
      <c r="AA677" s="1" t="n">
        <v>126</v>
      </c>
      <c r="AB677" s="7" t="s">
        <v>81</v>
      </c>
      <c r="AC677" s="7" t="s">
        <v>82</v>
      </c>
      <c r="AD677" s="7" t="s">
        <v>83</v>
      </c>
      <c r="AE677" s="7" t="s">
        <v>84</v>
      </c>
      <c r="AF677" s="4" t="n">
        <f aca="false">IF(T677="","",IF(T677&lt;=30,(50/30)*T677,IF(T677&lt;=60,50+((100-50)/(60-30))*(T677-30),IF(T677&lt;=90,100+((200-100)/(90-60))*(T677-60),IF(T677&lt;=120,200+((300-200)/(120-90))*(T677-90),IF(T677&lt;=250,300+((400-300)/(250-120))*(T677-120),IF(T677&lt;=380,400+((500-400)/(380-250))*(T677-250),500)))))))</f>
        <v>70</v>
      </c>
      <c r="AG677" s="4" t="n">
        <f aca="false">IF(U677="","",IF(U677&lt;=50,(50/50)*U677,IF(U677&lt;=100,50+((100-50)/(100-50))*(U677-50),IF(U677&lt;=250,100+((200-100)/(250-100))*(U677-100),IF(U677&lt;=350,200+((300-200)/(350-250))*(U677-250),IF(U677&lt;=430,300+((400-300)/(430-350))*(U677-350),IF(U677&lt;=600,400+((500-400)/(600-430))*(U677-430),500)))))))</f>
        <v>137.933333333333</v>
      </c>
      <c r="AH677" s="4" t="n">
        <f aca="false">IF(V677="","",IF((V677/1000)&lt;=1,(50/1)*(V677/1000),IF((V677/1000)&lt;=2,50+((100-50)/(2-1))*(V677/1000-1),IF((V677/1000)&lt;=10,100+((200-100)/(10-2))*(V677/1000-2),IF((V677/1000)&lt;=17,200+((300-200)/(17-10))*(V677/1000-10),IF((V677/1000)&lt;=34,300+((400-300)/(34-17))*(V677/1000-17),IF((V677/1000)&lt;=57,400+((500-400)/(57-34))*(V677/1000-34),500)))))))</f>
        <v>18.05</v>
      </c>
      <c r="AI677" s="4" t="n">
        <f aca="false">IF(W677="","",IF(W677&lt;=40,(50/40)*W677,IF(W677&lt;=80,50+((100-50)/(80-40))*(W677-40),IF(W677&lt;=180,100+((200-100)/(180-80))*(W677-80),IF(W677&lt;=280,200+((300-200)/(280-180))*(W677-180),IF(W677&lt;=400,300+((400-300)/(400-280))*(W677-280),IF(W677&lt;=800,400+((500-400)/(800-400))*(W677-400),500)))))))</f>
        <v>27.625</v>
      </c>
      <c r="AJ677" s="4" t="n">
        <f aca="false">IF(X677="","",IF(X677&lt;=40,(50/40)*X677,IF(X677&lt;=80,50+((100-50)/(80-40))*(X677-40),IF(X677&lt;=380,100+((200-100)/(380-80))*(X677-80),IF(X677&lt;=800,200+((300-200)/(800-380))*(X677-380),IF(X677&lt;=1600,300+((400-300)/(1600-800))*(X677-800),IF(X677&lt;=2100,400+((500-400)/(2100-1600))*(X677-1600),500)))))))</f>
        <v>23.375</v>
      </c>
      <c r="AK677" s="4" t="n">
        <f aca="false">IF(Y677="","",IF(Y677&lt;=50,(50/50)*Y677,IF(Y677&lt;=100,50+((100-50)/(100-50))*(Y677-50),IF(Y677&lt;=168,100+((200-100)/(168-100))*(Y677-100),IF(Y677&lt;=208,200+((300-200)/(208-168))*(Y677-168),IF(Y677&lt;=748,300+((400-300)/(748-208))*(Y677-208),IF(Y677&lt;=1000,400+((500-400)/(1000-748))*(Y677-748),500)))))))</f>
        <v>49</v>
      </c>
      <c r="AL677" s="4" t="n">
        <f aca="false">ROUND(MAX(AF677,AG677,AH677,AI677,AJ677,AK677),0)</f>
        <v>138</v>
      </c>
      <c r="AM677" s="4" t="str">
        <f aca="false">IF(AL677="","",IF(AL677&lt;=50,"Good",IF(AL677&lt;=100,"Satisfactory",IF(AL677&lt;=200,"Moderate",IF(AL677&lt;=300,"Poor",IF(AL677&lt;=400,"Very Poor","Severe"))))))</f>
        <v>Moderate</v>
      </c>
    </row>
    <row r="678" customFormat="false" ht="15.75" hidden="false" customHeight="false" outlineLevel="0" collapsed="false">
      <c r="A678" s="1" t="s">
        <v>39</v>
      </c>
      <c r="B678" s="1" t="s">
        <v>40</v>
      </c>
      <c r="C678" s="1" t="n">
        <v>28.4595</v>
      </c>
      <c r="D678" s="1" t="n">
        <v>77.0266</v>
      </c>
      <c r="E678" s="5" t="n">
        <v>45929</v>
      </c>
      <c r="F678" s="6" t="s">
        <v>53</v>
      </c>
      <c r="G678" s="1" t="n">
        <v>9</v>
      </c>
      <c r="H678" s="7" t="s">
        <v>42</v>
      </c>
      <c r="I678" s="6" t="s">
        <v>43</v>
      </c>
      <c r="J678" s="7" t="s">
        <v>44</v>
      </c>
      <c r="K678" s="7" t="s">
        <v>45</v>
      </c>
      <c r="L678" s="1" t="n">
        <v>86</v>
      </c>
      <c r="M678" s="1" t="n">
        <v>24.2</v>
      </c>
      <c r="N678" s="1" t="n">
        <v>16.6</v>
      </c>
      <c r="O678" s="1" t="n">
        <v>0</v>
      </c>
      <c r="P678" s="6" t="s">
        <v>43</v>
      </c>
      <c r="Q678" s="6" t="s">
        <v>43</v>
      </c>
      <c r="R678" s="1" t="n">
        <v>1005.7</v>
      </c>
      <c r="S678" s="1" t="n">
        <v>0</v>
      </c>
      <c r="T678" s="1" t="n">
        <v>37.4</v>
      </c>
      <c r="U678" s="1" t="n">
        <v>110.4</v>
      </c>
      <c r="V678" s="1" t="n">
        <v>360</v>
      </c>
      <c r="W678" s="1" t="n">
        <v>23.4</v>
      </c>
      <c r="X678" s="1" t="n">
        <v>19.8</v>
      </c>
      <c r="Y678" s="1" t="n">
        <v>42</v>
      </c>
      <c r="Z678" s="1" t="n">
        <v>144</v>
      </c>
      <c r="AA678" s="1" t="n">
        <v>128</v>
      </c>
      <c r="AB678" s="7" t="s">
        <v>81</v>
      </c>
      <c r="AC678" s="7" t="s">
        <v>82</v>
      </c>
      <c r="AD678" s="7" t="s">
        <v>83</v>
      </c>
      <c r="AE678" s="7" t="s">
        <v>84</v>
      </c>
      <c r="AF678" s="4" t="n">
        <f aca="false">IF(T678="","",IF(T678&lt;=30,(50/30)*T678,IF(T678&lt;=60,50+((100-50)/(60-30))*(T678-30),IF(T678&lt;=90,100+((200-100)/(90-60))*(T678-60),IF(T678&lt;=120,200+((300-200)/(120-90))*(T678-90),IF(T678&lt;=250,300+((400-300)/(250-120))*(T678-120),IF(T678&lt;=380,400+((500-400)/(380-250))*(T678-250),500)))))))</f>
        <v>62.3333333333333</v>
      </c>
      <c r="AG678" s="4" t="n">
        <f aca="false">IF(U678="","",IF(U678&lt;=50,(50/50)*U678,IF(U678&lt;=100,50+((100-50)/(100-50))*(U678-50),IF(U678&lt;=250,100+((200-100)/(250-100))*(U678-100),IF(U678&lt;=350,200+((300-200)/(350-250))*(U678-250),IF(U678&lt;=430,300+((400-300)/(430-350))*(U678-350),IF(U678&lt;=600,400+((500-400)/(600-430))*(U678-430),500)))))))</f>
        <v>106.933333333333</v>
      </c>
      <c r="AH678" s="4" t="n">
        <f aca="false">IF(V678="","",IF((V678/1000)&lt;=1,(50/1)*(V678/1000),IF((V678/1000)&lt;=2,50+((100-50)/(2-1))*(V678/1000-1),IF((V678/1000)&lt;=10,100+((200-100)/(10-2))*(V678/1000-2),IF((V678/1000)&lt;=17,200+((300-200)/(17-10))*(V678/1000-10),IF((V678/1000)&lt;=34,300+((400-300)/(34-17))*(V678/1000-17),IF((V678/1000)&lt;=57,400+((500-400)/(57-34))*(V678/1000-34),500)))))))</f>
        <v>18</v>
      </c>
      <c r="AI678" s="4" t="n">
        <f aca="false">IF(W678="","",IF(W678&lt;=40,(50/40)*W678,IF(W678&lt;=80,50+((100-50)/(80-40))*(W678-40),IF(W678&lt;=180,100+((200-100)/(180-80))*(W678-80),IF(W678&lt;=280,200+((300-200)/(280-180))*(W678-180),IF(W678&lt;=400,300+((400-300)/(400-280))*(W678-280),IF(W678&lt;=800,400+((500-400)/(800-400))*(W678-400),500)))))))</f>
        <v>29.25</v>
      </c>
      <c r="AJ678" s="4" t="n">
        <f aca="false">IF(X678="","",IF(X678&lt;=40,(50/40)*X678,IF(X678&lt;=80,50+((100-50)/(80-40))*(X678-40),IF(X678&lt;=380,100+((200-100)/(380-80))*(X678-80),IF(X678&lt;=800,200+((300-200)/(800-380))*(X678-380),IF(X678&lt;=1600,300+((400-300)/(1600-800))*(X678-800),IF(X678&lt;=2100,400+((500-400)/(2100-1600))*(X678-1600),500)))))))</f>
        <v>24.75</v>
      </c>
      <c r="AK678" s="4" t="n">
        <f aca="false">IF(Y678="","",IF(Y678&lt;=50,(50/50)*Y678,IF(Y678&lt;=100,50+((100-50)/(100-50))*(Y678-50),IF(Y678&lt;=168,100+((200-100)/(168-100))*(Y678-100),IF(Y678&lt;=208,200+((300-200)/(208-168))*(Y678-168),IF(Y678&lt;=748,300+((400-300)/(748-208))*(Y678-208),IF(Y678&lt;=1000,400+((500-400)/(1000-748))*(Y678-748),500)))))))</f>
        <v>42</v>
      </c>
      <c r="AL678" s="4" t="n">
        <f aca="false">ROUND(MAX(AF678,AG678,AH678,AI678,AJ678,AK678),0)</f>
        <v>107</v>
      </c>
      <c r="AM678" s="4" t="str">
        <f aca="false">IF(AL678="","",IF(AL678&lt;=50,"Good",IF(AL678&lt;=100,"Satisfactory",IF(AL678&lt;=200,"Moderate",IF(AL678&lt;=300,"Poor",IF(AL678&lt;=400,"Very Poor","Severe"))))))</f>
        <v>Moderate</v>
      </c>
    </row>
    <row r="679" customFormat="false" ht="15.75" hidden="false" customHeight="false" outlineLevel="0" collapsed="false">
      <c r="A679" s="1" t="s">
        <v>39</v>
      </c>
      <c r="B679" s="1" t="s">
        <v>40</v>
      </c>
      <c r="C679" s="1" t="n">
        <v>28.4595</v>
      </c>
      <c r="D679" s="1" t="n">
        <v>77.0266</v>
      </c>
      <c r="E679" s="5" t="n">
        <v>45929</v>
      </c>
      <c r="F679" s="6" t="s">
        <v>54</v>
      </c>
      <c r="G679" s="1" t="n">
        <v>9</v>
      </c>
      <c r="H679" s="7" t="s">
        <v>42</v>
      </c>
      <c r="I679" s="6" t="s">
        <v>43</v>
      </c>
      <c r="J679" s="7" t="s">
        <v>44</v>
      </c>
      <c r="K679" s="7" t="s">
        <v>45</v>
      </c>
      <c r="L679" s="1" t="n">
        <v>87</v>
      </c>
      <c r="M679" s="1" t="n">
        <v>24.1</v>
      </c>
      <c r="N679" s="1" t="n">
        <v>17.6</v>
      </c>
      <c r="O679" s="1" t="n">
        <v>0</v>
      </c>
      <c r="P679" s="6" t="s">
        <v>43</v>
      </c>
      <c r="Q679" s="6" t="s">
        <v>43</v>
      </c>
      <c r="R679" s="1" t="n">
        <v>1006.2</v>
      </c>
      <c r="S679" s="1" t="n">
        <v>0</v>
      </c>
      <c r="T679" s="1" t="n">
        <v>51.2</v>
      </c>
      <c r="U679" s="1" t="n">
        <v>289.6</v>
      </c>
      <c r="V679" s="1" t="n">
        <v>378</v>
      </c>
      <c r="W679" s="1" t="n">
        <v>21.2</v>
      </c>
      <c r="X679" s="1" t="n">
        <v>18.3</v>
      </c>
      <c r="Y679" s="1" t="n">
        <v>43</v>
      </c>
      <c r="Z679" s="1" t="n">
        <v>461</v>
      </c>
      <c r="AA679" s="1" t="n">
        <v>129</v>
      </c>
      <c r="AB679" s="7" t="s">
        <v>81</v>
      </c>
      <c r="AC679" s="7" t="s">
        <v>82</v>
      </c>
      <c r="AD679" s="7" t="s">
        <v>83</v>
      </c>
      <c r="AE679" s="7" t="s">
        <v>84</v>
      </c>
      <c r="AF679" s="4" t="n">
        <f aca="false">IF(T679="","",IF(T679&lt;=30,(50/30)*T679,IF(T679&lt;=60,50+((100-50)/(60-30))*(T679-30),IF(T679&lt;=90,100+((200-100)/(90-60))*(T679-60),IF(T679&lt;=120,200+((300-200)/(120-90))*(T679-90),IF(T679&lt;=250,300+((400-300)/(250-120))*(T679-120),IF(T679&lt;=380,400+((500-400)/(380-250))*(T679-250),500)))))))</f>
        <v>85.3333333333333</v>
      </c>
      <c r="AG679" s="4" t="n">
        <f aca="false">IF(U679="","",IF(U679&lt;=50,(50/50)*U679,IF(U679&lt;=100,50+((100-50)/(100-50))*(U679-50),IF(U679&lt;=250,100+((200-100)/(250-100))*(U679-100),IF(U679&lt;=350,200+((300-200)/(350-250))*(U679-250),IF(U679&lt;=430,300+((400-300)/(430-350))*(U679-350),IF(U679&lt;=600,400+((500-400)/(600-430))*(U679-430),500)))))))</f>
        <v>239.6</v>
      </c>
      <c r="AH679" s="4" t="n">
        <f aca="false">IF(V679="","",IF((V679/1000)&lt;=1,(50/1)*(V679/1000),IF((V679/1000)&lt;=2,50+((100-50)/(2-1))*(V679/1000-1),IF((V679/1000)&lt;=10,100+((200-100)/(10-2))*(V679/1000-2),IF((V679/1000)&lt;=17,200+((300-200)/(17-10))*(V679/1000-10),IF((V679/1000)&lt;=34,300+((400-300)/(34-17))*(V679/1000-17),IF((V679/1000)&lt;=57,400+((500-400)/(57-34))*(V679/1000-34),500)))))))</f>
        <v>18.9</v>
      </c>
      <c r="AI679" s="4" t="n">
        <f aca="false">IF(W679="","",IF(W679&lt;=40,(50/40)*W679,IF(W679&lt;=80,50+((100-50)/(80-40))*(W679-40),IF(W679&lt;=180,100+((200-100)/(180-80))*(W679-80),IF(W679&lt;=280,200+((300-200)/(280-180))*(W679-180),IF(W679&lt;=400,300+((400-300)/(400-280))*(W679-280),IF(W679&lt;=800,400+((500-400)/(800-400))*(W679-400),500)))))))</f>
        <v>26.5</v>
      </c>
      <c r="AJ679" s="4" t="n">
        <f aca="false">IF(X679="","",IF(X679&lt;=40,(50/40)*X679,IF(X679&lt;=80,50+((100-50)/(80-40))*(X679-40),IF(X679&lt;=380,100+((200-100)/(380-80))*(X679-80),IF(X679&lt;=800,200+((300-200)/(800-380))*(X679-380),IF(X679&lt;=1600,300+((400-300)/(1600-800))*(X679-800),IF(X679&lt;=2100,400+((500-400)/(2100-1600))*(X679-1600),500)))))))</f>
        <v>22.875</v>
      </c>
      <c r="AK679" s="4" t="n">
        <f aca="false">IF(Y679="","",IF(Y679&lt;=50,(50/50)*Y679,IF(Y679&lt;=100,50+((100-50)/(100-50))*(Y679-50),IF(Y679&lt;=168,100+((200-100)/(168-100))*(Y679-100),IF(Y679&lt;=208,200+((300-200)/(208-168))*(Y679-168),IF(Y679&lt;=748,300+((400-300)/(748-208))*(Y679-208),IF(Y679&lt;=1000,400+((500-400)/(1000-748))*(Y679-748),500)))))))</f>
        <v>43</v>
      </c>
      <c r="AL679" s="4" t="n">
        <f aca="false">ROUND(MAX(AF679,AG679,AH679,AI679,AJ679,AK679),0)</f>
        <v>240</v>
      </c>
      <c r="AM679" s="4" t="str">
        <f aca="false">IF(AL679="","",IF(AL679&lt;=50,"Good",IF(AL679&lt;=100,"Satisfactory",IF(AL679&lt;=200,"Moderate",IF(AL679&lt;=300,"Poor",IF(AL679&lt;=400,"Very Poor","Severe"))))))</f>
        <v>Poor</v>
      </c>
    </row>
    <row r="680" customFormat="false" ht="15.75" hidden="false" customHeight="false" outlineLevel="0" collapsed="false">
      <c r="A680" s="1" t="s">
        <v>39</v>
      </c>
      <c r="B680" s="1" t="s">
        <v>40</v>
      </c>
      <c r="C680" s="1" t="n">
        <v>28.4595</v>
      </c>
      <c r="D680" s="1" t="n">
        <v>77.0266</v>
      </c>
      <c r="E680" s="5" t="n">
        <v>45929</v>
      </c>
      <c r="F680" s="6" t="s">
        <v>55</v>
      </c>
      <c r="G680" s="1" t="n">
        <v>9</v>
      </c>
      <c r="H680" s="7" t="s">
        <v>42</v>
      </c>
      <c r="I680" s="6" t="s">
        <v>43</v>
      </c>
      <c r="J680" s="7" t="s">
        <v>44</v>
      </c>
      <c r="K680" s="7" t="s">
        <v>56</v>
      </c>
      <c r="L680" s="1" t="n">
        <v>83</v>
      </c>
      <c r="M680" s="1" t="n">
        <v>24.3</v>
      </c>
      <c r="N680" s="1" t="n">
        <v>16.9</v>
      </c>
      <c r="O680" s="1" t="n">
        <v>0</v>
      </c>
      <c r="P680" s="6" t="s">
        <v>43</v>
      </c>
      <c r="Q680" s="6" t="s">
        <v>43</v>
      </c>
      <c r="R680" s="1" t="n">
        <v>1006.1</v>
      </c>
      <c r="S680" s="1" t="n">
        <v>2</v>
      </c>
      <c r="T680" s="1" t="n">
        <v>49.5</v>
      </c>
      <c r="U680" s="1" t="n">
        <v>272.9</v>
      </c>
      <c r="V680" s="1" t="n">
        <v>434</v>
      </c>
      <c r="W680" s="1" t="n">
        <v>22</v>
      </c>
      <c r="X680" s="1" t="n">
        <v>20.7</v>
      </c>
      <c r="Y680" s="1" t="n">
        <v>46</v>
      </c>
      <c r="Z680" s="1" t="n">
        <v>454</v>
      </c>
      <c r="AA680" s="1" t="n">
        <v>130</v>
      </c>
      <c r="AB680" s="7" t="s">
        <v>81</v>
      </c>
      <c r="AC680" s="7" t="s">
        <v>82</v>
      </c>
      <c r="AD680" s="7" t="s">
        <v>83</v>
      </c>
      <c r="AE680" s="7" t="s">
        <v>84</v>
      </c>
      <c r="AF680" s="4" t="n">
        <f aca="false">IF(T680="","",IF(T680&lt;=30,(50/30)*T680,IF(T680&lt;=60,50+((100-50)/(60-30))*(T680-30),IF(T680&lt;=90,100+((200-100)/(90-60))*(T680-60),IF(T680&lt;=120,200+((300-200)/(120-90))*(T680-90),IF(T680&lt;=250,300+((400-300)/(250-120))*(T680-120),IF(T680&lt;=380,400+((500-400)/(380-250))*(T680-250),500)))))))</f>
        <v>82.5</v>
      </c>
      <c r="AG680" s="4" t="n">
        <f aca="false">IF(U680="","",IF(U680&lt;=50,(50/50)*U680,IF(U680&lt;=100,50+((100-50)/(100-50))*(U680-50),IF(U680&lt;=250,100+((200-100)/(250-100))*(U680-100),IF(U680&lt;=350,200+((300-200)/(350-250))*(U680-250),IF(U680&lt;=430,300+((400-300)/(430-350))*(U680-350),IF(U680&lt;=600,400+((500-400)/(600-430))*(U680-430),500)))))))</f>
        <v>222.9</v>
      </c>
      <c r="AH680" s="4" t="n">
        <f aca="false">IF(V680="","",IF((V680/1000)&lt;=1,(50/1)*(V680/1000),IF((V680/1000)&lt;=2,50+((100-50)/(2-1))*(V680/1000-1),IF((V680/1000)&lt;=10,100+((200-100)/(10-2))*(V680/1000-2),IF((V680/1000)&lt;=17,200+((300-200)/(17-10))*(V680/1000-10),IF((V680/1000)&lt;=34,300+((400-300)/(34-17))*(V680/1000-17),IF((V680/1000)&lt;=57,400+((500-400)/(57-34))*(V680/1000-34),500)))))))</f>
        <v>21.7</v>
      </c>
      <c r="AI680" s="4" t="n">
        <f aca="false">IF(W680="","",IF(W680&lt;=40,(50/40)*W680,IF(W680&lt;=80,50+((100-50)/(80-40))*(W680-40),IF(W680&lt;=180,100+((200-100)/(180-80))*(W680-80),IF(W680&lt;=280,200+((300-200)/(280-180))*(W680-180),IF(W680&lt;=400,300+((400-300)/(400-280))*(W680-280),IF(W680&lt;=800,400+((500-400)/(800-400))*(W680-400),500)))))))</f>
        <v>27.5</v>
      </c>
      <c r="AJ680" s="4" t="n">
        <f aca="false">IF(X680="","",IF(X680&lt;=40,(50/40)*X680,IF(X680&lt;=80,50+((100-50)/(80-40))*(X680-40),IF(X680&lt;=380,100+((200-100)/(380-80))*(X680-80),IF(X680&lt;=800,200+((300-200)/(800-380))*(X680-380),IF(X680&lt;=1600,300+((400-300)/(1600-800))*(X680-800),IF(X680&lt;=2100,400+((500-400)/(2100-1600))*(X680-1600),500)))))))</f>
        <v>25.875</v>
      </c>
      <c r="AK680" s="4" t="n">
        <f aca="false">IF(Y680="","",IF(Y680&lt;=50,(50/50)*Y680,IF(Y680&lt;=100,50+((100-50)/(100-50))*(Y680-50),IF(Y680&lt;=168,100+((200-100)/(168-100))*(Y680-100),IF(Y680&lt;=208,200+((300-200)/(208-168))*(Y680-168),IF(Y680&lt;=748,300+((400-300)/(748-208))*(Y680-208),IF(Y680&lt;=1000,400+((500-400)/(1000-748))*(Y680-748),500)))))))</f>
        <v>46</v>
      </c>
      <c r="AL680" s="4" t="n">
        <f aca="false">ROUND(MAX(AF680,AG680,AH680,AI680,AJ680,AK680),0)</f>
        <v>223</v>
      </c>
      <c r="AM680" s="4" t="str">
        <f aca="false">IF(AL680="","",IF(AL680&lt;=50,"Good",IF(AL680&lt;=100,"Satisfactory",IF(AL680&lt;=200,"Moderate",IF(AL680&lt;=300,"Poor",IF(AL680&lt;=400,"Very Poor","Severe"))))))</f>
        <v>Poor</v>
      </c>
    </row>
    <row r="681" customFormat="false" ht="15.75" hidden="false" customHeight="false" outlineLevel="0" collapsed="false">
      <c r="A681" s="1" t="s">
        <v>39</v>
      </c>
      <c r="B681" s="1" t="s">
        <v>40</v>
      </c>
      <c r="C681" s="1" t="n">
        <v>28.4595</v>
      </c>
      <c r="D681" s="1" t="n">
        <v>77.0266</v>
      </c>
      <c r="E681" s="5" t="n">
        <v>45929</v>
      </c>
      <c r="F681" s="6" t="s">
        <v>57</v>
      </c>
      <c r="G681" s="1" t="n">
        <v>9</v>
      </c>
      <c r="H681" s="7" t="s">
        <v>42</v>
      </c>
      <c r="I681" s="6" t="s">
        <v>43</v>
      </c>
      <c r="J681" s="7" t="s">
        <v>44</v>
      </c>
      <c r="K681" s="7" t="s">
        <v>56</v>
      </c>
      <c r="L681" s="1" t="n">
        <v>81</v>
      </c>
      <c r="M681" s="1" t="n">
        <v>24.6</v>
      </c>
      <c r="N681" s="1" t="n">
        <v>15.8</v>
      </c>
      <c r="O681" s="1" t="n">
        <v>0</v>
      </c>
      <c r="P681" s="6" t="s">
        <v>43</v>
      </c>
      <c r="Q681" s="6" t="s">
        <v>43</v>
      </c>
      <c r="R681" s="1" t="n">
        <v>1006.5</v>
      </c>
      <c r="S681" s="1" t="n">
        <v>1</v>
      </c>
      <c r="T681" s="1" t="n">
        <v>46.8</v>
      </c>
      <c r="U681" s="1" t="n">
        <v>242.1</v>
      </c>
      <c r="V681" s="1" t="n">
        <v>510</v>
      </c>
      <c r="W681" s="1" t="n">
        <v>22.9</v>
      </c>
      <c r="X681" s="1" t="n">
        <v>23.8</v>
      </c>
      <c r="Y681" s="1" t="n">
        <v>52</v>
      </c>
      <c r="Z681" s="1" t="n">
        <v>440</v>
      </c>
      <c r="AA681" s="1" t="n">
        <v>131</v>
      </c>
      <c r="AB681" s="7" t="s">
        <v>81</v>
      </c>
      <c r="AC681" s="7" t="s">
        <v>82</v>
      </c>
      <c r="AD681" s="7" t="s">
        <v>83</v>
      </c>
      <c r="AE681" s="7" t="s">
        <v>84</v>
      </c>
      <c r="AF681" s="4" t="n">
        <f aca="false">IF(T681="","",IF(T681&lt;=30,(50/30)*T681,IF(T681&lt;=60,50+((100-50)/(60-30))*(T681-30),IF(T681&lt;=90,100+((200-100)/(90-60))*(T681-60),IF(T681&lt;=120,200+((300-200)/(120-90))*(T681-90),IF(T681&lt;=250,300+((400-300)/(250-120))*(T681-120),IF(T681&lt;=380,400+((500-400)/(380-250))*(T681-250),500)))))))</f>
        <v>78</v>
      </c>
      <c r="AG681" s="4" t="n">
        <f aca="false">IF(U681="","",IF(U681&lt;=50,(50/50)*U681,IF(U681&lt;=100,50+((100-50)/(100-50))*(U681-50),IF(U681&lt;=250,100+((200-100)/(250-100))*(U681-100),IF(U681&lt;=350,200+((300-200)/(350-250))*(U681-250),IF(U681&lt;=430,300+((400-300)/(430-350))*(U681-350),IF(U681&lt;=600,400+((500-400)/(600-430))*(U681-430),500)))))))</f>
        <v>194.733333333333</v>
      </c>
      <c r="AH681" s="4" t="n">
        <f aca="false">IF(V681="","",IF((V681/1000)&lt;=1,(50/1)*(V681/1000),IF((V681/1000)&lt;=2,50+((100-50)/(2-1))*(V681/1000-1),IF((V681/1000)&lt;=10,100+((200-100)/(10-2))*(V681/1000-2),IF((V681/1000)&lt;=17,200+((300-200)/(17-10))*(V681/1000-10),IF((V681/1000)&lt;=34,300+((400-300)/(34-17))*(V681/1000-17),IF((V681/1000)&lt;=57,400+((500-400)/(57-34))*(V681/1000-34),500)))))))</f>
        <v>25.5</v>
      </c>
      <c r="AI681" s="4" t="n">
        <f aca="false">IF(W681="","",IF(W681&lt;=40,(50/40)*W681,IF(W681&lt;=80,50+((100-50)/(80-40))*(W681-40),IF(W681&lt;=180,100+((200-100)/(180-80))*(W681-80),IF(W681&lt;=280,200+((300-200)/(280-180))*(W681-180),IF(W681&lt;=400,300+((400-300)/(400-280))*(W681-280),IF(W681&lt;=800,400+((500-400)/(800-400))*(W681-400),500)))))))</f>
        <v>28.625</v>
      </c>
      <c r="AJ681" s="4" t="n">
        <f aca="false">IF(X681="","",IF(X681&lt;=40,(50/40)*X681,IF(X681&lt;=80,50+((100-50)/(80-40))*(X681-40),IF(X681&lt;=380,100+((200-100)/(380-80))*(X681-80),IF(X681&lt;=800,200+((300-200)/(800-380))*(X681-380),IF(X681&lt;=1600,300+((400-300)/(1600-800))*(X681-800),IF(X681&lt;=2100,400+((500-400)/(2100-1600))*(X681-1600),500)))))))</f>
        <v>29.75</v>
      </c>
      <c r="AK681" s="4" t="n">
        <f aca="false">IF(Y681="","",IF(Y681&lt;=50,(50/50)*Y681,IF(Y681&lt;=100,50+((100-50)/(100-50))*(Y681-50),IF(Y681&lt;=168,100+((200-100)/(168-100))*(Y681-100),IF(Y681&lt;=208,200+((300-200)/(208-168))*(Y681-168),IF(Y681&lt;=748,300+((400-300)/(748-208))*(Y681-208),IF(Y681&lt;=1000,400+((500-400)/(1000-748))*(Y681-748),500)))))))</f>
        <v>52</v>
      </c>
      <c r="AL681" s="4" t="n">
        <f aca="false">ROUND(MAX(AF681,AG681,AH681,AI681,AJ681,AK681),0)</f>
        <v>195</v>
      </c>
      <c r="AM681" s="4" t="str">
        <f aca="false">IF(AL681="","",IF(AL681&lt;=50,"Good",IF(AL681&lt;=100,"Satisfactory",IF(AL681&lt;=200,"Moderate",IF(AL681&lt;=300,"Poor",IF(AL681&lt;=400,"Very Poor","Severe"))))))</f>
        <v>Moderate</v>
      </c>
    </row>
    <row r="682" customFormat="false" ht="15.75" hidden="false" customHeight="false" outlineLevel="0" collapsed="false">
      <c r="A682" s="1" t="s">
        <v>39</v>
      </c>
      <c r="B682" s="1" t="s">
        <v>40</v>
      </c>
      <c r="C682" s="1" t="n">
        <v>28.4595</v>
      </c>
      <c r="D682" s="1" t="n">
        <v>77.0266</v>
      </c>
      <c r="E682" s="5" t="n">
        <v>45929</v>
      </c>
      <c r="F682" s="6" t="s">
        <v>58</v>
      </c>
      <c r="G682" s="1" t="n">
        <v>9</v>
      </c>
      <c r="H682" s="7" t="s">
        <v>42</v>
      </c>
      <c r="I682" s="6" t="s">
        <v>43</v>
      </c>
      <c r="J682" s="7" t="s">
        <v>44</v>
      </c>
      <c r="K682" s="7" t="s">
        <v>56</v>
      </c>
      <c r="L682" s="1" t="n">
        <v>72</v>
      </c>
      <c r="M682" s="1" t="n">
        <v>24.5</v>
      </c>
      <c r="N682" s="1" t="n">
        <v>21.2</v>
      </c>
      <c r="O682" s="1" t="n">
        <v>0</v>
      </c>
      <c r="P682" s="6" t="s">
        <v>43</v>
      </c>
      <c r="Q682" s="6" t="s">
        <v>43</v>
      </c>
      <c r="R682" s="1" t="n">
        <v>1007.1</v>
      </c>
      <c r="S682" s="1" t="n">
        <v>1</v>
      </c>
      <c r="T682" s="1" t="n">
        <v>48</v>
      </c>
      <c r="U682" s="1" t="n">
        <v>252.4</v>
      </c>
      <c r="V682" s="1" t="n">
        <v>539</v>
      </c>
      <c r="W682" s="1" t="n">
        <v>21.9</v>
      </c>
      <c r="X682" s="1" t="n">
        <v>25.2</v>
      </c>
      <c r="Y682" s="1" t="n">
        <v>64</v>
      </c>
      <c r="Z682" s="1" t="n">
        <v>395</v>
      </c>
      <c r="AA682" s="1" t="n">
        <v>132</v>
      </c>
      <c r="AB682" s="7" t="s">
        <v>81</v>
      </c>
      <c r="AC682" s="7" t="s">
        <v>82</v>
      </c>
      <c r="AD682" s="7" t="s">
        <v>83</v>
      </c>
      <c r="AE682" s="7" t="s">
        <v>84</v>
      </c>
      <c r="AF682" s="4" t="n">
        <f aca="false">IF(T682="","",IF(T682&lt;=30,(50/30)*T682,IF(T682&lt;=60,50+((100-50)/(60-30))*(T682-30),IF(T682&lt;=90,100+((200-100)/(90-60))*(T682-60),IF(T682&lt;=120,200+((300-200)/(120-90))*(T682-90),IF(T682&lt;=250,300+((400-300)/(250-120))*(T682-120),IF(T682&lt;=380,400+((500-400)/(380-250))*(T682-250),500)))))))</f>
        <v>80</v>
      </c>
      <c r="AG682" s="4" t="n">
        <f aca="false">IF(U682="","",IF(U682&lt;=50,(50/50)*U682,IF(U682&lt;=100,50+((100-50)/(100-50))*(U682-50),IF(U682&lt;=250,100+((200-100)/(250-100))*(U682-100),IF(U682&lt;=350,200+((300-200)/(350-250))*(U682-250),IF(U682&lt;=430,300+((400-300)/(430-350))*(U682-350),IF(U682&lt;=600,400+((500-400)/(600-430))*(U682-430),500)))))))</f>
        <v>202.4</v>
      </c>
      <c r="AH682" s="4" t="n">
        <f aca="false">IF(V682="","",IF((V682/1000)&lt;=1,(50/1)*(V682/1000),IF((V682/1000)&lt;=2,50+((100-50)/(2-1))*(V682/1000-1),IF((V682/1000)&lt;=10,100+((200-100)/(10-2))*(V682/1000-2),IF((V682/1000)&lt;=17,200+((300-200)/(17-10))*(V682/1000-10),IF((V682/1000)&lt;=34,300+((400-300)/(34-17))*(V682/1000-17),IF((V682/1000)&lt;=57,400+((500-400)/(57-34))*(V682/1000-34),500)))))))</f>
        <v>26.95</v>
      </c>
      <c r="AI682" s="4" t="n">
        <f aca="false">IF(W682="","",IF(W682&lt;=40,(50/40)*W682,IF(W682&lt;=80,50+((100-50)/(80-40))*(W682-40),IF(W682&lt;=180,100+((200-100)/(180-80))*(W682-80),IF(W682&lt;=280,200+((300-200)/(280-180))*(W682-180),IF(W682&lt;=400,300+((400-300)/(400-280))*(W682-280),IF(W682&lt;=800,400+((500-400)/(800-400))*(W682-400),500)))))))</f>
        <v>27.375</v>
      </c>
      <c r="AJ682" s="4" t="n">
        <f aca="false">IF(X682="","",IF(X682&lt;=40,(50/40)*X682,IF(X682&lt;=80,50+((100-50)/(80-40))*(X682-40),IF(X682&lt;=380,100+((200-100)/(380-80))*(X682-80),IF(X682&lt;=800,200+((300-200)/(800-380))*(X682-380),IF(X682&lt;=1600,300+((400-300)/(1600-800))*(X682-800),IF(X682&lt;=2100,400+((500-400)/(2100-1600))*(X682-1600),500)))))))</f>
        <v>31.5</v>
      </c>
      <c r="AK682" s="4" t="n">
        <f aca="false">IF(Y682="","",IF(Y682&lt;=50,(50/50)*Y682,IF(Y682&lt;=100,50+((100-50)/(100-50))*(Y682-50),IF(Y682&lt;=168,100+((200-100)/(168-100))*(Y682-100),IF(Y682&lt;=208,200+((300-200)/(208-168))*(Y682-168),IF(Y682&lt;=748,300+((400-300)/(748-208))*(Y682-208),IF(Y682&lt;=1000,400+((500-400)/(1000-748))*(Y682-748),500)))))))</f>
        <v>64</v>
      </c>
      <c r="AL682" s="4" t="n">
        <f aca="false">ROUND(MAX(AF682,AG682,AH682,AI682,AJ682,AK682),0)</f>
        <v>202</v>
      </c>
      <c r="AM682" s="4" t="str">
        <f aca="false">IF(AL682="","",IF(AL682&lt;=50,"Good",IF(AL682&lt;=100,"Satisfactory",IF(AL682&lt;=200,"Moderate",IF(AL682&lt;=300,"Poor",IF(AL682&lt;=400,"Very Poor","Severe"))))))</f>
        <v>Poor</v>
      </c>
    </row>
    <row r="683" customFormat="false" ht="15.75" hidden="false" customHeight="false" outlineLevel="0" collapsed="false">
      <c r="A683" s="1" t="s">
        <v>39</v>
      </c>
      <c r="B683" s="1" t="s">
        <v>40</v>
      </c>
      <c r="C683" s="1" t="n">
        <v>28.4595</v>
      </c>
      <c r="D683" s="1" t="n">
        <v>77.0266</v>
      </c>
      <c r="E683" s="5" t="n">
        <v>45929</v>
      </c>
      <c r="F683" s="6" t="s">
        <v>59</v>
      </c>
      <c r="G683" s="1" t="n">
        <v>9</v>
      </c>
      <c r="H683" s="7" t="s">
        <v>42</v>
      </c>
      <c r="I683" s="6" t="s">
        <v>43</v>
      </c>
      <c r="J683" s="7" t="s">
        <v>44</v>
      </c>
      <c r="K683" s="7" t="s">
        <v>60</v>
      </c>
      <c r="L683" s="1" t="n">
        <v>61</v>
      </c>
      <c r="M683" s="1" t="n">
        <v>23.3</v>
      </c>
      <c r="N683" s="1" t="n">
        <v>28.4</v>
      </c>
      <c r="O683" s="1" t="n">
        <v>0</v>
      </c>
      <c r="P683" s="6" t="s">
        <v>43</v>
      </c>
      <c r="Q683" s="6" t="s">
        <v>43</v>
      </c>
      <c r="R683" s="1" t="n">
        <v>1007.1</v>
      </c>
      <c r="S683" s="1" t="n">
        <v>0</v>
      </c>
      <c r="T683" s="1" t="n">
        <v>31.3</v>
      </c>
      <c r="U683" s="1" t="n">
        <v>88.2</v>
      </c>
      <c r="V683" s="1" t="n">
        <v>476</v>
      </c>
      <c r="W683" s="1" t="n">
        <v>17.3</v>
      </c>
      <c r="X683" s="1" t="n">
        <v>23.3</v>
      </c>
      <c r="Y683" s="1" t="n">
        <v>89</v>
      </c>
      <c r="Z683" s="1" t="n">
        <v>291</v>
      </c>
      <c r="AA683" s="1" t="n">
        <v>133</v>
      </c>
      <c r="AB683" s="7" t="s">
        <v>81</v>
      </c>
      <c r="AC683" s="7" t="s">
        <v>82</v>
      </c>
      <c r="AD683" s="7" t="s">
        <v>83</v>
      </c>
      <c r="AE683" s="7" t="s">
        <v>84</v>
      </c>
      <c r="AF683" s="4" t="n">
        <f aca="false">IF(T683="","",IF(T683&lt;=30,(50/30)*T683,IF(T683&lt;=60,50+((100-50)/(60-30))*(T683-30),IF(T683&lt;=90,100+((200-100)/(90-60))*(T683-60),IF(T683&lt;=120,200+((300-200)/(120-90))*(T683-90),IF(T683&lt;=250,300+((400-300)/(250-120))*(T683-120),IF(T683&lt;=380,400+((500-400)/(380-250))*(T683-250),500)))))))</f>
        <v>52.1666666666667</v>
      </c>
      <c r="AG683" s="4" t="n">
        <f aca="false">IF(U683="","",IF(U683&lt;=50,(50/50)*U683,IF(U683&lt;=100,50+((100-50)/(100-50))*(U683-50),IF(U683&lt;=250,100+((200-100)/(250-100))*(U683-100),IF(U683&lt;=350,200+((300-200)/(350-250))*(U683-250),IF(U683&lt;=430,300+((400-300)/(430-350))*(U683-350),IF(U683&lt;=600,400+((500-400)/(600-430))*(U683-430),500)))))))</f>
        <v>88.2</v>
      </c>
      <c r="AH683" s="4" t="n">
        <f aca="false">IF(V683="","",IF((V683/1000)&lt;=1,(50/1)*(V683/1000),IF((V683/1000)&lt;=2,50+((100-50)/(2-1))*(V683/1000-1),IF((V683/1000)&lt;=10,100+((200-100)/(10-2))*(V683/1000-2),IF((V683/1000)&lt;=17,200+((300-200)/(17-10))*(V683/1000-10),IF((V683/1000)&lt;=34,300+((400-300)/(34-17))*(V683/1000-17),IF((V683/1000)&lt;=57,400+((500-400)/(57-34))*(V683/1000-34),500)))))))</f>
        <v>23.8</v>
      </c>
      <c r="AI683" s="4" t="n">
        <f aca="false">IF(W683="","",IF(W683&lt;=40,(50/40)*W683,IF(W683&lt;=80,50+((100-50)/(80-40))*(W683-40),IF(W683&lt;=180,100+((200-100)/(180-80))*(W683-80),IF(W683&lt;=280,200+((300-200)/(280-180))*(W683-180),IF(W683&lt;=400,300+((400-300)/(400-280))*(W683-280),IF(W683&lt;=800,400+((500-400)/(800-400))*(W683-400),500)))))))</f>
        <v>21.625</v>
      </c>
      <c r="AJ683" s="4" t="n">
        <f aca="false">IF(X683="","",IF(X683&lt;=40,(50/40)*X683,IF(X683&lt;=80,50+((100-50)/(80-40))*(X683-40),IF(X683&lt;=380,100+((200-100)/(380-80))*(X683-80),IF(X683&lt;=800,200+((300-200)/(800-380))*(X683-380),IF(X683&lt;=1600,300+((400-300)/(1600-800))*(X683-800),IF(X683&lt;=2100,400+((500-400)/(2100-1600))*(X683-1600),500)))))))</f>
        <v>29.125</v>
      </c>
      <c r="AK683" s="4" t="n">
        <f aca="false">IF(Y683="","",IF(Y683&lt;=50,(50/50)*Y683,IF(Y683&lt;=100,50+((100-50)/(100-50))*(Y683-50),IF(Y683&lt;=168,100+((200-100)/(168-100))*(Y683-100),IF(Y683&lt;=208,200+((300-200)/(208-168))*(Y683-168),IF(Y683&lt;=748,300+((400-300)/(748-208))*(Y683-208),IF(Y683&lt;=1000,400+((500-400)/(1000-748))*(Y683-748),500)))))))</f>
        <v>89</v>
      </c>
      <c r="AL683" s="4" t="n">
        <f aca="false">ROUND(MAX(AF683,AG683,AH683,AI683,AJ683,AK683),0)</f>
        <v>89</v>
      </c>
      <c r="AM683" s="4" t="str">
        <f aca="false">IF(AL683="","",IF(AL683&lt;=50,"Good",IF(AL683&lt;=100,"Satisfactory",IF(AL683&lt;=200,"Moderate",IF(AL683&lt;=300,"Poor",IF(AL683&lt;=400,"Very Poor","Severe"))))))</f>
        <v>Satisfactory</v>
      </c>
    </row>
    <row r="684" customFormat="false" ht="15.75" hidden="false" customHeight="false" outlineLevel="0" collapsed="false">
      <c r="A684" s="1" t="s">
        <v>39</v>
      </c>
      <c r="B684" s="1" t="s">
        <v>40</v>
      </c>
      <c r="C684" s="1" t="n">
        <v>28.4595</v>
      </c>
      <c r="D684" s="1" t="n">
        <v>77.0266</v>
      </c>
      <c r="E684" s="5" t="n">
        <v>45929</v>
      </c>
      <c r="F684" s="6" t="s">
        <v>61</v>
      </c>
      <c r="G684" s="1" t="n">
        <v>9</v>
      </c>
      <c r="H684" s="7" t="s">
        <v>42</v>
      </c>
      <c r="I684" s="6" t="s">
        <v>43</v>
      </c>
      <c r="J684" s="7" t="s">
        <v>44</v>
      </c>
      <c r="K684" s="7" t="s">
        <v>60</v>
      </c>
      <c r="L684" s="1" t="n">
        <v>55</v>
      </c>
      <c r="M684" s="1" t="n">
        <v>22.6</v>
      </c>
      <c r="N684" s="1" t="n">
        <v>29.5</v>
      </c>
      <c r="O684" s="1" t="n">
        <v>0</v>
      </c>
      <c r="P684" s="6" t="s">
        <v>43</v>
      </c>
      <c r="Q684" s="6" t="s">
        <v>43</v>
      </c>
      <c r="R684" s="1" t="n">
        <v>1006.9</v>
      </c>
      <c r="S684" s="1" t="n">
        <v>20</v>
      </c>
      <c r="T684" s="1" t="n">
        <v>26.2</v>
      </c>
      <c r="U684" s="1" t="n">
        <v>51.8</v>
      </c>
      <c r="V684" s="1" t="n">
        <v>366</v>
      </c>
      <c r="W684" s="1" t="n">
        <v>10.8</v>
      </c>
      <c r="X684" s="1" t="n">
        <v>19.8</v>
      </c>
      <c r="Y684" s="1" t="n">
        <v>121</v>
      </c>
      <c r="Z684" s="1" t="n">
        <v>156</v>
      </c>
      <c r="AA684" s="1" t="n">
        <v>133</v>
      </c>
      <c r="AB684" s="7" t="s">
        <v>81</v>
      </c>
      <c r="AC684" s="7" t="s">
        <v>82</v>
      </c>
      <c r="AD684" s="7" t="s">
        <v>83</v>
      </c>
      <c r="AE684" s="7" t="s">
        <v>84</v>
      </c>
      <c r="AF684" s="4" t="n">
        <f aca="false">IF(T684="","",IF(T684&lt;=30,(50/30)*T684,IF(T684&lt;=60,50+((100-50)/(60-30))*(T684-30),IF(T684&lt;=90,100+((200-100)/(90-60))*(T684-60),IF(T684&lt;=120,200+((300-200)/(120-90))*(T684-90),IF(T684&lt;=250,300+((400-300)/(250-120))*(T684-120),IF(T684&lt;=380,400+((500-400)/(380-250))*(T684-250),500)))))))</f>
        <v>43.6666666666667</v>
      </c>
      <c r="AG684" s="4" t="n">
        <f aca="false">IF(U684="","",IF(U684&lt;=50,(50/50)*U684,IF(U684&lt;=100,50+((100-50)/(100-50))*(U684-50),IF(U684&lt;=250,100+((200-100)/(250-100))*(U684-100),IF(U684&lt;=350,200+((300-200)/(350-250))*(U684-250),IF(U684&lt;=430,300+((400-300)/(430-350))*(U684-350),IF(U684&lt;=600,400+((500-400)/(600-430))*(U684-430),500)))))))</f>
        <v>51.8</v>
      </c>
      <c r="AH684" s="4" t="n">
        <f aca="false">IF(V684="","",IF((V684/1000)&lt;=1,(50/1)*(V684/1000),IF((V684/1000)&lt;=2,50+((100-50)/(2-1))*(V684/1000-1),IF((V684/1000)&lt;=10,100+((200-100)/(10-2))*(V684/1000-2),IF((V684/1000)&lt;=17,200+((300-200)/(17-10))*(V684/1000-10),IF((V684/1000)&lt;=34,300+((400-300)/(34-17))*(V684/1000-17),IF((V684/1000)&lt;=57,400+((500-400)/(57-34))*(V684/1000-34),500)))))))</f>
        <v>18.3</v>
      </c>
      <c r="AI684" s="4" t="n">
        <f aca="false">IF(W684="","",IF(W684&lt;=40,(50/40)*W684,IF(W684&lt;=80,50+((100-50)/(80-40))*(W684-40),IF(W684&lt;=180,100+((200-100)/(180-80))*(W684-80),IF(W684&lt;=280,200+((300-200)/(280-180))*(W684-180),IF(W684&lt;=400,300+((400-300)/(400-280))*(W684-280),IF(W684&lt;=800,400+((500-400)/(800-400))*(W684-400),500)))))))</f>
        <v>13.5</v>
      </c>
      <c r="AJ684" s="4" t="n">
        <f aca="false">IF(X684="","",IF(X684&lt;=40,(50/40)*X684,IF(X684&lt;=80,50+((100-50)/(80-40))*(X684-40),IF(X684&lt;=380,100+((200-100)/(380-80))*(X684-80),IF(X684&lt;=800,200+((300-200)/(800-380))*(X684-380),IF(X684&lt;=1600,300+((400-300)/(1600-800))*(X684-800),IF(X684&lt;=2100,400+((500-400)/(2100-1600))*(X684-1600),500)))))))</f>
        <v>24.75</v>
      </c>
      <c r="AK684" s="4" t="n">
        <f aca="false">IF(Y684="","",IF(Y684&lt;=50,(50/50)*Y684,IF(Y684&lt;=100,50+((100-50)/(100-50))*(Y684-50),IF(Y684&lt;=168,100+((200-100)/(168-100))*(Y684-100),IF(Y684&lt;=208,200+((300-200)/(208-168))*(Y684-168),IF(Y684&lt;=748,300+((400-300)/(748-208))*(Y684-208),IF(Y684&lt;=1000,400+((500-400)/(1000-748))*(Y684-748),500)))))))</f>
        <v>130.882352941176</v>
      </c>
      <c r="AL684" s="4" t="n">
        <f aca="false">ROUND(MAX(AF684,AG684,AH684,AI684,AJ684,AK684),0)</f>
        <v>131</v>
      </c>
      <c r="AM684" s="4" t="str">
        <f aca="false">IF(AL684="","",IF(AL684&lt;=50,"Good",IF(AL684&lt;=100,"Satisfactory",IF(AL684&lt;=200,"Moderate",IF(AL684&lt;=300,"Poor",IF(AL684&lt;=400,"Very Poor","Severe"))))))</f>
        <v>Moderate</v>
      </c>
    </row>
    <row r="685" customFormat="false" ht="15.75" hidden="false" customHeight="false" outlineLevel="0" collapsed="false">
      <c r="A685" s="1" t="s">
        <v>39</v>
      </c>
      <c r="B685" s="1" t="s">
        <v>40</v>
      </c>
      <c r="C685" s="1" t="n">
        <v>28.4595</v>
      </c>
      <c r="D685" s="1" t="n">
        <v>77.0266</v>
      </c>
      <c r="E685" s="5" t="n">
        <v>45929</v>
      </c>
      <c r="F685" s="6" t="s">
        <v>62</v>
      </c>
      <c r="G685" s="1" t="n">
        <v>9</v>
      </c>
      <c r="H685" s="7" t="s">
        <v>42</v>
      </c>
      <c r="I685" s="6" t="s">
        <v>43</v>
      </c>
      <c r="J685" s="7" t="s">
        <v>44</v>
      </c>
      <c r="K685" s="7" t="s">
        <v>60</v>
      </c>
      <c r="L685" s="1" t="n">
        <v>50</v>
      </c>
      <c r="M685" s="1" t="n">
        <v>21.9</v>
      </c>
      <c r="N685" s="1" t="n">
        <v>32</v>
      </c>
      <c r="O685" s="1" t="n">
        <v>0</v>
      </c>
      <c r="P685" s="6" t="s">
        <v>43</v>
      </c>
      <c r="Q685" s="6" t="s">
        <v>43</v>
      </c>
      <c r="R685" s="1" t="n">
        <v>1006</v>
      </c>
      <c r="S685" s="1" t="n">
        <v>24</v>
      </c>
      <c r="T685" s="1" t="n">
        <v>26.7</v>
      </c>
      <c r="U685" s="1" t="n">
        <v>55.5</v>
      </c>
      <c r="V685" s="1" t="n">
        <v>285</v>
      </c>
      <c r="W685" s="1" t="n">
        <v>6</v>
      </c>
      <c r="X685" s="1" t="n">
        <v>16.7</v>
      </c>
      <c r="Y685" s="1" t="n">
        <v>145</v>
      </c>
      <c r="Z685" s="1" t="n">
        <v>56</v>
      </c>
      <c r="AA685" s="1" t="n">
        <v>133</v>
      </c>
      <c r="AB685" s="7" t="s">
        <v>81</v>
      </c>
      <c r="AC685" s="7" t="s">
        <v>82</v>
      </c>
      <c r="AD685" s="7" t="s">
        <v>83</v>
      </c>
      <c r="AE685" s="7" t="s">
        <v>84</v>
      </c>
      <c r="AF685" s="4" t="n">
        <f aca="false">IF(T685="","",IF(T685&lt;=30,(50/30)*T685,IF(T685&lt;=60,50+((100-50)/(60-30))*(T685-30),IF(T685&lt;=90,100+((200-100)/(90-60))*(T685-60),IF(T685&lt;=120,200+((300-200)/(120-90))*(T685-90),IF(T685&lt;=250,300+((400-300)/(250-120))*(T685-120),IF(T685&lt;=380,400+((500-400)/(380-250))*(T685-250),500)))))))</f>
        <v>44.5</v>
      </c>
      <c r="AG685" s="4" t="n">
        <f aca="false">IF(U685="","",IF(U685&lt;=50,(50/50)*U685,IF(U685&lt;=100,50+((100-50)/(100-50))*(U685-50),IF(U685&lt;=250,100+((200-100)/(250-100))*(U685-100),IF(U685&lt;=350,200+((300-200)/(350-250))*(U685-250),IF(U685&lt;=430,300+((400-300)/(430-350))*(U685-350),IF(U685&lt;=600,400+((500-400)/(600-430))*(U685-430),500)))))))</f>
        <v>55.5</v>
      </c>
      <c r="AH685" s="4" t="n">
        <f aca="false">IF(V685="","",IF((V685/1000)&lt;=1,(50/1)*(V685/1000),IF((V685/1000)&lt;=2,50+((100-50)/(2-1))*(V685/1000-1),IF((V685/1000)&lt;=10,100+((200-100)/(10-2))*(V685/1000-2),IF((V685/1000)&lt;=17,200+((300-200)/(17-10))*(V685/1000-10),IF((V685/1000)&lt;=34,300+((400-300)/(34-17))*(V685/1000-17),IF((V685/1000)&lt;=57,400+((500-400)/(57-34))*(V685/1000-34),500)))))))</f>
        <v>14.25</v>
      </c>
      <c r="AI685" s="4" t="n">
        <f aca="false">IF(W685="","",IF(W685&lt;=40,(50/40)*W685,IF(W685&lt;=80,50+((100-50)/(80-40))*(W685-40),IF(W685&lt;=180,100+((200-100)/(180-80))*(W685-80),IF(W685&lt;=280,200+((300-200)/(280-180))*(W685-180),IF(W685&lt;=400,300+((400-300)/(400-280))*(W685-280),IF(W685&lt;=800,400+((500-400)/(800-400))*(W685-400),500)))))))</f>
        <v>7.5</v>
      </c>
      <c r="AJ685" s="4" t="n">
        <f aca="false">IF(X685="","",IF(X685&lt;=40,(50/40)*X685,IF(X685&lt;=80,50+((100-50)/(80-40))*(X685-40),IF(X685&lt;=380,100+((200-100)/(380-80))*(X685-80),IF(X685&lt;=800,200+((300-200)/(800-380))*(X685-380),IF(X685&lt;=1600,300+((400-300)/(1600-800))*(X685-800),IF(X685&lt;=2100,400+((500-400)/(2100-1600))*(X685-1600),500)))))))</f>
        <v>20.875</v>
      </c>
      <c r="AK685" s="4" t="n">
        <f aca="false">IF(Y685="","",IF(Y685&lt;=50,(50/50)*Y685,IF(Y685&lt;=100,50+((100-50)/(100-50))*(Y685-50),IF(Y685&lt;=168,100+((200-100)/(168-100))*(Y685-100),IF(Y685&lt;=208,200+((300-200)/(208-168))*(Y685-168),IF(Y685&lt;=748,300+((400-300)/(748-208))*(Y685-208),IF(Y685&lt;=1000,400+((500-400)/(1000-748))*(Y685-748),500)))))))</f>
        <v>166.176470588235</v>
      </c>
      <c r="AL685" s="4" t="n">
        <f aca="false">ROUND(MAX(AF685,AG685,AH685,AI685,AJ685,AK685),0)</f>
        <v>166</v>
      </c>
      <c r="AM685" s="4" t="str">
        <f aca="false">IF(AL685="","",IF(AL685&lt;=50,"Good",IF(AL685&lt;=100,"Satisfactory",IF(AL685&lt;=200,"Moderate",IF(AL685&lt;=300,"Poor",IF(AL685&lt;=400,"Very Poor","Severe"))))))</f>
        <v>Moderate</v>
      </c>
    </row>
    <row r="686" customFormat="false" ht="15.75" hidden="false" customHeight="false" outlineLevel="0" collapsed="false">
      <c r="A686" s="1" t="s">
        <v>39</v>
      </c>
      <c r="B686" s="1" t="s">
        <v>40</v>
      </c>
      <c r="C686" s="1" t="n">
        <v>28.4595</v>
      </c>
      <c r="D686" s="1" t="n">
        <v>77.0266</v>
      </c>
      <c r="E686" s="5" t="n">
        <v>45929</v>
      </c>
      <c r="F686" s="6" t="s">
        <v>63</v>
      </c>
      <c r="G686" s="1" t="n">
        <v>9</v>
      </c>
      <c r="H686" s="7" t="s">
        <v>42</v>
      </c>
      <c r="I686" s="6" t="s">
        <v>43</v>
      </c>
      <c r="J686" s="7" t="s">
        <v>44</v>
      </c>
      <c r="K686" s="7" t="s">
        <v>60</v>
      </c>
      <c r="L686" s="1" t="n">
        <v>49</v>
      </c>
      <c r="M686" s="1" t="n">
        <v>21.9</v>
      </c>
      <c r="N686" s="1" t="n">
        <v>29.9</v>
      </c>
      <c r="O686" s="1" t="n">
        <v>0</v>
      </c>
      <c r="P686" s="6" t="s">
        <v>43</v>
      </c>
      <c r="Q686" s="6" t="s">
        <v>43</v>
      </c>
      <c r="R686" s="1" t="n">
        <v>1005.3</v>
      </c>
      <c r="S686" s="1" t="n">
        <v>16</v>
      </c>
      <c r="T686" s="1" t="n">
        <v>25.6</v>
      </c>
      <c r="U686" s="1" t="n">
        <v>42.8</v>
      </c>
      <c r="V686" s="1" t="n">
        <v>263</v>
      </c>
      <c r="W686" s="1" t="n">
        <v>4</v>
      </c>
      <c r="X686" s="1" t="n">
        <v>14.8</v>
      </c>
      <c r="Y686" s="1" t="n">
        <v>156</v>
      </c>
      <c r="Z686" s="1" t="n">
        <v>23</v>
      </c>
      <c r="AA686" s="1" t="n">
        <v>133</v>
      </c>
      <c r="AB686" s="7" t="s">
        <v>81</v>
      </c>
      <c r="AC686" s="7" t="s">
        <v>82</v>
      </c>
      <c r="AD686" s="7" t="s">
        <v>83</v>
      </c>
      <c r="AE686" s="7" t="s">
        <v>84</v>
      </c>
      <c r="AF686" s="4" t="n">
        <f aca="false">IF(T686="","",IF(T686&lt;=30,(50/30)*T686,IF(T686&lt;=60,50+((100-50)/(60-30))*(T686-30),IF(T686&lt;=90,100+((200-100)/(90-60))*(T686-60),IF(T686&lt;=120,200+((300-200)/(120-90))*(T686-90),IF(T686&lt;=250,300+((400-300)/(250-120))*(T686-120),IF(T686&lt;=380,400+((500-400)/(380-250))*(T686-250),500)))))))</f>
        <v>42.6666666666667</v>
      </c>
      <c r="AG686" s="4" t="n">
        <f aca="false">IF(U686="","",IF(U686&lt;=50,(50/50)*U686,IF(U686&lt;=100,50+((100-50)/(100-50))*(U686-50),IF(U686&lt;=250,100+((200-100)/(250-100))*(U686-100),IF(U686&lt;=350,200+((300-200)/(350-250))*(U686-250),IF(U686&lt;=430,300+((400-300)/(430-350))*(U686-350),IF(U686&lt;=600,400+((500-400)/(600-430))*(U686-430),500)))))))</f>
        <v>42.8</v>
      </c>
      <c r="AH686" s="4" t="n">
        <f aca="false">IF(V686="","",IF((V686/1000)&lt;=1,(50/1)*(V686/1000),IF((V686/1000)&lt;=2,50+((100-50)/(2-1))*(V686/1000-1),IF((V686/1000)&lt;=10,100+((200-100)/(10-2))*(V686/1000-2),IF((V686/1000)&lt;=17,200+((300-200)/(17-10))*(V686/1000-10),IF((V686/1000)&lt;=34,300+((400-300)/(34-17))*(V686/1000-17),IF((V686/1000)&lt;=57,400+((500-400)/(57-34))*(V686/1000-34),500)))))))</f>
        <v>13.15</v>
      </c>
      <c r="AI686" s="4" t="n">
        <f aca="false">IF(W686="","",IF(W686&lt;=40,(50/40)*W686,IF(W686&lt;=80,50+((100-50)/(80-40))*(W686-40),IF(W686&lt;=180,100+((200-100)/(180-80))*(W686-80),IF(W686&lt;=280,200+((300-200)/(280-180))*(W686-180),IF(W686&lt;=400,300+((400-300)/(400-280))*(W686-280),IF(W686&lt;=800,400+((500-400)/(800-400))*(W686-400),500)))))))</f>
        <v>5</v>
      </c>
      <c r="AJ686" s="4" t="n">
        <f aca="false">IF(X686="","",IF(X686&lt;=40,(50/40)*X686,IF(X686&lt;=80,50+((100-50)/(80-40))*(X686-40),IF(X686&lt;=380,100+((200-100)/(380-80))*(X686-80),IF(X686&lt;=800,200+((300-200)/(800-380))*(X686-380),IF(X686&lt;=1600,300+((400-300)/(1600-800))*(X686-800),IF(X686&lt;=2100,400+((500-400)/(2100-1600))*(X686-1600),500)))))))</f>
        <v>18.5</v>
      </c>
      <c r="AK686" s="4" t="n">
        <f aca="false">IF(Y686="","",IF(Y686&lt;=50,(50/50)*Y686,IF(Y686&lt;=100,50+((100-50)/(100-50))*(Y686-50),IF(Y686&lt;=168,100+((200-100)/(168-100))*(Y686-100),IF(Y686&lt;=208,200+((300-200)/(208-168))*(Y686-168),IF(Y686&lt;=748,300+((400-300)/(748-208))*(Y686-208),IF(Y686&lt;=1000,400+((500-400)/(1000-748))*(Y686-748),500)))))))</f>
        <v>182.352941176471</v>
      </c>
      <c r="AL686" s="4" t="n">
        <f aca="false">ROUND(MAX(AF686,AG686,AH686,AI686,AJ686,AK686),0)</f>
        <v>182</v>
      </c>
      <c r="AM686" s="4" t="str">
        <f aca="false">IF(AL686="","",IF(AL686&lt;=50,"Good",IF(AL686&lt;=100,"Satisfactory",IF(AL686&lt;=200,"Moderate",IF(AL686&lt;=300,"Poor",IF(AL686&lt;=400,"Very Poor","Severe"))))))</f>
        <v>Moderate</v>
      </c>
    </row>
    <row r="687" customFormat="false" ht="15.75" hidden="false" customHeight="false" outlineLevel="0" collapsed="false">
      <c r="A687" s="1" t="s">
        <v>39</v>
      </c>
      <c r="B687" s="1" t="s">
        <v>40</v>
      </c>
      <c r="C687" s="1" t="n">
        <v>28.4595</v>
      </c>
      <c r="D687" s="1" t="n">
        <v>77.0266</v>
      </c>
      <c r="E687" s="5" t="n">
        <v>45929</v>
      </c>
      <c r="F687" s="6" t="s">
        <v>64</v>
      </c>
      <c r="G687" s="1" t="n">
        <v>9</v>
      </c>
      <c r="H687" s="7" t="s">
        <v>42</v>
      </c>
      <c r="I687" s="6" t="s">
        <v>43</v>
      </c>
      <c r="J687" s="7" t="s">
        <v>44</v>
      </c>
      <c r="K687" s="7" t="s">
        <v>65</v>
      </c>
      <c r="L687" s="1" t="n">
        <v>47</v>
      </c>
      <c r="M687" s="1" t="n">
        <v>22</v>
      </c>
      <c r="N687" s="1" t="n">
        <v>27.4</v>
      </c>
      <c r="O687" s="1" t="n">
        <v>0</v>
      </c>
      <c r="P687" s="6" t="s">
        <v>43</v>
      </c>
      <c r="Q687" s="6" t="s">
        <v>43</v>
      </c>
      <c r="R687" s="1" t="n">
        <v>1004.1</v>
      </c>
      <c r="S687" s="1" t="n">
        <v>10</v>
      </c>
      <c r="T687" s="1" t="n">
        <v>25.5</v>
      </c>
      <c r="U687" s="1" t="n">
        <v>43.2</v>
      </c>
      <c r="V687" s="1" t="n">
        <v>269</v>
      </c>
      <c r="W687" s="1" t="n">
        <v>3.7</v>
      </c>
      <c r="X687" s="1" t="n">
        <v>13.5</v>
      </c>
      <c r="Y687" s="1" t="n">
        <v>159</v>
      </c>
      <c r="Z687" s="1" t="n">
        <v>25</v>
      </c>
      <c r="AA687" s="1" t="n">
        <v>131</v>
      </c>
      <c r="AB687" s="7" t="s">
        <v>81</v>
      </c>
      <c r="AC687" s="7" t="s">
        <v>82</v>
      </c>
      <c r="AD687" s="7" t="s">
        <v>83</v>
      </c>
      <c r="AE687" s="7" t="s">
        <v>84</v>
      </c>
      <c r="AF687" s="4" t="n">
        <f aca="false">IF(T687="","",IF(T687&lt;=30,(50/30)*T687,IF(T687&lt;=60,50+((100-50)/(60-30))*(T687-30),IF(T687&lt;=90,100+((200-100)/(90-60))*(T687-60),IF(T687&lt;=120,200+((300-200)/(120-90))*(T687-90),IF(T687&lt;=250,300+((400-300)/(250-120))*(T687-120),IF(T687&lt;=380,400+((500-400)/(380-250))*(T687-250),500)))))))</f>
        <v>42.5</v>
      </c>
      <c r="AG687" s="4" t="n">
        <f aca="false">IF(U687="","",IF(U687&lt;=50,(50/50)*U687,IF(U687&lt;=100,50+((100-50)/(100-50))*(U687-50),IF(U687&lt;=250,100+((200-100)/(250-100))*(U687-100),IF(U687&lt;=350,200+((300-200)/(350-250))*(U687-250),IF(U687&lt;=430,300+((400-300)/(430-350))*(U687-350),IF(U687&lt;=600,400+((500-400)/(600-430))*(U687-430),500)))))))</f>
        <v>43.2</v>
      </c>
      <c r="AH687" s="4" t="n">
        <f aca="false">IF(V687="","",IF((V687/1000)&lt;=1,(50/1)*(V687/1000),IF((V687/1000)&lt;=2,50+((100-50)/(2-1))*(V687/1000-1),IF((V687/1000)&lt;=10,100+((200-100)/(10-2))*(V687/1000-2),IF((V687/1000)&lt;=17,200+((300-200)/(17-10))*(V687/1000-10),IF((V687/1000)&lt;=34,300+((400-300)/(34-17))*(V687/1000-17),IF((V687/1000)&lt;=57,400+((500-400)/(57-34))*(V687/1000-34),500)))))))</f>
        <v>13.45</v>
      </c>
      <c r="AI687" s="4" t="n">
        <f aca="false">IF(W687="","",IF(W687&lt;=40,(50/40)*W687,IF(W687&lt;=80,50+((100-50)/(80-40))*(W687-40),IF(W687&lt;=180,100+((200-100)/(180-80))*(W687-80),IF(W687&lt;=280,200+((300-200)/(280-180))*(W687-180),IF(W687&lt;=400,300+((400-300)/(400-280))*(W687-280),IF(W687&lt;=800,400+((500-400)/(800-400))*(W687-400),500)))))))</f>
        <v>4.625</v>
      </c>
      <c r="AJ687" s="4" t="n">
        <f aca="false">IF(X687="","",IF(X687&lt;=40,(50/40)*X687,IF(X687&lt;=80,50+((100-50)/(80-40))*(X687-40),IF(X687&lt;=380,100+((200-100)/(380-80))*(X687-80),IF(X687&lt;=800,200+((300-200)/(800-380))*(X687-380),IF(X687&lt;=1600,300+((400-300)/(1600-800))*(X687-800),IF(X687&lt;=2100,400+((500-400)/(2100-1600))*(X687-1600),500)))))))</f>
        <v>16.875</v>
      </c>
      <c r="AK687" s="4" t="n">
        <f aca="false">IF(Y687="","",IF(Y687&lt;=50,(50/50)*Y687,IF(Y687&lt;=100,50+((100-50)/(100-50))*(Y687-50),IF(Y687&lt;=168,100+((200-100)/(168-100))*(Y687-100),IF(Y687&lt;=208,200+((300-200)/(208-168))*(Y687-168),IF(Y687&lt;=748,300+((400-300)/(748-208))*(Y687-208),IF(Y687&lt;=1000,400+((500-400)/(1000-748))*(Y687-748),500)))))))</f>
        <v>186.764705882353</v>
      </c>
      <c r="AL687" s="4" t="n">
        <f aca="false">ROUND(MAX(AF687,AG687,AH687,AI687,AJ687,AK687),0)</f>
        <v>187</v>
      </c>
      <c r="AM687" s="4" t="str">
        <f aca="false">IF(AL687="","",IF(AL687&lt;=50,"Good",IF(AL687&lt;=100,"Satisfactory",IF(AL687&lt;=200,"Moderate",IF(AL687&lt;=300,"Poor",IF(AL687&lt;=400,"Very Poor","Severe"))))))</f>
        <v>Moderate</v>
      </c>
    </row>
    <row r="688" customFormat="false" ht="15.75" hidden="false" customHeight="false" outlineLevel="0" collapsed="false">
      <c r="A688" s="1" t="s">
        <v>39</v>
      </c>
      <c r="B688" s="1" t="s">
        <v>40</v>
      </c>
      <c r="C688" s="1" t="n">
        <v>28.4595</v>
      </c>
      <c r="D688" s="1" t="n">
        <v>77.0266</v>
      </c>
      <c r="E688" s="5" t="n">
        <v>45929</v>
      </c>
      <c r="F688" s="6" t="s">
        <v>66</v>
      </c>
      <c r="G688" s="1" t="n">
        <v>9</v>
      </c>
      <c r="H688" s="7" t="s">
        <v>42</v>
      </c>
      <c r="I688" s="6" t="s">
        <v>43</v>
      </c>
      <c r="J688" s="7" t="s">
        <v>44</v>
      </c>
      <c r="K688" s="7" t="s">
        <v>65</v>
      </c>
      <c r="L688" s="1" t="n">
        <v>45</v>
      </c>
      <c r="M688" s="1" t="n">
        <v>21.4</v>
      </c>
      <c r="N688" s="1" t="n">
        <v>23.4</v>
      </c>
      <c r="O688" s="1" t="n">
        <v>0</v>
      </c>
      <c r="P688" s="6" t="s">
        <v>43</v>
      </c>
      <c r="Q688" s="6" t="s">
        <v>43</v>
      </c>
      <c r="R688" s="1" t="n">
        <v>1002.8</v>
      </c>
      <c r="S688" s="1" t="n">
        <v>9</v>
      </c>
      <c r="T688" s="1" t="n">
        <v>24.8</v>
      </c>
      <c r="U688" s="1" t="n">
        <v>40</v>
      </c>
      <c r="V688" s="1" t="n">
        <v>286</v>
      </c>
      <c r="W688" s="1" t="n">
        <v>4.6</v>
      </c>
      <c r="X688" s="1" t="n">
        <v>12.9</v>
      </c>
      <c r="Y688" s="1" t="n">
        <v>158</v>
      </c>
      <c r="Z688" s="1" t="n">
        <v>29</v>
      </c>
      <c r="AA688" s="1" t="n">
        <v>128</v>
      </c>
      <c r="AB688" s="7" t="s">
        <v>81</v>
      </c>
      <c r="AC688" s="7" t="s">
        <v>82</v>
      </c>
      <c r="AD688" s="7" t="s">
        <v>83</v>
      </c>
      <c r="AE688" s="7" t="s">
        <v>84</v>
      </c>
      <c r="AF688" s="4" t="n">
        <f aca="false">IF(T688="","",IF(T688&lt;=30,(50/30)*T688,IF(T688&lt;=60,50+((100-50)/(60-30))*(T688-30),IF(T688&lt;=90,100+((200-100)/(90-60))*(T688-60),IF(T688&lt;=120,200+((300-200)/(120-90))*(T688-90),IF(T688&lt;=250,300+((400-300)/(250-120))*(T688-120),IF(T688&lt;=380,400+((500-400)/(380-250))*(T688-250),500)))))))</f>
        <v>41.3333333333333</v>
      </c>
      <c r="AG688" s="4" t="n">
        <f aca="false">IF(U688="","",IF(U688&lt;=50,(50/50)*U688,IF(U688&lt;=100,50+((100-50)/(100-50))*(U688-50),IF(U688&lt;=250,100+((200-100)/(250-100))*(U688-100),IF(U688&lt;=350,200+((300-200)/(350-250))*(U688-250),IF(U688&lt;=430,300+((400-300)/(430-350))*(U688-350),IF(U688&lt;=600,400+((500-400)/(600-430))*(U688-430),500)))))))</f>
        <v>40</v>
      </c>
      <c r="AH688" s="4" t="n">
        <f aca="false">IF(V688="","",IF((V688/1000)&lt;=1,(50/1)*(V688/1000),IF((V688/1000)&lt;=2,50+((100-50)/(2-1))*(V688/1000-1),IF((V688/1000)&lt;=10,100+((200-100)/(10-2))*(V688/1000-2),IF((V688/1000)&lt;=17,200+((300-200)/(17-10))*(V688/1000-10),IF((V688/1000)&lt;=34,300+((400-300)/(34-17))*(V688/1000-17),IF((V688/1000)&lt;=57,400+((500-400)/(57-34))*(V688/1000-34),500)))))))</f>
        <v>14.3</v>
      </c>
      <c r="AI688" s="4" t="n">
        <f aca="false">IF(W688="","",IF(W688&lt;=40,(50/40)*W688,IF(W688&lt;=80,50+((100-50)/(80-40))*(W688-40),IF(W688&lt;=180,100+((200-100)/(180-80))*(W688-80),IF(W688&lt;=280,200+((300-200)/(280-180))*(W688-180),IF(W688&lt;=400,300+((400-300)/(400-280))*(W688-280),IF(W688&lt;=800,400+((500-400)/(800-400))*(W688-400),500)))))))</f>
        <v>5.75</v>
      </c>
      <c r="AJ688" s="4" t="n">
        <f aca="false">IF(X688="","",IF(X688&lt;=40,(50/40)*X688,IF(X688&lt;=80,50+((100-50)/(80-40))*(X688-40),IF(X688&lt;=380,100+((200-100)/(380-80))*(X688-80),IF(X688&lt;=800,200+((300-200)/(800-380))*(X688-380),IF(X688&lt;=1600,300+((400-300)/(1600-800))*(X688-800),IF(X688&lt;=2100,400+((500-400)/(2100-1600))*(X688-1600),500)))))))</f>
        <v>16.125</v>
      </c>
      <c r="AK688" s="4" t="n">
        <f aca="false">IF(Y688="","",IF(Y688&lt;=50,(50/50)*Y688,IF(Y688&lt;=100,50+((100-50)/(100-50))*(Y688-50),IF(Y688&lt;=168,100+((200-100)/(168-100))*(Y688-100),IF(Y688&lt;=208,200+((300-200)/(208-168))*(Y688-168),IF(Y688&lt;=748,300+((400-300)/(748-208))*(Y688-208),IF(Y688&lt;=1000,400+((500-400)/(1000-748))*(Y688-748),500)))))))</f>
        <v>185.294117647059</v>
      </c>
      <c r="AL688" s="4" t="n">
        <f aca="false">ROUND(MAX(AF688,AG688,AH688,AI688,AJ688,AK688),0)</f>
        <v>185</v>
      </c>
      <c r="AM688" s="4" t="str">
        <f aca="false">IF(AL688="","",IF(AL688&lt;=50,"Good",IF(AL688&lt;=100,"Satisfactory",IF(AL688&lt;=200,"Moderate",IF(AL688&lt;=300,"Poor",IF(AL688&lt;=400,"Very Poor","Severe"))))))</f>
        <v>Moderate</v>
      </c>
    </row>
    <row r="689" customFormat="false" ht="15.75" hidden="false" customHeight="false" outlineLevel="0" collapsed="false">
      <c r="A689" s="1" t="s">
        <v>39</v>
      </c>
      <c r="B689" s="1" t="s">
        <v>40</v>
      </c>
      <c r="C689" s="1" t="n">
        <v>28.4595</v>
      </c>
      <c r="D689" s="1" t="n">
        <v>77.0266</v>
      </c>
      <c r="E689" s="5" t="n">
        <v>45929</v>
      </c>
      <c r="F689" s="6" t="s">
        <v>67</v>
      </c>
      <c r="G689" s="1" t="n">
        <v>9</v>
      </c>
      <c r="H689" s="7" t="s">
        <v>42</v>
      </c>
      <c r="I689" s="6" t="s">
        <v>43</v>
      </c>
      <c r="J689" s="7" t="s">
        <v>44</v>
      </c>
      <c r="K689" s="7" t="s">
        <v>65</v>
      </c>
      <c r="L689" s="1" t="n">
        <v>45</v>
      </c>
      <c r="M689" s="1" t="n">
        <v>21.2</v>
      </c>
      <c r="N689" s="1" t="n">
        <v>23</v>
      </c>
      <c r="O689" s="1" t="n">
        <v>0</v>
      </c>
      <c r="P689" s="6" t="s">
        <v>43</v>
      </c>
      <c r="Q689" s="6" t="s">
        <v>43</v>
      </c>
      <c r="R689" s="1" t="n">
        <v>1001.9</v>
      </c>
      <c r="S689" s="1" t="n">
        <v>12</v>
      </c>
      <c r="T689" s="1" t="n">
        <v>24.2</v>
      </c>
      <c r="U689" s="1" t="n">
        <v>36.8</v>
      </c>
      <c r="V689" s="1" t="n">
        <v>301</v>
      </c>
      <c r="W689" s="1" t="n">
        <v>6.3</v>
      </c>
      <c r="X689" s="1" t="n">
        <v>13.1</v>
      </c>
      <c r="Y689" s="1" t="n">
        <v>155</v>
      </c>
      <c r="Z689" s="1" t="n">
        <v>24</v>
      </c>
      <c r="AA689" s="1" t="n">
        <v>121</v>
      </c>
      <c r="AB689" s="7" t="s">
        <v>81</v>
      </c>
      <c r="AC689" s="7" t="s">
        <v>82</v>
      </c>
      <c r="AD689" s="7" t="s">
        <v>83</v>
      </c>
      <c r="AE689" s="7" t="s">
        <v>84</v>
      </c>
      <c r="AF689" s="4" t="n">
        <f aca="false">IF(T689="","",IF(T689&lt;=30,(50/30)*T689,IF(T689&lt;=60,50+((100-50)/(60-30))*(T689-30),IF(T689&lt;=90,100+((200-100)/(90-60))*(T689-60),IF(T689&lt;=120,200+((300-200)/(120-90))*(T689-90),IF(T689&lt;=250,300+((400-300)/(250-120))*(T689-120),IF(T689&lt;=380,400+((500-400)/(380-250))*(T689-250),500)))))))</f>
        <v>40.3333333333333</v>
      </c>
      <c r="AG689" s="4" t="n">
        <f aca="false">IF(U689="","",IF(U689&lt;=50,(50/50)*U689,IF(U689&lt;=100,50+((100-50)/(100-50))*(U689-50),IF(U689&lt;=250,100+((200-100)/(250-100))*(U689-100),IF(U689&lt;=350,200+((300-200)/(350-250))*(U689-250),IF(U689&lt;=430,300+((400-300)/(430-350))*(U689-350),IF(U689&lt;=600,400+((500-400)/(600-430))*(U689-430),500)))))))</f>
        <v>36.8</v>
      </c>
      <c r="AH689" s="4" t="n">
        <f aca="false">IF(V689="","",IF((V689/1000)&lt;=1,(50/1)*(V689/1000),IF((V689/1000)&lt;=2,50+((100-50)/(2-1))*(V689/1000-1),IF((V689/1000)&lt;=10,100+((200-100)/(10-2))*(V689/1000-2),IF((V689/1000)&lt;=17,200+((300-200)/(17-10))*(V689/1000-10),IF((V689/1000)&lt;=34,300+((400-300)/(34-17))*(V689/1000-17),IF((V689/1000)&lt;=57,400+((500-400)/(57-34))*(V689/1000-34),500)))))))</f>
        <v>15.05</v>
      </c>
      <c r="AI689" s="4" t="n">
        <f aca="false">IF(W689="","",IF(W689&lt;=40,(50/40)*W689,IF(W689&lt;=80,50+((100-50)/(80-40))*(W689-40),IF(W689&lt;=180,100+((200-100)/(180-80))*(W689-80),IF(W689&lt;=280,200+((300-200)/(280-180))*(W689-180),IF(W689&lt;=400,300+((400-300)/(400-280))*(W689-280),IF(W689&lt;=800,400+((500-400)/(800-400))*(W689-400),500)))))))</f>
        <v>7.875</v>
      </c>
      <c r="AJ689" s="4" t="n">
        <f aca="false">IF(X689="","",IF(X689&lt;=40,(50/40)*X689,IF(X689&lt;=80,50+((100-50)/(80-40))*(X689-40),IF(X689&lt;=380,100+((200-100)/(380-80))*(X689-80),IF(X689&lt;=800,200+((300-200)/(800-380))*(X689-380),IF(X689&lt;=1600,300+((400-300)/(1600-800))*(X689-800),IF(X689&lt;=2100,400+((500-400)/(2100-1600))*(X689-1600),500)))))))</f>
        <v>16.375</v>
      </c>
      <c r="AK689" s="4" t="n">
        <f aca="false">IF(Y689="","",IF(Y689&lt;=50,(50/50)*Y689,IF(Y689&lt;=100,50+((100-50)/(100-50))*(Y689-50),IF(Y689&lt;=168,100+((200-100)/(168-100))*(Y689-100),IF(Y689&lt;=208,200+((300-200)/(208-168))*(Y689-168),IF(Y689&lt;=748,300+((400-300)/(748-208))*(Y689-208),IF(Y689&lt;=1000,400+((500-400)/(1000-748))*(Y689-748),500)))))))</f>
        <v>180.882352941176</v>
      </c>
      <c r="AL689" s="4" t="n">
        <f aca="false">ROUND(MAX(AF689,AG689,AH689,AI689,AJ689,AK689),0)</f>
        <v>181</v>
      </c>
      <c r="AM689" s="4" t="str">
        <f aca="false">IF(AL689="","",IF(AL689&lt;=50,"Good",IF(AL689&lt;=100,"Satisfactory",IF(AL689&lt;=200,"Moderate",IF(AL689&lt;=300,"Poor",IF(AL689&lt;=400,"Very Poor","Severe"))))))</f>
        <v>Moderate</v>
      </c>
    </row>
    <row r="690" customFormat="false" ht="15.75" hidden="false" customHeight="false" outlineLevel="0" collapsed="false">
      <c r="A690" s="1" t="s">
        <v>39</v>
      </c>
      <c r="B690" s="1" t="s">
        <v>40</v>
      </c>
      <c r="C690" s="1" t="n">
        <v>28.4595</v>
      </c>
      <c r="D690" s="1" t="n">
        <v>77.0266</v>
      </c>
      <c r="E690" s="5" t="n">
        <v>45929</v>
      </c>
      <c r="F690" s="6" t="s">
        <v>68</v>
      </c>
      <c r="G690" s="1" t="n">
        <v>9</v>
      </c>
      <c r="H690" s="7" t="s">
        <v>42</v>
      </c>
      <c r="I690" s="6" t="s">
        <v>43</v>
      </c>
      <c r="J690" s="7" t="s">
        <v>44</v>
      </c>
      <c r="K690" s="7" t="s">
        <v>65</v>
      </c>
      <c r="L690" s="1" t="n">
        <v>46</v>
      </c>
      <c r="M690" s="1" t="n">
        <v>21.2</v>
      </c>
      <c r="N690" s="1" t="n">
        <v>19.8</v>
      </c>
      <c r="O690" s="1" t="n">
        <v>0</v>
      </c>
      <c r="P690" s="6" t="s">
        <v>43</v>
      </c>
      <c r="Q690" s="6" t="s">
        <v>43</v>
      </c>
      <c r="R690" s="1" t="n">
        <v>1001.5</v>
      </c>
      <c r="S690" s="1" t="n">
        <v>12</v>
      </c>
      <c r="T690" s="1" t="n">
        <v>25.4</v>
      </c>
      <c r="U690" s="1" t="n">
        <v>36.1</v>
      </c>
      <c r="V690" s="1" t="n">
        <v>328</v>
      </c>
      <c r="W690" s="1" t="n">
        <v>9.2</v>
      </c>
      <c r="X690" s="1" t="n">
        <v>14.1</v>
      </c>
      <c r="Y690" s="1" t="n">
        <v>148</v>
      </c>
      <c r="Z690" s="1" t="n">
        <v>21</v>
      </c>
      <c r="AA690" s="1" t="n">
        <v>115</v>
      </c>
      <c r="AB690" s="7" t="s">
        <v>81</v>
      </c>
      <c r="AC690" s="7" t="s">
        <v>82</v>
      </c>
      <c r="AD690" s="7" t="s">
        <v>83</v>
      </c>
      <c r="AE690" s="7" t="s">
        <v>84</v>
      </c>
      <c r="AF690" s="4" t="n">
        <f aca="false">IF(T690="","",IF(T690&lt;=30,(50/30)*T690,IF(T690&lt;=60,50+((100-50)/(60-30))*(T690-30),IF(T690&lt;=90,100+((200-100)/(90-60))*(T690-60),IF(T690&lt;=120,200+((300-200)/(120-90))*(T690-90),IF(T690&lt;=250,300+((400-300)/(250-120))*(T690-120),IF(T690&lt;=380,400+((500-400)/(380-250))*(T690-250),500)))))))</f>
        <v>42.3333333333333</v>
      </c>
      <c r="AG690" s="4" t="n">
        <f aca="false">IF(U690="","",IF(U690&lt;=50,(50/50)*U690,IF(U690&lt;=100,50+((100-50)/(100-50))*(U690-50),IF(U690&lt;=250,100+((200-100)/(250-100))*(U690-100),IF(U690&lt;=350,200+((300-200)/(350-250))*(U690-250),IF(U690&lt;=430,300+((400-300)/(430-350))*(U690-350),IF(U690&lt;=600,400+((500-400)/(600-430))*(U690-430),500)))))))</f>
        <v>36.1</v>
      </c>
      <c r="AH690" s="4" t="n">
        <f aca="false">IF(V690="","",IF((V690/1000)&lt;=1,(50/1)*(V690/1000),IF((V690/1000)&lt;=2,50+((100-50)/(2-1))*(V690/1000-1),IF((V690/1000)&lt;=10,100+((200-100)/(10-2))*(V690/1000-2),IF((V690/1000)&lt;=17,200+((300-200)/(17-10))*(V690/1000-10),IF((V690/1000)&lt;=34,300+((400-300)/(34-17))*(V690/1000-17),IF((V690/1000)&lt;=57,400+((500-400)/(57-34))*(V690/1000-34),500)))))))</f>
        <v>16.4</v>
      </c>
      <c r="AI690" s="4" t="n">
        <f aca="false">IF(W690="","",IF(W690&lt;=40,(50/40)*W690,IF(W690&lt;=80,50+((100-50)/(80-40))*(W690-40),IF(W690&lt;=180,100+((200-100)/(180-80))*(W690-80),IF(W690&lt;=280,200+((300-200)/(280-180))*(W690-180),IF(W690&lt;=400,300+((400-300)/(400-280))*(W690-280),IF(W690&lt;=800,400+((500-400)/(800-400))*(W690-400),500)))))))</f>
        <v>11.5</v>
      </c>
      <c r="AJ690" s="4" t="n">
        <f aca="false">IF(X690="","",IF(X690&lt;=40,(50/40)*X690,IF(X690&lt;=80,50+((100-50)/(80-40))*(X690-40),IF(X690&lt;=380,100+((200-100)/(380-80))*(X690-80),IF(X690&lt;=800,200+((300-200)/(800-380))*(X690-380),IF(X690&lt;=1600,300+((400-300)/(1600-800))*(X690-800),IF(X690&lt;=2100,400+((500-400)/(2100-1600))*(X690-1600),500)))))))</f>
        <v>17.625</v>
      </c>
      <c r="AK690" s="4" t="n">
        <f aca="false">IF(Y690="","",IF(Y690&lt;=50,(50/50)*Y690,IF(Y690&lt;=100,50+((100-50)/(100-50))*(Y690-50),IF(Y690&lt;=168,100+((200-100)/(168-100))*(Y690-100),IF(Y690&lt;=208,200+((300-200)/(208-168))*(Y690-168),IF(Y690&lt;=748,300+((400-300)/(748-208))*(Y690-208),IF(Y690&lt;=1000,400+((500-400)/(1000-748))*(Y690-748),500)))))))</f>
        <v>170.588235294118</v>
      </c>
      <c r="AL690" s="4" t="n">
        <f aca="false">ROUND(MAX(AF690,AG690,AH690,AI690,AJ690,AK690),0)</f>
        <v>171</v>
      </c>
      <c r="AM690" s="4" t="str">
        <f aca="false">IF(AL690="","",IF(AL690&lt;=50,"Good",IF(AL690&lt;=100,"Satisfactory",IF(AL690&lt;=200,"Moderate",IF(AL690&lt;=300,"Poor",IF(AL690&lt;=400,"Very Poor","Severe"))))))</f>
        <v>Moderate</v>
      </c>
    </row>
    <row r="691" customFormat="false" ht="15.75" hidden="false" customHeight="false" outlineLevel="0" collapsed="false">
      <c r="A691" s="1" t="s">
        <v>39</v>
      </c>
      <c r="B691" s="1" t="s">
        <v>40</v>
      </c>
      <c r="C691" s="1" t="n">
        <v>28.4595</v>
      </c>
      <c r="D691" s="1" t="n">
        <v>77.0266</v>
      </c>
      <c r="E691" s="5" t="n">
        <v>45929</v>
      </c>
      <c r="F691" s="6" t="s">
        <v>69</v>
      </c>
      <c r="G691" s="1" t="n">
        <v>9</v>
      </c>
      <c r="H691" s="7" t="s">
        <v>42</v>
      </c>
      <c r="I691" s="6" t="s">
        <v>43</v>
      </c>
      <c r="J691" s="7" t="s">
        <v>44</v>
      </c>
      <c r="K691" s="7" t="s">
        <v>65</v>
      </c>
      <c r="L691" s="1" t="n">
        <v>50</v>
      </c>
      <c r="M691" s="1" t="n">
        <v>21.7</v>
      </c>
      <c r="N691" s="1" t="n">
        <v>18.7</v>
      </c>
      <c r="O691" s="1" t="n">
        <v>0</v>
      </c>
      <c r="P691" s="6" t="s">
        <v>43</v>
      </c>
      <c r="Q691" s="6" t="s">
        <v>43</v>
      </c>
      <c r="R691" s="1" t="n">
        <v>1001.6</v>
      </c>
      <c r="S691" s="1" t="n">
        <v>19</v>
      </c>
      <c r="T691" s="1" t="n">
        <v>36</v>
      </c>
      <c r="U691" s="1" t="n">
        <v>67.8</v>
      </c>
      <c r="V691" s="1" t="n">
        <v>391</v>
      </c>
      <c r="W691" s="1" t="n">
        <v>15.1</v>
      </c>
      <c r="X691" s="1" t="n">
        <v>17.7</v>
      </c>
      <c r="Y691" s="1" t="n">
        <v>133</v>
      </c>
      <c r="Z691" s="1" t="n">
        <v>62</v>
      </c>
      <c r="AA691" s="1" t="n">
        <v>113</v>
      </c>
      <c r="AB691" s="7" t="s">
        <v>81</v>
      </c>
      <c r="AC691" s="7" t="s">
        <v>82</v>
      </c>
      <c r="AD691" s="7" t="s">
        <v>83</v>
      </c>
      <c r="AE691" s="7" t="s">
        <v>84</v>
      </c>
      <c r="AF691" s="4" t="n">
        <f aca="false">IF(T691="","",IF(T691&lt;=30,(50/30)*T691,IF(T691&lt;=60,50+((100-50)/(60-30))*(T691-30),IF(T691&lt;=90,100+((200-100)/(90-60))*(T691-60),IF(T691&lt;=120,200+((300-200)/(120-90))*(T691-90),IF(T691&lt;=250,300+((400-300)/(250-120))*(T691-120),IF(T691&lt;=380,400+((500-400)/(380-250))*(T691-250),500)))))))</f>
        <v>60</v>
      </c>
      <c r="AG691" s="4" t="n">
        <f aca="false">IF(U691="","",IF(U691&lt;=50,(50/50)*U691,IF(U691&lt;=100,50+((100-50)/(100-50))*(U691-50),IF(U691&lt;=250,100+((200-100)/(250-100))*(U691-100),IF(U691&lt;=350,200+((300-200)/(350-250))*(U691-250),IF(U691&lt;=430,300+((400-300)/(430-350))*(U691-350),IF(U691&lt;=600,400+((500-400)/(600-430))*(U691-430),500)))))))</f>
        <v>67.8</v>
      </c>
      <c r="AH691" s="4" t="n">
        <f aca="false">IF(V691="","",IF((V691/1000)&lt;=1,(50/1)*(V691/1000),IF((V691/1000)&lt;=2,50+((100-50)/(2-1))*(V691/1000-1),IF((V691/1000)&lt;=10,100+((200-100)/(10-2))*(V691/1000-2),IF((V691/1000)&lt;=17,200+((300-200)/(17-10))*(V691/1000-10),IF((V691/1000)&lt;=34,300+((400-300)/(34-17))*(V691/1000-17),IF((V691/1000)&lt;=57,400+((500-400)/(57-34))*(V691/1000-34),500)))))))</f>
        <v>19.55</v>
      </c>
      <c r="AI691" s="4" t="n">
        <f aca="false">IF(W691="","",IF(W691&lt;=40,(50/40)*W691,IF(W691&lt;=80,50+((100-50)/(80-40))*(W691-40),IF(W691&lt;=180,100+((200-100)/(180-80))*(W691-80),IF(W691&lt;=280,200+((300-200)/(280-180))*(W691-180),IF(W691&lt;=400,300+((400-300)/(400-280))*(W691-280),IF(W691&lt;=800,400+((500-400)/(800-400))*(W691-400),500)))))))</f>
        <v>18.875</v>
      </c>
      <c r="AJ691" s="4" t="n">
        <f aca="false">IF(X691="","",IF(X691&lt;=40,(50/40)*X691,IF(X691&lt;=80,50+((100-50)/(80-40))*(X691-40),IF(X691&lt;=380,100+((200-100)/(380-80))*(X691-80),IF(X691&lt;=800,200+((300-200)/(800-380))*(X691-380),IF(X691&lt;=1600,300+((400-300)/(1600-800))*(X691-800),IF(X691&lt;=2100,400+((500-400)/(2100-1600))*(X691-1600),500)))))))</f>
        <v>22.125</v>
      </c>
      <c r="AK691" s="4" t="n">
        <f aca="false">IF(Y691="","",IF(Y691&lt;=50,(50/50)*Y691,IF(Y691&lt;=100,50+((100-50)/(100-50))*(Y691-50),IF(Y691&lt;=168,100+((200-100)/(168-100))*(Y691-100),IF(Y691&lt;=208,200+((300-200)/(208-168))*(Y691-168),IF(Y691&lt;=748,300+((400-300)/(748-208))*(Y691-208),IF(Y691&lt;=1000,400+((500-400)/(1000-748))*(Y691-748),500)))))))</f>
        <v>148.529411764706</v>
      </c>
      <c r="AL691" s="4" t="n">
        <f aca="false">ROUND(MAX(AF691,AG691,AH691,AI691,AJ691,AK691),0)</f>
        <v>149</v>
      </c>
      <c r="AM691" s="4" t="str">
        <f aca="false">IF(AL691="","",IF(AL691&lt;=50,"Good",IF(AL691&lt;=100,"Satisfactory",IF(AL691&lt;=200,"Moderate",IF(AL691&lt;=300,"Poor",IF(AL691&lt;=400,"Very Poor","Severe"))))))</f>
        <v>Moderate</v>
      </c>
    </row>
    <row r="692" customFormat="false" ht="15.75" hidden="false" customHeight="false" outlineLevel="0" collapsed="false">
      <c r="A692" s="1" t="s">
        <v>39</v>
      </c>
      <c r="B692" s="1" t="s">
        <v>40</v>
      </c>
      <c r="C692" s="1" t="n">
        <v>28.4595</v>
      </c>
      <c r="D692" s="1" t="n">
        <v>77.0266</v>
      </c>
      <c r="E692" s="5" t="n">
        <v>45929</v>
      </c>
      <c r="F692" s="6" t="s">
        <v>70</v>
      </c>
      <c r="G692" s="1" t="n">
        <v>9</v>
      </c>
      <c r="H692" s="7" t="s">
        <v>42</v>
      </c>
      <c r="I692" s="6" t="s">
        <v>43</v>
      </c>
      <c r="J692" s="7" t="s">
        <v>44</v>
      </c>
      <c r="K692" s="7" t="s">
        <v>71</v>
      </c>
      <c r="L692" s="1" t="n">
        <v>56</v>
      </c>
      <c r="M692" s="1" t="n">
        <v>22.1</v>
      </c>
      <c r="N692" s="1" t="n">
        <v>19.8</v>
      </c>
      <c r="O692" s="1" t="n">
        <v>0</v>
      </c>
      <c r="P692" s="6" t="s">
        <v>43</v>
      </c>
      <c r="Q692" s="6" t="s">
        <v>43</v>
      </c>
      <c r="R692" s="1" t="n">
        <v>1002.8</v>
      </c>
      <c r="S692" s="1" t="n">
        <v>26</v>
      </c>
      <c r="T692" s="1" t="n">
        <v>44</v>
      </c>
      <c r="U692" s="1" t="n">
        <v>67.8</v>
      </c>
      <c r="V692" s="1" t="n">
        <v>512</v>
      </c>
      <c r="W692" s="1" t="n">
        <v>26.6</v>
      </c>
      <c r="X692" s="1" t="n">
        <v>20.1</v>
      </c>
      <c r="Y692" s="1" t="n">
        <v>109</v>
      </c>
      <c r="Z692" s="1" t="n">
        <v>51</v>
      </c>
      <c r="AA692" s="1" t="n">
        <v>116</v>
      </c>
      <c r="AB692" s="7" t="s">
        <v>81</v>
      </c>
      <c r="AC692" s="7" t="s">
        <v>82</v>
      </c>
      <c r="AD692" s="7" t="s">
        <v>83</v>
      </c>
      <c r="AE692" s="7" t="s">
        <v>84</v>
      </c>
      <c r="AF692" s="4" t="n">
        <f aca="false">IF(T692="","",IF(T692&lt;=30,(50/30)*T692,IF(T692&lt;=60,50+((100-50)/(60-30))*(T692-30),IF(T692&lt;=90,100+((200-100)/(90-60))*(T692-60),IF(T692&lt;=120,200+((300-200)/(120-90))*(T692-90),IF(T692&lt;=250,300+((400-300)/(250-120))*(T692-120),IF(T692&lt;=380,400+((500-400)/(380-250))*(T692-250),500)))))))</f>
        <v>73.3333333333333</v>
      </c>
      <c r="AG692" s="4" t="n">
        <f aca="false">IF(U692="","",IF(U692&lt;=50,(50/50)*U692,IF(U692&lt;=100,50+((100-50)/(100-50))*(U692-50),IF(U692&lt;=250,100+((200-100)/(250-100))*(U692-100),IF(U692&lt;=350,200+((300-200)/(350-250))*(U692-250),IF(U692&lt;=430,300+((400-300)/(430-350))*(U692-350),IF(U692&lt;=600,400+((500-400)/(600-430))*(U692-430),500)))))))</f>
        <v>67.8</v>
      </c>
      <c r="AH692" s="4" t="n">
        <f aca="false">IF(V692="","",IF((V692/1000)&lt;=1,(50/1)*(V692/1000),IF((V692/1000)&lt;=2,50+((100-50)/(2-1))*(V692/1000-1),IF((V692/1000)&lt;=10,100+((200-100)/(10-2))*(V692/1000-2),IF((V692/1000)&lt;=17,200+((300-200)/(17-10))*(V692/1000-10),IF((V692/1000)&lt;=34,300+((400-300)/(34-17))*(V692/1000-17),IF((V692/1000)&lt;=57,400+((500-400)/(57-34))*(V692/1000-34),500)))))))</f>
        <v>25.6</v>
      </c>
      <c r="AI692" s="4" t="n">
        <f aca="false">IF(W692="","",IF(W692&lt;=40,(50/40)*W692,IF(W692&lt;=80,50+((100-50)/(80-40))*(W692-40),IF(W692&lt;=180,100+((200-100)/(180-80))*(W692-80),IF(W692&lt;=280,200+((300-200)/(280-180))*(W692-180),IF(W692&lt;=400,300+((400-300)/(400-280))*(W692-280),IF(W692&lt;=800,400+((500-400)/(800-400))*(W692-400),500)))))))</f>
        <v>33.25</v>
      </c>
      <c r="AJ692" s="4" t="n">
        <f aca="false">IF(X692="","",IF(X692&lt;=40,(50/40)*X692,IF(X692&lt;=80,50+((100-50)/(80-40))*(X692-40),IF(X692&lt;=380,100+((200-100)/(380-80))*(X692-80),IF(X692&lt;=800,200+((300-200)/(800-380))*(X692-380),IF(X692&lt;=1600,300+((400-300)/(1600-800))*(X692-800),IF(X692&lt;=2100,400+((500-400)/(2100-1600))*(X692-1600),500)))))))</f>
        <v>25.125</v>
      </c>
      <c r="AK692" s="4" t="n">
        <f aca="false">IF(Y692="","",IF(Y692&lt;=50,(50/50)*Y692,IF(Y692&lt;=100,50+((100-50)/(100-50))*(Y692-50),IF(Y692&lt;=168,100+((200-100)/(168-100))*(Y692-100),IF(Y692&lt;=208,200+((300-200)/(208-168))*(Y692-168),IF(Y692&lt;=748,300+((400-300)/(748-208))*(Y692-208),IF(Y692&lt;=1000,400+((500-400)/(1000-748))*(Y692-748),500)))))))</f>
        <v>113.235294117647</v>
      </c>
      <c r="AL692" s="4" t="n">
        <f aca="false">ROUND(MAX(AF692,AG692,AH692,AI692,AJ692,AK692),0)</f>
        <v>113</v>
      </c>
      <c r="AM692" s="4" t="str">
        <f aca="false">IF(AL692="","",IF(AL692&lt;=50,"Good",IF(AL692&lt;=100,"Satisfactory",IF(AL692&lt;=200,"Moderate",IF(AL692&lt;=300,"Poor",IF(AL692&lt;=400,"Very Poor","Severe"))))))</f>
        <v>Moderate</v>
      </c>
    </row>
    <row r="693" customFormat="false" ht="15.75" hidden="false" customHeight="false" outlineLevel="0" collapsed="false">
      <c r="A693" s="1" t="s">
        <v>39</v>
      </c>
      <c r="B693" s="1" t="s">
        <v>40</v>
      </c>
      <c r="C693" s="1" t="n">
        <v>28.4595</v>
      </c>
      <c r="D693" s="1" t="n">
        <v>77.0266</v>
      </c>
      <c r="E693" s="5" t="n">
        <v>45929</v>
      </c>
      <c r="F693" s="6" t="s">
        <v>72</v>
      </c>
      <c r="G693" s="1" t="n">
        <v>9</v>
      </c>
      <c r="H693" s="7" t="s">
        <v>42</v>
      </c>
      <c r="I693" s="6" t="s">
        <v>43</v>
      </c>
      <c r="J693" s="7" t="s">
        <v>44</v>
      </c>
      <c r="K693" s="7" t="s">
        <v>71</v>
      </c>
      <c r="L693" s="1" t="n">
        <v>60</v>
      </c>
      <c r="M693" s="1" t="n">
        <v>22.2</v>
      </c>
      <c r="N693" s="1" t="n">
        <v>20.5</v>
      </c>
      <c r="O693" s="1" t="n">
        <v>0</v>
      </c>
      <c r="P693" s="6" t="s">
        <v>43</v>
      </c>
      <c r="Q693" s="6" t="s">
        <v>43</v>
      </c>
      <c r="R693" s="1" t="n">
        <v>1003.2</v>
      </c>
      <c r="S693" s="1" t="n">
        <v>3</v>
      </c>
      <c r="T693" s="1" t="n">
        <v>50.1</v>
      </c>
      <c r="U693" s="1" t="n">
        <v>68.7</v>
      </c>
      <c r="V693" s="1" t="n">
        <v>669</v>
      </c>
      <c r="W693" s="1" t="n">
        <v>42.5</v>
      </c>
      <c r="X693" s="1" t="n">
        <v>23.5</v>
      </c>
      <c r="Y693" s="1" t="n">
        <v>76</v>
      </c>
      <c r="Z693" s="1" t="n">
        <v>35</v>
      </c>
      <c r="AA693" s="1" t="n">
        <v>114</v>
      </c>
      <c r="AB693" s="7" t="s">
        <v>81</v>
      </c>
      <c r="AC693" s="7" t="s">
        <v>82</v>
      </c>
      <c r="AD693" s="7" t="s">
        <v>83</v>
      </c>
      <c r="AE693" s="7" t="s">
        <v>84</v>
      </c>
      <c r="AF693" s="4" t="n">
        <f aca="false">IF(T693="","",IF(T693&lt;=30,(50/30)*T693,IF(T693&lt;=60,50+((100-50)/(60-30))*(T693-30),IF(T693&lt;=90,100+((200-100)/(90-60))*(T693-60),IF(T693&lt;=120,200+((300-200)/(120-90))*(T693-90),IF(T693&lt;=250,300+((400-300)/(250-120))*(T693-120),IF(T693&lt;=380,400+((500-400)/(380-250))*(T693-250),500)))))))</f>
        <v>83.5</v>
      </c>
      <c r="AG693" s="4" t="n">
        <f aca="false">IF(U693="","",IF(U693&lt;=50,(50/50)*U693,IF(U693&lt;=100,50+((100-50)/(100-50))*(U693-50),IF(U693&lt;=250,100+((200-100)/(250-100))*(U693-100),IF(U693&lt;=350,200+((300-200)/(350-250))*(U693-250),IF(U693&lt;=430,300+((400-300)/(430-350))*(U693-350),IF(U693&lt;=600,400+((500-400)/(600-430))*(U693-430),500)))))))</f>
        <v>68.7</v>
      </c>
      <c r="AH693" s="4" t="n">
        <f aca="false">IF(V693="","",IF((V693/1000)&lt;=1,(50/1)*(V693/1000),IF((V693/1000)&lt;=2,50+((100-50)/(2-1))*(V693/1000-1),IF((V693/1000)&lt;=10,100+((200-100)/(10-2))*(V693/1000-2),IF((V693/1000)&lt;=17,200+((300-200)/(17-10))*(V693/1000-10),IF((V693/1000)&lt;=34,300+((400-300)/(34-17))*(V693/1000-17),IF((V693/1000)&lt;=57,400+((500-400)/(57-34))*(V693/1000-34),500)))))))</f>
        <v>33.45</v>
      </c>
      <c r="AI693" s="4" t="n">
        <f aca="false">IF(W693="","",IF(W693&lt;=40,(50/40)*W693,IF(W693&lt;=80,50+((100-50)/(80-40))*(W693-40),IF(W693&lt;=180,100+((200-100)/(180-80))*(W693-80),IF(W693&lt;=280,200+((300-200)/(280-180))*(W693-180),IF(W693&lt;=400,300+((400-300)/(400-280))*(W693-280),IF(W693&lt;=800,400+((500-400)/(800-400))*(W693-400),500)))))))</f>
        <v>53.125</v>
      </c>
      <c r="AJ693" s="4" t="n">
        <f aca="false">IF(X693="","",IF(X693&lt;=40,(50/40)*X693,IF(X693&lt;=80,50+((100-50)/(80-40))*(X693-40),IF(X693&lt;=380,100+((200-100)/(380-80))*(X693-80),IF(X693&lt;=800,200+((300-200)/(800-380))*(X693-380),IF(X693&lt;=1600,300+((400-300)/(1600-800))*(X693-800),IF(X693&lt;=2100,400+((500-400)/(2100-1600))*(X693-1600),500)))))))</f>
        <v>29.375</v>
      </c>
      <c r="AK693" s="4" t="n">
        <f aca="false">IF(Y693="","",IF(Y693&lt;=50,(50/50)*Y693,IF(Y693&lt;=100,50+((100-50)/(100-50))*(Y693-50),IF(Y693&lt;=168,100+((200-100)/(168-100))*(Y693-100),IF(Y693&lt;=208,200+((300-200)/(208-168))*(Y693-168),IF(Y693&lt;=748,300+((400-300)/(748-208))*(Y693-208),IF(Y693&lt;=1000,400+((500-400)/(1000-748))*(Y693-748),500)))))))</f>
        <v>76</v>
      </c>
      <c r="AL693" s="4" t="n">
        <f aca="false">ROUND(MAX(AF693,AG693,AH693,AI693,AJ693,AK693),0)</f>
        <v>84</v>
      </c>
      <c r="AM693" s="4" t="str">
        <f aca="false">IF(AL693="","",IF(AL693&lt;=50,"Good",IF(AL693&lt;=100,"Satisfactory",IF(AL693&lt;=200,"Moderate",IF(AL693&lt;=300,"Poor",IF(AL693&lt;=400,"Very Poor","Severe"))))))</f>
        <v>Satisfactory</v>
      </c>
    </row>
    <row r="694" customFormat="false" ht="15.75" hidden="false" customHeight="false" outlineLevel="0" collapsed="false">
      <c r="A694" s="1" t="s">
        <v>39</v>
      </c>
      <c r="B694" s="1" t="s">
        <v>40</v>
      </c>
      <c r="C694" s="1" t="n">
        <v>28.4595</v>
      </c>
      <c r="D694" s="1" t="n">
        <v>77.0266</v>
      </c>
      <c r="E694" s="5" t="n">
        <v>45929</v>
      </c>
      <c r="F694" s="6" t="s">
        <v>73</v>
      </c>
      <c r="G694" s="1" t="n">
        <v>9</v>
      </c>
      <c r="H694" s="7" t="s">
        <v>42</v>
      </c>
      <c r="I694" s="6" t="s">
        <v>43</v>
      </c>
      <c r="J694" s="7" t="s">
        <v>44</v>
      </c>
      <c r="K694" s="7" t="s">
        <v>71</v>
      </c>
      <c r="L694" s="1" t="n">
        <v>65</v>
      </c>
      <c r="M694" s="1" t="n">
        <v>22.7</v>
      </c>
      <c r="N694" s="1" t="n">
        <v>15.1</v>
      </c>
      <c r="O694" s="1" t="n">
        <v>0</v>
      </c>
      <c r="P694" s="6" t="s">
        <v>43</v>
      </c>
      <c r="Q694" s="6" t="s">
        <v>43</v>
      </c>
      <c r="R694" s="1" t="n">
        <v>1003.6</v>
      </c>
      <c r="S694" s="1" t="n">
        <v>25</v>
      </c>
      <c r="T694" s="1" t="n">
        <v>53.2</v>
      </c>
      <c r="U694" s="1" t="n">
        <v>64.7</v>
      </c>
      <c r="V694" s="1" t="n">
        <v>818</v>
      </c>
      <c r="W694" s="1" t="n">
        <v>54.2</v>
      </c>
      <c r="X694" s="1" t="n">
        <v>25.7</v>
      </c>
      <c r="Y694" s="1" t="n">
        <v>50</v>
      </c>
      <c r="Z694" s="1" t="n">
        <v>22</v>
      </c>
      <c r="AA694" s="1" t="n">
        <v>111</v>
      </c>
      <c r="AB694" s="7" t="s">
        <v>81</v>
      </c>
      <c r="AC694" s="7" t="s">
        <v>82</v>
      </c>
      <c r="AD694" s="7" t="s">
        <v>83</v>
      </c>
      <c r="AE694" s="7" t="s">
        <v>84</v>
      </c>
      <c r="AF694" s="4" t="n">
        <f aca="false">IF(T694="","",IF(T694&lt;=30,(50/30)*T694,IF(T694&lt;=60,50+((100-50)/(60-30))*(T694-30),IF(T694&lt;=90,100+((200-100)/(90-60))*(T694-60),IF(T694&lt;=120,200+((300-200)/(120-90))*(T694-90),IF(T694&lt;=250,300+((400-300)/(250-120))*(T694-120),IF(T694&lt;=380,400+((500-400)/(380-250))*(T694-250),500)))))))</f>
        <v>88.6666666666667</v>
      </c>
      <c r="AG694" s="4" t="n">
        <f aca="false">IF(U694="","",IF(U694&lt;=50,(50/50)*U694,IF(U694&lt;=100,50+((100-50)/(100-50))*(U694-50),IF(U694&lt;=250,100+((200-100)/(250-100))*(U694-100),IF(U694&lt;=350,200+((300-200)/(350-250))*(U694-250),IF(U694&lt;=430,300+((400-300)/(430-350))*(U694-350),IF(U694&lt;=600,400+((500-400)/(600-430))*(U694-430),500)))))))</f>
        <v>64.7</v>
      </c>
      <c r="AH694" s="4" t="n">
        <f aca="false">IF(V694="","",IF((V694/1000)&lt;=1,(50/1)*(V694/1000),IF((V694/1000)&lt;=2,50+((100-50)/(2-1))*(V694/1000-1),IF((V694/1000)&lt;=10,100+((200-100)/(10-2))*(V694/1000-2),IF((V694/1000)&lt;=17,200+((300-200)/(17-10))*(V694/1000-10),IF((V694/1000)&lt;=34,300+((400-300)/(34-17))*(V694/1000-17),IF((V694/1000)&lt;=57,400+((500-400)/(57-34))*(V694/1000-34),500)))))))</f>
        <v>40.9</v>
      </c>
      <c r="AI694" s="4" t="n">
        <f aca="false">IF(W694="","",IF(W694&lt;=40,(50/40)*W694,IF(W694&lt;=80,50+((100-50)/(80-40))*(W694-40),IF(W694&lt;=180,100+((200-100)/(180-80))*(W694-80),IF(W694&lt;=280,200+((300-200)/(280-180))*(W694-180),IF(W694&lt;=400,300+((400-300)/(400-280))*(W694-280),IF(W694&lt;=800,400+((500-400)/(800-400))*(W694-400),500)))))))</f>
        <v>67.75</v>
      </c>
      <c r="AJ694" s="4" t="n">
        <f aca="false">IF(X694="","",IF(X694&lt;=40,(50/40)*X694,IF(X694&lt;=80,50+((100-50)/(80-40))*(X694-40),IF(X694&lt;=380,100+((200-100)/(380-80))*(X694-80),IF(X694&lt;=800,200+((300-200)/(800-380))*(X694-380),IF(X694&lt;=1600,300+((400-300)/(1600-800))*(X694-800),IF(X694&lt;=2100,400+((500-400)/(2100-1600))*(X694-1600),500)))))))</f>
        <v>32.125</v>
      </c>
      <c r="AK694" s="4" t="n">
        <f aca="false">IF(Y694="","",IF(Y694&lt;=50,(50/50)*Y694,IF(Y694&lt;=100,50+((100-50)/(100-50))*(Y694-50),IF(Y694&lt;=168,100+((200-100)/(168-100))*(Y694-100),IF(Y694&lt;=208,200+((300-200)/(208-168))*(Y694-168),IF(Y694&lt;=748,300+((400-300)/(748-208))*(Y694-208),IF(Y694&lt;=1000,400+((500-400)/(1000-748))*(Y694-748),500)))))))</f>
        <v>50</v>
      </c>
      <c r="AL694" s="4" t="n">
        <f aca="false">ROUND(MAX(AF694,AG694,AH694,AI694,AJ694,AK694),0)</f>
        <v>89</v>
      </c>
      <c r="AM694" s="4" t="str">
        <f aca="false">IF(AL694="","",IF(AL694&lt;=50,"Good",IF(AL694&lt;=100,"Satisfactory",IF(AL694&lt;=200,"Moderate",IF(AL694&lt;=300,"Poor",IF(AL694&lt;=400,"Very Poor","Severe"))))))</f>
        <v>Satisfactory</v>
      </c>
    </row>
    <row r="695" customFormat="false" ht="15.75" hidden="false" customHeight="false" outlineLevel="0" collapsed="false">
      <c r="A695" s="1" t="s">
        <v>39</v>
      </c>
      <c r="B695" s="1" t="s">
        <v>40</v>
      </c>
      <c r="C695" s="1" t="n">
        <v>28.4595</v>
      </c>
      <c r="D695" s="1" t="n">
        <v>77.0266</v>
      </c>
      <c r="E695" s="5" t="n">
        <v>45929</v>
      </c>
      <c r="F695" s="6" t="s">
        <v>74</v>
      </c>
      <c r="G695" s="1" t="n">
        <v>9</v>
      </c>
      <c r="H695" s="7" t="s">
        <v>42</v>
      </c>
      <c r="I695" s="6" t="s">
        <v>43</v>
      </c>
      <c r="J695" s="7" t="s">
        <v>44</v>
      </c>
      <c r="K695" s="7" t="s">
        <v>75</v>
      </c>
      <c r="L695" s="1" t="n">
        <v>69</v>
      </c>
      <c r="M695" s="1" t="n">
        <v>23.2</v>
      </c>
      <c r="N695" s="1" t="n">
        <v>15.1</v>
      </c>
      <c r="O695" s="1" t="n">
        <v>0</v>
      </c>
      <c r="P695" s="6" t="s">
        <v>43</v>
      </c>
      <c r="Q695" s="6" t="s">
        <v>43</v>
      </c>
      <c r="R695" s="1" t="n">
        <v>1003.8</v>
      </c>
      <c r="S695" s="1" t="n">
        <v>0</v>
      </c>
      <c r="T695" s="1" t="n">
        <v>54.6</v>
      </c>
      <c r="U695" s="1" t="n">
        <v>62.9</v>
      </c>
      <c r="V695" s="1" t="n">
        <v>973</v>
      </c>
      <c r="W695" s="1" t="n">
        <v>58.4</v>
      </c>
      <c r="X695" s="1" t="n">
        <v>26</v>
      </c>
      <c r="Y695" s="1" t="n">
        <v>37</v>
      </c>
      <c r="Z695" s="1" t="n">
        <v>15</v>
      </c>
      <c r="AA695" s="1" t="n">
        <v>111</v>
      </c>
      <c r="AB695" s="7" t="s">
        <v>81</v>
      </c>
      <c r="AC695" s="7" t="s">
        <v>82</v>
      </c>
      <c r="AD695" s="7" t="s">
        <v>83</v>
      </c>
      <c r="AE695" s="7" t="s">
        <v>84</v>
      </c>
      <c r="AF695" s="4" t="n">
        <f aca="false">IF(T695="","",IF(T695&lt;=30,(50/30)*T695,IF(T695&lt;=60,50+((100-50)/(60-30))*(T695-30),IF(T695&lt;=90,100+((200-100)/(90-60))*(T695-60),IF(T695&lt;=120,200+((300-200)/(120-90))*(T695-90),IF(T695&lt;=250,300+((400-300)/(250-120))*(T695-120),IF(T695&lt;=380,400+((500-400)/(380-250))*(T695-250),500)))))))</f>
        <v>91</v>
      </c>
      <c r="AG695" s="4" t="n">
        <f aca="false">IF(U695="","",IF(U695&lt;=50,(50/50)*U695,IF(U695&lt;=100,50+((100-50)/(100-50))*(U695-50),IF(U695&lt;=250,100+((200-100)/(250-100))*(U695-100),IF(U695&lt;=350,200+((300-200)/(350-250))*(U695-250),IF(U695&lt;=430,300+((400-300)/(430-350))*(U695-350),IF(U695&lt;=600,400+((500-400)/(600-430))*(U695-430),500)))))))</f>
        <v>62.9</v>
      </c>
      <c r="AH695" s="4" t="n">
        <f aca="false">IF(V695="","",IF((V695/1000)&lt;=1,(50/1)*(V695/1000),IF((V695/1000)&lt;=2,50+((100-50)/(2-1))*(V695/1000-1),IF((V695/1000)&lt;=10,100+((200-100)/(10-2))*(V695/1000-2),IF((V695/1000)&lt;=17,200+((300-200)/(17-10))*(V695/1000-10),IF((V695/1000)&lt;=34,300+((400-300)/(34-17))*(V695/1000-17),IF((V695/1000)&lt;=57,400+((500-400)/(57-34))*(V695/1000-34),500)))))))</f>
        <v>48.65</v>
      </c>
      <c r="AI695" s="4" t="n">
        <f aca="false">IF(W695="","",IF(W695&lt;=40,(50/40)*W695,IF(W695&lt;=80,50+((100-50)/(80-40))*(W695-40),IF(W695&lt;=180,100+((200-100)/(180-80))*(W695-80),IF(W695&lt;=280,200+((300-200)/(280-180))*(W695-180),IF(W695&lt;=400,300+((400-300)/(400-280))*(W695-280),IF(W695&lt;=800,400+((500-400)/(800-400))*(W695-400),500)))))))</f>
        <v>73</v>
      </c>
      <c r="AJ695" s="4" t="n">
        <f aca="false">IF(X695="","",IF(X695&lt;=40,(50/40)*X695,IF(X695&lt;=80,50+((100-50)/(80-40))*(X695-40),IF(X695&lt;=380,100+((200-100)/(380-80))*(X695-80),IF(X695&lt;=800,200+((300-200)/(800-380))*(X695-380),IF(X695&lt;=1600,300+((400-300)/(1600-800))*(X695-800),IF(X695&lt;=2100,400+((500-400)/(2100-1600))*(X695-1600),500)))))))</f>
        <v>32.5</v>
      </c>
      <c r="AK695" s="4" t="n">
        <f aca="false">IF(Y695="","",IF(Y695&lt;=50,(50/50)*Y695,IF(Y695&lt;=100,50+((100-50)/(100-50))*(Y695-50),IF(Y695&lt;=168,100+((200-100)/(168-100))*(Y695-100),IF(Y695&lt;=208,200+((300-200)/(208-168))*(Y695-168),IF(Y695&lt;=748,300+((400-300)/(748-208))*(Y695-208),IF(Y695&lt;=1000,400+((500-400)/(1000-748))*(Y695-748),500)))))))</f>
        <v>37</v>
      </c>
      <c r="AL695" s="4" t="n">
        <f aca="false">ROUND(MAX(AF695,AG695,AH695,AI695,AJ695,AK695),0)</f>
        <v>91</v>
      </c>
      <c r="AM695" s="4" t="str">
        <f aca="false">IF(AL695="","",IF(AL695&lt;=50,"Good",IF(AL695&lt;=100,"Satisfactory",IF(AL695&lt;=200,"Moderate",IF(AL695&lt;=300,"Poor",IF(AL695&lt;=400,"Very Poor","Severe"))))))</f>
        <v>Satisfactory</v>
      </c>
    </row>
    <row r="696" customFormat="false" ht="15.75" hidden="false" customHeight="false" outlineLevel="0" collapsed="false">
      <c r="A696" s="1" t="s">
        <v>39</v>
      </c>
      <c r="B696" s="1" t="s">
        <v>40</v>
      </c>
      <c r="C696" s="1" t="n">
        <v>28.4595</v>
      </c>
      <c r="D696" s="1" t="n">
        <v>77.0266</v>
      </c>
      <c r="E696" s="5" t="n">
        <v>45929</v>
      </c>
      <c r="F696" s="6" t="s">
        <v>76</v>
      </c>
      <c r="G696" s="1" t="n">
        <v>9</v>
      </c>
      <c r="H696" s="7" t="s">
        <v>42</v>
      </c>
      <c r="I696" s="6" t="s">
        <v>43</v>
      </c>
      <c r="J696" s="7" t="s">
        <v>44</v>
      </c>
      <c r="K696" s="7" t="s">
        <v>75</v>
      </c>
      <c r="L696" s="1" t="n">
        <v>77</v>
      </c>
      <c r="M696" s="1" t="n">
        <v>24.1</v>
      </c>
      <c r="N696" s="1" t="n">
        <v>16.6</v>
      </c>
      <c r="O696" s="1" t="n">
        <v>0</v>
      </c>
      <c r="P696" s="6" t="s">
        <v>43</v>
      </c>
      <c r="Q696" s="6" t="s">
        <v>43</v>
      </c>
      <c r="R696" s="1" t="n">
        <v>1004.1</v>
      </c>
      <c r="S696" s="1" t="n">
        <v>1</v>
      </c>
      <c r="T696" s="1" t="n">
        <v>55.2</v>
      </c>
      <c r="U696" s="1" t="n">
        <v>61.5</v>
      </c>
      <c r="V696" s="1" t="n">
        <v>1119</v>
      </c>
      <c r="W696" s="1" t="n">
        <v>58.4</v>
      </c>
      <c r="X696" s="1" t="n">
        <v>25.2</v>
      </c>
      <c r="Y696" s="1" t="n">
        <v>32</v>
      </c>
      <c r="Z696" s="1" t="n">
        <v>12</v>
      </c>
      <c r="AA696" s="1" t="n">
        <v>112</v>
      </c>
      <c r="AB696" s="7" t="s">
        <v>81</v>
      </c>
      <c r="AC696" s="7" t="s">
        <v>82</v>
      </c>
      <c r="AD696" s="7" t="s">
        <v>83</v>
      </c>
      <c r="AE696" s="7" t="s">
        <v>84</v>
      </c>
      <c r="AF696" s="4" t="n">
        <f aca="false">IF(T696="","",IF(T696&lt;=30,(50/30)*T696,IF(T696&lt;=60,50+((100-50)/(60-30))*(T696-30),IF(T696&lt;=90,100+((200-100)/(90-60))*(T696-60),IF(T696&lt;=120,200+((300-200)/(120-90))*(T696-90),IF(T696&lt;=250,300+((400-300)/(250-120))*(T696-120),IF(T696&lt;=380,400+((500-400)/(380-250))*(T696-250),500)))))))</f>
        <v>92</v>
      </c>
      <c r="AG696" s="4" t="n">
        <f aca="false">IF(U696="","",IF(U696&lt;=50,(50/50)*U696,IF(U696&lt;=100,50+((100-50)/(100-50))*(U696-50),IF(U696&lt;=250,100+((200-100)/(250-100))*(U696-100),IF(U696&lt;=350,200+((300-200)/(350-250))*(U696-250),IF(U696&lt;=430,300+((400-300)/(430-350))*(U696-350),IF(U696&lt;=600,400+((500-400)/(600-430))*(U696-430),500)))))))</f>
        <v>61.5</v>
      </c>
      <c r="AH696" s="4" t="n">
        <f aca="false">IF(V696="","",IF((V696/1000)&lt;=1,(50/1)*(V696/1000),IF((V696/1000)&lt;=2,50+((100-50)/(2-1))*(V696/1000-1),IF((V696/1000)&lt;=10,100+((200-100)/(10-2))*(V696/1000-2),IF((V696/1000)&lt;=17,200+((300-200)/(17-10))*(V696/1000-10),IF((V696/1000)&lt;=34,300+((400-300)/(34-17))*(V696/1000-17),IF((V696/1000)&lt;=57,400+((500-400)/(57-34))*(V696/1000-34),500)))))))</f>
        <v>55.95</v>
      </c>
      <c r="AI696" s="4" t="n">
        <f aca="false">IF(W696="","",IF(W696&lt;=40,(50/40)*W696,IF(W696&lt;=80,50+((100-50)/(80-40))*(W696-40),IF(W696&lt;=180,100+((200-100)/(180-80))*(W696-80),IF(W696&lt;=280,200+((300-200)/(280-180))*(W696-180),IF(W696&lt;=400,300+((400-300)/(400-280))*(W696-280),IF(W696&lt;=800,400+((500-400)/(800-400))*(W696-400),500)))))))</f>
        <v>73</v>
      </c>
      <c r="AJ696" s="4" t="n">
        <f aca="false">IF(X696="","",IF(X696&lt;=40,(50/40)*X696,IF(X696&lt;=80,50+((100-50)/(80-40))*(X696-40),IF(X696&lt;=380,100+((200-100)/(380-80))*(X696-80),IF(X696&lt;=800,200+((300-200)/(800-380))*(X696-380),IF(X696&lt;=1600,300+((400-300)/(1600-800))*(X696-800),IF(X696&lt;=2100,400+((500-400)/(2100-1600))*(X696-1600),500)))))))</f>
        <v>31.5</v>
      </c>
      <c r="AK696" s="4" t="n">
        <f aca="false">IF(Y696="","",IF(Y696&lt;=50,(50/50)*Y696,IF(Y696&lt;=100,50+((100-50)/(100-50))*(Y696-50),IF(Y696&lt;=168,100+((200-100)/(168-100))*(Y696-100),IF(Y696&lt;=208,200+((300-200)/(208-168))*(Y696-168),IF(Y696&lt;=748,300+((400-300)/(748-208))*(Y696-208),IF(Y696&lt;=1000,400+((500-400)/(1000-748))*(Y696-748),500)))))))</f>
        <v>32</v>
      </c>
      <c r="AL696" s="4" t="n">
        <f aca="false">ROUND(MAX(AF696,AG696,AH696,AI696,AJ696,AK696),0)</f>
        <v>92</v>
      </c>
      <c r="AM696" s="4" t="str">
        <f aca="false">IF(AL696="","",IF(AL696&lt;=50,"Good",IF(AL696&lt;=100,"Satisfactory",IF(AL696&lt;=200,"Moderate",IF(AL696&lt;=300,"Poor",IF(AL696&lt;=400,"Very Poor","Severe"))))))</f>
        <v>Satisfactory</v>
      </c>
    </row>
    <row r="697" customFormat="false" ht="15.75" hidden="false" customHeight="false" outlineLevel="0" collapsed="false">
      <c r="A697" s="1" t="s">
        <v>39</v>
      </c>
      <c r="B697" s="1" t="s">
        <v>40</v>
      </c>
      <c r="C697" s="1" t="n">
        <v>28.4595</v>
      </c>
      <c r="D697" s="1" t="n">
        <v>77.0266</v>
      </c>
      <c r="E697" s="5" t="n">
        <v>45929</v>
      </c>
      <c r="F697" s="6" t="s">
        <v>77</v>
      </c>
      <c r="G697" s="1" t="n">
        <v>9</v>
      </c>
      <c r="H697" s="7" t="s">
        <v>42</v>
      </c>
      <c r="I697" s="6" t="s">
        <v>43</v>
      </c>
      <c r="J697" s="7" t="s">
        <v>44</v>
      </c>
      <c r="K697" s="7" t="s">
        <v>75</v>
      </c>
      <c r="L697" s="1" t="n">
        <v>80</v>
      </c>
      <c r="M697" s="1" t="n">
        <v>24.1</v>
      </c>
      <c r="N697" s="1" t="n">
        <v>15.8</v>
      </c>
      <c r="O697" s="1" t="n">
        <v>0</v>
      </c>
      <c r="P697" s="6" t="s">
        <v>43</v>
      </c>
      <c r="Q697" s="6" t="s">
        <v>43</v>
      </c>
      <c r="R697" s="1" t="n">
        <v>1004.1</v>
      </c>
      <c r="S697" s="1" t="n">
        <v>0</v>
      </c>
      <c r="T697" s="1" t="n">
        <v>55.5</v>
      </c>
      <c r="U697" s="1" t="n">
        <v>60.5</v>
      </c>
      <c r="V697" s="1" t="n">
        <v>1168</v>
      </c>
      <c r="W697" s="1" t="n">
        <v>55.2</v>
      </c>
      <c r="X697" s="1" t="n">
        <v>23.6</v>
      </c>
      <c r="Y697" s="1" t="n">
        <v>30</v>
      </c>
      <c r="Z697" s="1" t="n">
        <v>9</v>
      </c>
      <c r="AA697" s="1" t="n">
        <v>113</v>
      </c>
      <c r="AB697" s="7" t="s">
        <v>81</v>
      </c>
      <c r="AC697" s="7" t="s">
        <v>82</v>
      </c>
      <c r="AD697" s="7" t="s">
        <v>83</v>
      </c>
      <c r="AE697" s="7" t="s">
        <v>84</v>
      </c>
      <c r="AF697" s="4" t="n">
        <f aca="false">IF(T697="","",IF(T697&lt;=30,(50/30)*T697,IF(T697&lt;=60,50+((100-50)/(60-30))*(T697-30),IF(T697&lt;=90,100+((200-100)/(90-60))*(T697-60),IF(T697&lt;=120,200+((300-200)/(120-90))*(T697-90),IF(T697&lt;=250,300+((400-300)/(250-120))*(T697-120),IF(T697&lt;=380,400+((500-400)/(380-250))*(T697-250),500)))))))</f>
        <v>92.5</v>
      </c>
      <c r="AG697" s="4" t="n">
        <f aca="false">IF(U697="","",IF(U697&lt;=50,(50/50)*U697,IF(U697&lt;=100,50+((100-50)/(100-50))*(U697-50),IF(U697&lt;=250,100+((200-100)/(250-100))*(U697-100),IF(U697&lt;=350,200+((300-200)/(350-250))*(U697-250),IF(U697&lt;=430,300+((400-300)/(430-350))*(U697-350),IF(U697&lt;=600,400+((500-400)/(600-430))*(U697-430),500)))))))</f>
        <v>60.5</v>
      </c>
      <c r="AH697" s="4" t="n">
        <f aca="false">IF(V697="","",IF((V697/1000)&lt;=1,(50/1)*(V697/1000),IF((V697/1000)&lt;=2,50+((100-50)/(2-1))*(V697/1000-1),IF((V697/1000)&lt;=10,100+((200-100)/(10-2))*(V697/1000-2),IF((V697/1000)&lt;=17,200+((300-200)/(17-10))*(V697/1000-10),IF((V697/1000)&lt;=34,300+((400-300)/(34-17))*(V697/1000-17),IF((V697/1000)&lt;=57,400+((500-400)/(57-34))*(V697/1000-34),500)))))))</f>
        <v>58.4</v>
      </c>
      <c r="AI697" s="4" t="n">
        <f aca="false">IF(W697="","",IF(W697&lt;=40,(50/40)*W697,IF(W697&lt;=80,50+((100-50)/(80-40))*(W697-40),IF(W697&lt;=180,100+((200-100)/(180-80))*(W697-80),IF(W697&lt;=280,200+((300-200)/(280-180))*(W697-180),IF(W697&lt;=400,300+((400-300)/(400-280))*(W697-280),IF(W697&lt;=800,400+((500-400)/(800-400))*(W697-400),500)))))))</f>
        <v>69</v>
      </c>
      <c r="AJ697" s="4" t="n">
        <f aca="false">IF(X697="","",IF(X697&lt;=40,(50/40)*X697,IF(X697&lt;=80,50+((100-50)/(80-40))*(X697-40),IF(X697&lt;=380,100+((200-100)/(380-80))*(X697-80),IF(X697&lt;=800,200+((300-200)/(800-380))*(X697-380),IF(X697&lt;=1600,300+((400-300)/(1600-800))*(X697-800),IF(X697&lt;=2100,400+((500-400)/(2100-1600))*(X697-1600),500)))))))</f>
        <v>29.5</v>
      </c>
      <c r="AK697" s="4" t="n">
        <f aca="false">IF(Y697="","",IF(Y697&lt;=50,(50/50)*Y697,IF(Y697&lt;=100,50+((100-50)/(100-50))*(Y697-50),IF(Y697&lt;=168,100+((200-100)/(168-100))*(Y697-100),IF(Y697&lt;=208,200+((300-200)/(208-168))*(Y697-168),IF(Y697&lt;=748,300+((400-300)/(748-208))*(Y697-208),IF(Y697&lt;=1000,400+((500-400)/(1000-748))*(Y697-748),500)))))))</f>
        <v>30</v>
      </c>
      <c r="AL697" s="4" t="n">
        <f aca="false">ROUND(MAX(AF697,AG697,AH697,AI697,AJ697,AK697),0)</f>
        <v>93</v>
      </c>
      <c r="AM697" s="4" t="str">
        <f aca="false">IF(AL697="","",IF(AL697&lt;=50,"Good",IF(AL697&lt;=100,"Satisfactory",IF(AL697&lt;=200,"Moderate",IF(AL697&lt;=300,"Poor",IF(AL697&lt;=400,"Very Poor","Severe"))))))</f>
        <v>Satisfactory</v>
      </c>
    </row>
    <row r="698" customFormat="false" ht="15.75" hidden="false" customHeight="false" outlineLevel="0" collapsed="false">
      <c r="A698" s="1" t="s">
        <v>39</v>
      </c>
      <c r="B698" s="1" t="s">
        <v>40</v>
      </c>
      <c r="C698" s="1" t="n">
        <v>28.4595</v>
      </c>
      <c r="D698" s="1" t="n">
        <v>77.0266</v>
      </c>
      <c r="E698" s="5" t="n">
        <v>45930</v>
      </c>
      <c r="F698" s="6" t="s">
        <v>41</v>
      </c>
      <c r="G698" s="1" t="n">
        <v>9</v>
      </c>
      <c r="H698" s="7" t="s">
        <v>78</v>
      </c>
      <c r="I698" s="6" t="s">
        <v>43</v>
      </c>
      <c r="J698" s="7" t="s">
        <v>44</v>
      </c>
      <c r="K698" s="7" t="s">
        <v>45</v>
      </c>
      <c r="L698" s="1" t="n">
        <v>82</v>
      </c>
      <c r="M698" s="1" t="n">
        <v>24.1</v>
      </c>
      <c r="N698" s="1" t="n">
        <v>11.2</v>
      </c>
      <c r="O698" s="1" t="n">
        <v>0</v>
      </c>
      <c r="P698" s="6" t="s">
        <v>43</v>
      </c>
      <c r="Q698" s="6" t="s">
        <v>43</v>
      </c>
      <c r="R698" s="1" t="n">
        <v>1003.9</v>
      </c>
      <c r="S698" s="1" t="n">
        <v>8</v>
      </c>
      <c r="T698" s="1" t="n">
        <v>53.1</v>
      </c>
      <c r="U698" s="1" t="n">
        <v>56.9</v>
      </c>
      <c r="V698" s="1" t="n">
        <v>1050</v>
      </c>
      <c r="W698" s="1" t="n">
        <v>47.7</v>
      </c>
      <c r="X698" s="1" t="n">
        <v>21</v>
      </c>
      <c r="Y698" s="1" t="n">
        <v>33</v>
      </c>
      <c r="Z698" s="1" t="n">
        <v>7</v>
      </c>
      <c r="AA698" s="1" t="n">
        <v>113</v>
      </c>
      <c r="AB698" s="7" t="s">
        <v>81</v>
      </c>
      <c r="AC698" s="7" t="s">
        <v>82</v>
      </c>
      <c r="AD698" s="7" t="s">
        <v>83</v>
      </c>
      <c r="AE698" s="7" t="s">
        <v>84</v>
      </c>
      <c r="AF698" s="4" t="n">
        <f aca="false">IF(T698="","",IF(T698&lt;=30,(50/30)*T698,IF(T698&lt;=60,50+((100-50)/(60-30))*(T698-30),IF(T698&lt;=90,100+((200-100)/(90-60))*(T698-60),IF(T698&lt;=120,200+((300-200)/(120-90))*(T698-90),IF(T698&lt;=250,300+((400-300)/(250-120))*(T698-120),IF(T698&lt;=380,400+((500-400)/(380-250))*(T698-250),500)))))))</f>
        <v>88.5</v>
      </c>
      <c r="AG698" s="4" t="n">
        <f aca="false">IF(U698="","",IF(U698&lt;=50,(50/50)*U698,IF(U698&lt;=100,50+((100-50)/(100-50))*(U698-50),IF(U698&lt;=250,100+((200-100)/(250-100))*(U698-100),IF(U698&lt;=350,200+((300-200)/(350-250))*(U698-250),IF(U698&lt;=430,300+((400-300)/(430-350))*(U698-350),IF(U698&lt;=600,400+((500-400)/(600-430))*(U698-430),500)))))))</f>
        <v>56.9</v>
      </c>
      <c r="AH698" s="4" t="n">
        <f aca="false">IF(V698="","",IF((V698/1000)&lt;=1,(50/1)*(V698/1000),IF((V698/1000)&lt;=2,50+((100-50)/(2-1))*(V698/1000-1),IF((V698/1000)&lt;=10,100+((200-100)/(10-2))*(V698/1000-2),IF((V698/1000)&lt;=17,200+((300-200)/(17-10))*(V698/1000-10),IF((V698/1000)&lt;=34,300+((400-300)/(34-17))*(V698/1000-17),IF((V698/1000)&lt;=57,400+((500-400)/(57-34))*(V698/1000-34),500)))))))</f>
        <v>52.5</v>
      </c>
      <c r="AI698" s="4" t="n">
        <f aca="false">IF(W698="","",IF(W698&lt;=40,(50/40)*W698,IF(W698&lt;=80,50+((100-50)/(80-40))*(W698-40),IF(W698&lt;=180,100+((200-100)/(180-80))*(W698-80),IF(W698&lt;=280,200+((300-200)/(280-180))*(W698-180),IF(W698&lt;=400,300+((400-300)/(400-280))*(W698-280),IF(W698&lt;=800,400+((500-400)/(800-400))*(W698-400),500)))))))</f>
        <v>59.625</v>
      </c>
      <c r="AJ698" s="4" t="n">
        <f aca="false">IF(X698="","",IF(X698&lt;=40,(50/40)*X698,IF(X698&lt;=80,50+((100-50)/(80-40))*(X698-40),IF(X698&lt;=380,100+((200-100)/(380-80))*(X698-80),IF(X698&lt;=800,200+((300-200)/(800-380))*(X698-380),IF(X698&lt;=1600,300+((400-300)/(1600-800))*(X698-800),IF(X698&lt;=2100,400+((500-400)/(2100-1600))*(X698-1600),500)))))))</f>
        <v>26.25</v>
      </c>
      <c r="AK698" s="4" t="n">
        <f aca="false">IF(Y698="","",IF(Y698&lt;=50,(50/50)*Y698,IF(Y698&lt;=100,50+((100-50)/(100-50))*(Y698-50),IF(Y698&lt;=168,100+((200-100)/(168-100))*(Y698-100),IF(Y698&lt;=208,200+((300-200)/(208-168))*(Y698-168),IF(Y698&lt;=748,300+((400-300)/(748-208))*(Y698-208),IF(Y698&lt;=1000,400+((500-400)/(1000-748))*(Y698-748),500)))))))</f>
        <v>33</v>
      </c>
      <c r="AL698" s="4" t="n">
        <f aca="false">ROUND(MAX(AF698,AG698,AH698,AI698,AJ698,AK698),0)</f>
        <v>89</v>
      </c>
      <c r="AM698" s="4" t="str">
        <f aca="false">IF(AL698="","",IF(AL698&lt;=50,"Good",IF(AL698&lt;=100,"Satisfactory",IF(AL698&lt;=200,"Moderate",IF(AL698&lt;=300,"Poor",IF(AL698&lt;=400,"Very Poor","Severe"))))))</f>
        <v>Satisfactory</v>
      </c>
    </row>
    <row r="699" customFormat="false" ht="15.75" hidden="false" customHeight="false" outlineLevel="0" collapsed="false">
      <c r="A699" s="1" t="s">
        <v>39</v>
      </c>
      <c r="B699" s="1" t="s">
        <v>40</v>
      </c>
      <c r="C699" s="1" t="n">
        <v>28.4595</v>
      </c>
      <c r="D699" s="1" t="n">
        <v>77.0266</v>
      </c>
      <c r="E699" s="5" t="n">
        <v>45930</v>
      </c>
      <c r="F699" s="6" t="s">
        <v>49</v>
      </c>
      <c r="G699" s="1" t="n">
        <v>9</v>
      </c>
      <c r="H699" s="7" t="s">
        <v>78</v>
      </c>
      <c r="I699" s="6" t="s">
        <v>43</v>
      </c>
      <c r="J699" s="7" t="s">
        <v>44</v>
      </c>
      <c r="K699" s="7" t="s">
        <v>45</v>
      </c>
      <c r="L699" s="1" t="n">
        <v>83</v>
      </c>
      <c r="M699" s="1" t="n">
        <v>23.9</v>
      </c>
      <c r="N699" s="1" t="n">
        <v>9.7</v>
      </c>
      <c r="O699" s="1" t="n">
        <v>0</v>
      </c>
      <c r="P699" s="6" t="s">
        <v>43</v>
      </c>
      <c r="Q699" s="6" t="s">
        <v>43</v>
      </c>
      <c r="R699" s="1" t="n">
        <v>1003.1</v>
      </c>
      <c r="S699" s="1" t="n">
        <v>1</v>
      </c>
      <c r="T699" s="1" t="n">
        <v>47.1</v>
      </c>
      <c r="U699" s="1" t="n">
        <v>53.8</v>
      </c>
      <c r="V699" s="1" t="n">
        <v>834</v>
      </c>
      <c r="W699" s="1" t="n">
        <v>37</v>
      </c>
      <c r="X699" s="1" t="n">
        <v>17.7</v>
      </c>
      <c r="Y699" s="1" t="n">
        <v>40</v>
      </c>
      <c r="Z699" s="1" t="n">
        <v>5</v>
      </c>
      <c r="AA699" s="1" t="n">
        <v>114</v>
      </c>
      <c r="AB699" s="7" t="s">
        <v>81</v>
      </c>
      <c r="AC699" s="7" t="s">
        <v>82</v>
      </c>
      <c r="AD699" s="7" t="s">
        <v>83</v>
      </c>
      <c r="AE699" s="7" t="s">
        <v>84</v>
      </c>
      <c r="AF699" s="4" t="n">
        <f aca="false">IF(T699="","",IF(T699&lt;=30,(50/30)*T699,IF(T699&lt;=60,50+((100-50)/(60-30))*(T699-30),IF(T699&lt;=90,100+((200-100)/(90-60))*(T699-60),IF(T699&lt;=120,200+((300-200)/(120-90))*(T699-90),IF(T699&lt;=250,300+((400-300)/(250-120))*(T699-120),IF(T699&lt;=380,400+((500-400)/(380-250))*(T699-250),500)))))))</f>
        <v>78.5</v>
      </c>
      <c r="AG699" s="4" t="n">
        <f aca="false">IF(U699="","",IF(U699&lt;=50,(50/50)*U699,IF(U699&lt;=100,50+((100-50)/(100-50))*(U699-50),IF(U699&lt;=250,100+((200-100)/(250-100))*(U699-100),IF(U699&lt;=350,200+((300-200)/(350-250))*(U699-250),IF(U699&lt;=430,300+((400-300)/(430-350))*(U699-350),IF(U699&lt;=600,400+((500-400)/(600-430))*(U699-430),500)))))))</f>
        <v>53.8</v>
      </c>
      <c r="AH699" s="4" t="n">
        <f aca="false">IF(V699="","",IF((V699/1000)&lt;=1,(50/1)*(V699/1000),IF((V699/1000)&lt;=2,50+((100-50)/(2-1))*(V699/1000-1),IF((V699/1000)&lt;=10,100+((200-100)/(10-2))*(V699/1000-2),IF((V699/1000)&lt;=17,200+((300-200)/(17-10))*(V699/1000-10),IF((V699/1000)&lt;=34,300+((400-300)/(34-17))*(V699/1000-17),IF((V699/1000)&lt;=57,400+((500-400)/(57-34))*(V699/1000-34),500)))))))</f>
        <v>41.7</v>
      </c>
      <c r="AI699" s="4" t="n">
        <f aca="false">IF(W699="","",IF(W699&lt;=40,(50/40)*W699,IF(W699&lt;=80,50+((100-50)/(80-40))*(W699-40),IF(W699&lt;=180,100+((200-100)/(180-80))*(W699-80),IF(W699&lt;=280,200+((300-200)/(280-180))*(W699-180),IF(W699&lt;=400,300+((400-300)/(400-280))*(W699-280),IF(W699&lt;=800,400+((500-400)/(800-400))*(W699-400),500)))))))</f>
        <v>46.25</v>
      </c>
      <c r="AJ699" s="4" t="n">
        <f aca="false">IF(X699="","",IF(X699&lt;=40,(50/40)*X699,IF(X699&lt;=80,50+((100-50)/(80-40))*(X699-40),IF(X699&lt;=380,100+((200-100)/(380-80))*(X699-80),IF(X699&lt;=800,200+((300-200)/(800-380))*(X699-380),IF(X699&lt;=1600,300+((400-300)/(1600-800))*(X699-800),IF(X699&lt;=2100,400+((500-400)/(2100-1600))*(X699-1600),500)))))))</f>
        <v>22.125</v>
      </c>
      <c r="AK699" s="4" t="n">
        <f aca="false">IF(Y699="","",IF(Y699&lt;=50,(50/50)*Y699,IF(Y699&lt;=100,50+((100-50)/(100-50))*(Y699-50),IF(Y699&lt;=168,100+((200-100)/(168-100))*(Y699-100),IF(Y699&lt;=208,200+((300-200)/(208-168))*(Y699-168),IF(Y699&lt;=748,300+((400-300)/(748-208))*(Y699-208),IF(Y699&lt;=1000,400+((500-400)/(1000-748))*(Y699-748),500)))))))</f>
        <v>40</v>
      </c>
      <c r="AL699" s="4" t="n">
        <f aca="false">ROUND(MAX(AF699,AG699,AH699,AI699,AJ699,AK699),0)</f>
        <v>79</v>
      </c>
      <c r="AM699" s="4" t="str">
        <f aca="false">IF(AL699="","",IF(AL699&lt;=50,"Good",IF(AL699&lt;=100,"Satisfactory",IF(AL699&lt;=200,"Moderate",IF(AL699&lt;=300,"Poor",IF(AL699&lt;=400,"Very Poor","Severe"))))))</f>
        <v>Satisfactory</v>
      </c>
    </row>
    <row r="700" customFormat="false" ht="15.75" hidden="false" customHeight="false" outlineLevel="0" collapsed="false">
      <c r="A700" s="1" t="s">
        <v>39</v>
      </c>
      <c r="B700" s="1" t="s">
        <v>40</v>
      </c>
      <c r="C700" s="1" t="n">
        <v>28.4595</v>
      </c>
      <c r="D700" s="1" t="n">
        <v>77.0266</v>
      </c>
      <c r="E700" s="5" t="n">
        <v>45930</v>
      </c>
      <c r="F700" s="6" t="s">
        <v>51</v>
      </c>
      <c r="G700" s="1" t="n">
        <v>9</v>
      </c>
      <c r="H700" s="7" t="s">
        <v>78</v>
      </c>
      <c r="I700" s="6" t="s">
        <v>43</v>
      </c>
      <c r="J700" s="7" t="s">
        <v>44</v>
      </c>
      <c r="K700" s="7" t="s">
        <v>45</v>
      </c>
      <c r="L700" s="1" t="n">
        <v>85</v>
      </c>
      <c r="M700" s="1" t="n">
        <v>23.9</v>
      </c>
      <c r="N700" s="1" t="n">
        <v>7.6</v>
      </c>
      <c r="O700" s="1" t="n">
        <v>0</v>
      </c>
      <c r="P700" s="6" t="s">
        <v>43</v>
      </c>
      <c r="Q700" s="6" t="s">
        <v>43</v>
      </c>
      <c r="R700" s="1" t="n">
        <v>1002.2</v>
      </c>
      <c r="S700" s="1" t="n">
        <v>0</v>
      </c>
      <c r="T700" s="1" t="n">
        <v>36.6</v>
      </c>
      <c r="U700" s="1" t="n">
        <v>38.9</v>
      </c>
      <c r="V700" s="1" t="n">
        <v>639</v>
      </c>
      <c r="W700" s="1" t="n">
        <v>28</v>
      </c>
      <c r="X700" s="1" t="n">
        <v>15</v>
      </c>
      <c r="Y700" s="1" t="n">
        <v>47</v>
      </c>
      <c r="Z700" s="1" t="n">
        <v>4</v>
      </c>
      <c r="AA700" s="1" t="n">
        <v>113</v>
      </c>
      <c r="AB700" s="7" t="s">
        <v>81</v>
      </c>
      <c r="AC700" s="7" t="s">
        <v>82</v>
      </c>
      <c r="AD700" s="7" t="s">
        <v>83</v>
      </c>
      <c r="AE700" s="7" t="s">
        <v>84</v>
      </c>
      <c r="AF700" s="4" t="n">
        <f aca="false">IF(T700="","",IF(T700&lt;=30,(50/30)*T700,IF(T700&lt;=60,50+((100-50)/(60-30))*(T700-30),IF(T700&lt;=90,100+((200-100)/(90-60))*(T700-60),IF(T700&lt;=120,200+((300-200)/(120-90))*(T700-90),IF(T700&lt;=250,300+((400-300)/(250-120))*(T700-120),IF(T700&lt;=380,400+((500-400)/(380-250))*(T700-250),500)))))))</f>
        <v>61</v>
      </c>
      <c r="AG700" s="4" t="n">
        <f aca="false">IF(U700="","",IF(U700&lt;=50,(50/50)*U700,IF(U700&lt;=100,50+((100-50)/(100-50))*(U700-50),IF(U700&lt;=250,100+((200-100)/(250-100))*(U700-100),IF(U700&lt;=350,200+((300-200)/(350-250))*(U700-250),IF(U700&lt;=430,300+((400-300)/(430-350))*(U700-350),IF(U700&lt;=600,400+((500-400)/(600-430))*(U700-430),500)))))))</f>
        <v>38.9</v>
      </c>
      <c r="AH700" s="4" t="n">
        <f aca="false">IF(V700="","",IF((V700/1000)&lt;=1,(50/1)*(V700/1000),IF((V700/1000)&lt;=2,50+((100-50)/(2-1))*(V700/1000-1),IF((V700/1000)&lt;=10,100+((200-100)/(10-2))*(V700/1000-2),IF((V700/1000)&lt;=17,200+((300-200)/(17-10))*(V700/1000-10),IF((V700/1000)&lt;=34,300+((400-300)/(34-17))*(V700/1000-17),IF((V700/1000)&lt;=57,400+((500-400)/(57-34))*(V700/1000-34),500)))))))</f>
        <v>31.95</v>
      </c>
      <c r="AI700" s="4" t="n">
        <f aca="false">IF(W700="","",IF(W700&lt;=40,(50/40)*W700,IF(W700&lt;=80,50+((100-50)/(80-40))*(W700-40),IF(W700&lt;=180,100+((200-100)/(180-80))*(W700-80),IF(W700&lt;=280,200+((300-200)/(280-180))*(W700-180),IF(W700&lt;=400,300+((400-300)/(400-280))*(W700-280),IF(W700&lt;=800,400+((500-400)/(800-400))*(W700-400),500)))))))</f>
        <v>35</v>
      </c>
      <c r="AJ700" s="4" t="n">
        <f aca="false">IF(X700="","",IF(X700&lt;=40,(50/40)*X700,IF(X700&lt;=80,50+((100-50)/(80-40))*(X700-40),IF(X700&lt;=380,100+((200-100)/(380-80))*(X700-80),IF(X700&lt;=800,200+((300-200)/(800-380))*(X700-380),IF(X700&lt;=1600,300+((400-300)/(1600-800))*(X700-800),IF(X700&lt;=2100,400+((500-400)/(2100-1600))*(X700-1600),500)))))))</f>
        <v>18.75</v>
      </c>
      <c r="AK700" s="4" t="n">
        <f aca="false">IF(Y700="","",IF(Y700&lt;=50,(50/50)*Y700,IF(Y700&lt;=100,50+((100-50)/(100-50))*(Y700-50),IF(Y700&lt;=168,100+((200-100)/(168-100))*(Y700-100),IF(Y700&lt;=208,200+((300-200)/(208-168))*(Y700-168),IF(Y700&lt;=748,300+((400-300)/(748-208))*(Y700-208),IF(Y700&lt;=1000,400+((500-400)/(1000-748))*(Y700-748),500)))))))</f>
        <v>47</v>
      </c>
      <c r="AL700" s="4" t="n">
        <f aca="false">ROUND(MAX(AF700,AG700,AH700,AI700,AJ700,AK700),0)</f>
        <v>61</v>
      </c>
      <c r="AM700" s="4" t="str">
        <f aca="false">IF(AL700="","",IF(AL700&lt;=50,"Good",IF(AL700&lt;=100,"Satisfactory",IF(AL700&lt;=200,"Moderate",IF(AL700&lt;=300,"Poor",IF(AL700&lt;=400,"Very Poor","Severe"))))))</f>
        <v>Satisfactory</v>
      </c>
    </row>
    <row r="701" customFormat="false" ht="15.75" hidden="false" customHeight="false" outlineLevel="0" collapsed="false">
      <c r="A701" s="1" t="s">
        <v>39</v>
      </c>
      <c r="B701" s="1" t="s">
        <v>40</v>
      </c>
      <c r="C701" s="1" t="n">
        <v>28.4595</v>
      </c>
      <c r="D701" s="1" t="n">
        <v>77.0266</v>
      </c>
      <c r="E701" s="5" t="n">
        <v>45930</v>
      </c>
      <c r="F701" s="6" t="s">
        <v>52</v>
      </c>
      <c r="G701" s="1" t="n">
        <v>9</v>
      </c>
      <c r="H701" s="7" t="s">
        <v>78</v>
      </c>
      <c r="I701" s="6" t="s">
        <v>43</v>
      </c>
      <c r="J701" s="7" t="s">
        <v>44</v>
      </c>
      <c r="K701" s="7" t="s">
        <v>45</v>
      </c>
      <c r="L701" s="1" t="n">
        <v>88</v>
      </c>
      <c r="M701" s="1" t="n">
        <v>23.7</v>
      </c>
      <c r="N701" s="1" t="n">
        <v>16.6</v>
      </c>
      <c r="O701" s="1" t="n">
        <v>1.2</v>
      </c>
      <c r="P701" s="6" t="s">
        <v>46</v>
      </c>
      <c r="Q701" s="6" t="s">
        <v>43</v>
      </c>
      <c r="R701" s="1" t="n">
        <v>1003</v>
      </c>
      <c r="S701" s="1" t="n">
        <v>38</v>
      </c>
      <c r="T701" s="1" t="n">
        <v>27</v>
      </c>
      <c r="U701" s="1" t="n">
        <v>28.1</v>
      </c>
      <c r="V701" s="1" t="n">
        <v>486</v>
      </c>
      <c r="W701" s="1" t="n">
        <v>22.2</v>
      </c>
      <c r="X701" s="1" t="n">
        <v>13.1</v>
      </c>
      <c r="Y701" s="1" t="n">
        <v>52</v>
      </c>
      <c r="Z701" s="1" t="n">
        <v>3</v>
      </c>
      <c r="AA701" s="1" t="n">
        <v>112</v>
      </c>
      <c r="AB701" s="7" t="s">
        <v>81</v>
      </c>
      <c r="AC701" s="7" t="s">
        <v>82</v>
      </c>
      <c r="AD701" s="7" t="s">
        <v>83</v>
      </c>
      <c r="AE701" s="7" t="s">
        <v>84</v>
      </c>
      <c r="AF701" s="4" t="n">
        <f aca="false">IF(T701="","",IF(T701&lt;=30,(50/30)*T701,IF(T701&lt;=60,50+((100-50)/(60-30))*(T701-30),IF(T701&lt;=90,100+((200-100)/(90-60))*(T701-60),IF(T701&lt;=120,200+((300-200)/(120-90))*(T701-90),IF(T701&lt;=250,300+((400-300)/(250-120))*(T701-120),IF(T701&lt;=380,400+((500-400)/(380-250))*(T701-250),500)))))))</f>
        <v>45</v>
      </c>
      <c r="AG701" s="4" t="n">
        <f aca="false">IF(U701="","",IF(U701&lt;=50,(50/50)*U701,IF(U701&lt;=100,50+((100-50)/(100-50))*(U701-50),IF(U701&lt;=250,100+((200-100)/(250-100))*(U701-100),IF(U701&lt;=350,200+((300-200)/(350-250))*(U701-250),IF(U701&lt;=430,300+((400-300)/(430-350))*(U701-350),IF(U701&lt;=600,400+((500-400)/(600-430))*(U701-430),500)))))))</f>
        <v>28.1</v>
      </c>
      <c r="AH701" s="4" t="n">
        <f aca="false">IF(V701="","",IF((V701/1000)&lt;=1,(50/1)*(V701/1000),IF((V701/1000)&lt;=2,50+((100-50)/(2-1))*(V701/1000-1),IF((V701/1000)&lt;=10,100+((200-100)/(10-2))*(V701/1000-2),IF((V701/1000)&lt;=17,200+((300-200)/(17-10))*(V701/1000-10),IF((V701/1000)&lt;=34,300+((400-300)/(34-17))*(V701/1000-17),IF((V701/1000)&lt;=57,400+((500-400)/(57-34))*(V701/1000-34),500)))))))</f>
        <v>24.3</v>
      </c>
      <c r="AI701" s="4" t="n">
        <f aca="false">IF(W701="","",IF(W701&lt;=40,(50/40)*W701,IF(W701&lt;=80,50+((100-50)/(80-40))*(W701-40),IF(W701&lt;=180,100+((200-100)/(180-80))*(W701-80),IF(W701&lt;=280,200+((300-200)/(280-180))*(W701-180),IF(W701&lt;=400,300+((400-300)/(400-280))*(W701-280),IF(W701&lt;=800,400+((500-400)/(800-400))*(W701-400),500)))))))</f>
        <v>27.75</v>
      </c>
      <c r="AJ701" s="4" t="n">
        <f aca="false">IF(X701="","",IF(X701&lt;=40,(50/40)*X701,IF(X701&lt;=80,50+((100-50)/(80-40))*(X701-40),IF(X701&lt;=380,100+((200-100)/(380-80))*(X701-80),IF(X701&lt;=800,200+((300-200)/(800-380))*(X701-380),IF(X701&lt;=1600,300+((400-300)/(1600-800))*(X701-800),IF(X701&lt;=2100,400+((500-400)/(2100-1600))*(X701-1600),500)))))))</f>
        <v>16.375</v>
      </c>
      <c r="AK701" s="4" t="n">
        <f aca="false">IF(Y701="","",IF(Y701&lt;=50,(50/50)*Y701,IF(Y701&lt;=100,50+((100-50)/(100-50))*(Y701-50),IF(Y701&lt;=168,100+((200-100)/(168-100))*(Y701-100),IF(Y701&lt;=208,200+((300-200)/(208-168))*(Y701-168),IF(Y701&lt;=748,300+((400-300)/(748-208))*(Y701-208),IF(Y701&lt;=1000,400+((500-400)/(1000-748))*(Y701-748),500)))))))</f>
        <v>52</v>
      </c>
      <c r="AL701" s="4" t="n">
        <f aca="false">ROUND(MAX(AF701,AG701,AH701,AI701,AJ701,AK701),0)</f>
        <v>52</v>
      </c>
      <c r="AM701" s="4" t="str">
        <f aca="false">IF(AL701="","",IF(AL701&lt;=50,"Good",IF(AL701&lt;=100,"Satisfactory",IF(AL701&lt;=200,"Moderate",IF(AL701&lt;=300,"Poor",IF(AL701&lt;=400,"Very Poor","Severe"))))))</f>
        <v>Satisfactory</v>
      </c>
    </row>
    <row r="702" customFormat="false" ht="15.75" hidden="false" customHeight="false" outlineLevel="0" collapsed="false">
      <c r="A702" s="1" t="s">
        <v>39</v>
      </c>
      <c r="B702" s="1" t="s">
        <v>40</v>
      </c>
      <c r="C702" s="1" t="n">
        <v>28.4595</v>
      </c>
      <c r="D702" s="1" t="n">
        <v>77.0266</v>
      </c>
      <c r="E702" s="5" t="n">
        <v>45930</v>
      </c>
      <c r="F702" s="6" t="s">
        <v>53</v>
      </c>
      <c r="G702" s="1" t="n">
        <v>9</v>
      </c>
      <c r="H702" s="7" t="s">
        <v>78</v>
      </c>
      <c r="I702" s="6" t="s">
        <v>43</v>
      </c>
      <c r="J702" s="7" t="s">
        <v>44</v>
      </c>
      <c r="K702" s="7" t="s">
        <v>45</v>
      </c>
      <c r="L702" s="1" t="n">
        <v>94</v>
      </c>
      <c r="M702" s="1" t="n">
        <v>22.9</v>
      </c>
      <c r="N702" s="1" t="n">
        <v>41</v>
      </c>
      <c r="O702" s="1" t="n">
        <v>4.2</v>
      </c>
      <c r="P702" s="6" t="s">
        <v>46</v>
      </c>
      <c r="Q702" s="6" t="s">
        <v>43</v>
      </c>
      <c r="R702" s="1" t="n">
        <v>1003.3</v>
      </c>
      <c r="S702" s="1" t="n">
        <v>100</v>
      </c>
      <c r="T702" s="1" t="n">
        <v>24</v>
      </c>
      <c r="U702" s="1" t="n">
        <v>24.7</v>
      </c>
      <c r="V702" s="1" t="n">
        <v>354</v>
      </c>
      <c r="W702" s="1" t="n">
        <v>18.1</v>
      </c>
      <c r="X702" s="1" t="n">
        <v>11.9</v>
      </c>
      <c r="Y702" s="1" t="n">
        <v>58</v>
      </c>
      <c r="Z702" s="1" t="n">
        <v>2</v>
      </c>
      <c r="AA702" s="1" t="n">
        <v>111</v>
      </c>
      <c r="AB702" s="7" t="s">
        <v>81</v>
      </c>
      <c r="AC702" s="7" t="s">
        <v>82</v>
      </c>
      <c r="AD702" s="7" t="s">
        <v>83</v>
      </c>
      <c r="AE702" s="7" t="s">
        <v>84</v>
      </c>
      <c r="AF702" s="4" t="n">
        <f aca="false">IF(T702="","",IF(T702&lt;=30,(50/30)*T702,IF(T702&lt;=60,50+((100-50)/(60-30))*(T702-30),IF(T702&lt;=90,100+((200-100)/(90-60))*(T702-60),IF(T702&lt;=120,200+((300-200)/(120-90))*(T702-90),IF(T702&lt;=250,300+((400-300)/(250-120))*(T702-120),IF(T702&lt;=380,400+((500-400)/(380-250))*(T702-250),500)))))))</f>
        <v>40</v>
      </c>
      <c r="AG702" s="4" t="n">
        <f aca="false">IF(U702="","",IF(U702&lt;=50,(50/50)*U702,IF(U702&lt;=100,50+((100-50)/(100-50))*(U702-50),IF(U702&lt;=250,100+((200-100)/(250-100))*(U702-100),IF(U702&lt;=350,200+((300-200)/(350-250))*(U702-250),IF(U702&lt;=430,300+((400-300)/(430-350))*(U702-350),IF(U702&lt;=600,400+((500-400)/(600-430))*(U702-430),500)))))))</f>
        <v>24.7</v>
      </c>
      <c r="AH702" s="4" t="n">
        <f aca="false">IF(V702="","",IF((V702/1000)&lt;=1,(50/1)*(V702/1000),IF((V702/1000)&lt;=2,50+((100-50)/(2-1))*(V702/1000-1),IF((V702/1000)&lt;=10,100+((200-100)/(10-2))*(V702/1000-2),IF((V702/1000)&lt;=17,200+((300-200)/(17-10))*(V702/1000-10),IF((V702/1000)&lt;=34,300+((400-300)/(34-17))*(V702/1000-17),IF((V702/1000)&lt;=57,400+((500-400)/(57-34))*(V702/1000-34),500)))))))</f>
        <v>17.7</v>
      </c>
      <c r="AI702" s="4" t="n">
        <f aca="false">IF(W702="","",IF(W702&lt;=40,(50/40)*W702,IF(W702&lt;=80,50+((100-50)/(80-40))*(W702-40),IF(W702&lt;=180,100+((200-100)/(180-80))*(W702-80),IF(W702&lt;=280,200+((300-200)/(280-180))*(W702-180),IF(W702&lt;=400,300+((400-300)/(400-280))*(W702-280),IF(W702&lt;=800,400+((500-400)/(800-400))*(W702-400),500)))))))</f>
        <v>22.625</v>
      </c>
      <c r="AJ702" s="4" t="n">
        <f aca="false">IF(X702="","",IF(X702&lt;=40,(50/40)*X702,IF(X702&lt;=80,50+((100-50)/(80-40))*(X702-40),IF(X702&lt;=380,100+((200-100)/(380-80))*(X702-80),IF(X702&lt;=800,200+((300-200)/(800-380))*(X702-380),IF(X702&lt;=1600,300+((400-300)/(1600-800))*(X702-800),IF(X702&lt;=2100,400+((500-400)/(2100-1600))*(X702-1600),500)))))))</f>
        <v>14.875</v>
      </c>
      <c r="AK702" s="4" t="n">
        <f aca="false">IF(Y702="","",IF(Y702&lt;=50,(50/50)*Y702,IF(Y702&lt;=100,50+((100-50)/(100-50))*(Y702-50),IF(Y702&lt;=168,100+((200-100)/(168-100))*(Y702-100),IF(Y702&lt;=208,200+((300-200)/(208-168))*(Y702-168),IF(Y702&lt;=748,300+((400-300)/(748-208))*(Y702-208),IF(Y702&lt;=1000,400+((500-400)/(1000-748))*(Y702-748),500)))))))</f>
        <v>58</v>
      </c>
      <c r="AL702" s="4" t="n">
        <f aca="false">ROUND(MAX(AF702,AG702,AH702,AI702,AJ702,AK702),0)</f>
        <v>58</v>
      </c>
      <c r="AM702" s="4" t="str">
        <f aca="false">IF(AL702="","",IF(AL702&lt;=50,"Good",IF(AL702&lt;=100,"Satisfactory",IF(AL702&lt;=200,"Moderate",IF(AL702&lt;=300,"Poor",IF(AL702&lt;=400,"Very Poor","Severe"))))))</f>
        <v>Satisfactory</v>
      </c>
    </row>
    <row r="703" customFormat="false" ht="15.75" hidden="false" customHeight="false" outlineLevel="0" collapsed="false">
      <c r="A703" s="1" t="s">
        <v>39</v>
      </c>
      <c r="B703" s="1" t="s">
        <v>40</v>
      </c>
      <c r="C703" s="1" t="n">
        <v>28.4595</v>
      </c>
      <c r="D703" s="1" t="n">
        <v>77.0266</v>
      </c>
      <c r="E703" s="5" t="n">
        <v>45930</v>
      </c>
      <c r="F703" s="6" t="s">
        <v>54</v>
      </c>
      <c r="G703" s="1" t="n">
        <v>9</v>
      </c>
      <c r="H703" s="7" t="s">
        <v>78</v>
      </c>
      <c r="I703" s="6" t="s">
        <v>43</v>
      </c>
      <c r="J703" s="7" t="s">
        <v>44</v>
      </c>
      <c r="K703" s="7" t="s">
        <v>45</v>
      </c>
      <c r="L703" s="1" t="n">
        <v>95</v>
      </c>
      <c r="M703" s="1" t="n">
        <v>23.1</v>
      </c>
      <c r="N703" s="1" t="n">
        <v>16.2</v>
      </c>
      <c r="O703" s="1" t="n">
        <v>0.1</v>
      </c>
      <c r="P703" s="6" t="s">
        <v>46</v>
      </c>
      <c r="Q703" s="6" t="s">
        <v>43</v>
      </c>
      <c r="R703" s="1" t="n">
        <v>1004.1</v>
      </c>
      <c r="S703" s="1" t="n">
        <v>72</v>
      </c>
      <c r="T703" s="1" t="n">
        <v>30.4</v>
      </c>
      <c r="U703" s="1" t="n">
        <v>30.6</v>
      </c>
      <c r="V703" s="1" t="n">
        <v>295</v>
      </c>
      <c r="W703" s="1" t="n">
        <v>25.4</v>
      </c>
      <c r="X703" s="1" t="n">
        <v>20.9</v>
      </c>
      <c r="Y703" s="1" t="n">
        <v>52</v>
      </c>
      <c r="Z703" s="1" t="n">
        <v>0</v>
      </c>
      <c r="AA703" s="1" t="n">
        <v>109</v>
      </c>
      <c r="AB703" s="7" t="s">
        <v>81</v>
      </c>
      <c r="AC703" s="7" t="s">
        <v>82</v>
      </c>
      <c r="AD703" s="7" t="s">
        <v>83</v>
      </c>
      <c r="AE703" s="7" t="s">
        <v>84</v>
      </c>
      <c r="AF703" s="4" t="n">
        <f aca="false">IF(T703="","",IF(T703&lt;=30,(50/30)*T703,IF(T703&lt;=60,50+((100-50)/(60-30))*(T703-30),IF(T703&lt;=90,100+((200-100)/(90-60))*(T703-60),IF(T703&lt;=120,200+((300-200)/(120-90))*(T703-90),IF(T703&lt;=250,300+((400-300)/(250-120))*(T703-120),IF(T703&lt;=380,400+((500-400)/(380-250))*(T703-250),500)))))))</f>
        <v>50.6666666666667</v>
      </c>
      <c r="AG703" s="4" t="n">
        <f aca="false">IF(U703="","",IF(U703&lt;=50,(50/50)*U703,IF(U703&lt;=100,50+((100-50)/(100-50))*(U703-50),IF(U703&lt;=250,100+((200-100)/(250-100))*(U703-100),IF(U703&lt;=350,200+((300-200)/(350-250))*(U703-250),IF(U703&lt;=430,300+((400-300)/(430-350))*(U703-350),IF(U703&lt;=600,400+((500-400)/(600-430))*(U703-430),500)))))))</f>
        <v>30.6</v>
      </c>
      <c r="AH703" s="4" t="n">
        <f aca="false">IF(V703="","",IF((V703/1000)&lt;=1,(50/1)*(V703/1000),IF((V703/1000)&lt;=2,50+((100-50)/(2-1))*(V703/1000-1),IF((V703/1000)&lt;=10,100+((200-100)/(10-2))*(V703/1000-2),IF((V703/1000)&lt;=17,200+((300-200)/(17-10))*(V703/1000-10),IF((V703/1000)&lt;=34,300+((400-300)/(34-17))*(V703/1000-17),IF((V703/1000)&lt;=57,400+((500-400)/(57-34))*(V703/1000-34),500)))))))</f>
        <v>14.75</v>
      </c>
      <c r="AI703" s="4" t="n">
        <f aca="false">IF(W703="","",IF(W703&lt;=40,(50/40)*W703,IF(W703&lt;=80,50+((100-50)/(80-40))*(W703-40),IF(W703&lt;=180,100+((200-100)/(180-80))*(W703-80),IF(W703&lt;=280,200+((300-200)/(280-180))*(W703-180),IF(W703&lt;=400,300+((400-300)/(400-280))*(W703-280),IF(W703&lt;=800,400+((500-400)/(800-400))*(W703-400),500)))))))</f>
        <v>31.75</v>
      </c>
      <c r="AJ703" s="4" t="n">
        <f aca="false">IF(X703="","",IF(X703&lt;=40,(50/40)*X703,IF(X703&lt;=80,50+((100-50)/(80-40))*(X703-40),IF(X703&lt;=380,100+((200-100)/(380-80))*(X703-80),IF(X703&lt;=800,200+((300-200)/(800-380))*(X703-380),IF(X703&lt;=1600,300+((400-300)/(1600-800))*(X703-800),IF(X703&lt;=2100,400+((500-400)/(2100-1600))*(X703-1600),500)))))))</f>
        <v>26.125</v>
      </c>
      <c r="AK703" s="4" t="n">
        <f aca="false">IF(Y703="","",IF(Y703&lt;=50,(50/50)*Y703,IF(Y703&lt;=100,50+((100-50)/(100-50))*(Y703-50),IF(Y703&lt;=168,100+((200-100)/(168-100))*(Y703-100),IF(Y703&lt;=208,200+((300-200)/(208-168))*(Y703-168),IF(Y703&lt;=748,300+((400-300)/(748-208))*(Y703-208),IF(Y703&lt;=1000,400+((500-400)/(1000-748))*(Y703-748),500)))))))</f>
        <v>52</v>
      </c>
      <c r="AL703" s="4" t="n">
        <f aca="false">ROUND(MAX(AF703,AG703,AH703,AI703,AJ703,AK703),0)</f>
        <v>52</v>
      </c>
      <c r="AM703" s="4" t="str">
        <f aca="false">IF(AL703="","",IF(AL703&lt;=50,"Good",IF(AL703&lt;=100,"Satisfactory",IF(AL703&lt;=200,"Moderate",IF(AL703&lt;=300,"Poor",IF(AL703&lt;=400,"Very Poor","Severe"))))))</f>
        <v>Satisfactory</v>
      </c>
    </row>
    <row r="704" customFormat="false" ht="15.75" hidden="false" customHeight="false" outlineLevel="0" collapsed="false">
      <c r="A704" s="1" t="s">
        <v>39</v>
      </c>
      <c r="B704" s="1" t="s">
        <v>40</v>
      </c>
      <c r="C704" s="1" t="n">
        <v>28.4595</v>
      </c>
      <c r="D704" s="1" t="n">
        <v>77.0266</v>
      </c>
      <c r="E704" s="5" t="n">
        <v>45930</v>
      </c>
      <c r="F704" s="6" t="s">
        <v>55</v>
      </c>
      <c r="G704" s="1" t="n">
        <v>9</v>
      </c>
      <c r="H704" s="7" t="s">
        <v>78</v>
      </c>
      <c r="I704" s="6" t="s">
        <v>43</v>
      </c>
      <c r="J704" s="7" t="s">
        <v>44</v>
      </c>
      <c r="K704" s="7" t="s">
        <v>56</v>
      </c>
      <c r="L704" s="1" t="n">
        <v>93</v>
      </c>
      <c r="M704" s="1" t="n">
        <v>25.3</v>
      </c>
      <c r="N704" s="1" t="n">
        <v>19.1</v>
      </c>
      <c r="O704" s="1" t="n">
        <v>0</v>
      </c>
      <c r="P704" s="6" t="s">
        <v>43</v>
      </c>
      <c r="Q704" s="6" t="s">
        <v>43</v>
      </c>
      <c r="R704" s="1" t="n">
        <v>1005.1</v>
      </c>
      <c r="S704" s="1" t="n">
        <v>100</v>
      </c>
      <c r="T704" s="1" t="n">
        <v>30.4</v>
      </c>
      <c r="U704" s="1" t="n">
        <v>30.6</v>
      </c>
      <c r="V704" s="1" t="n">
        <v>371</v>
      </c>
      <c r="W704" s="1" t="n">
        <v>25.7</v>
      </c>
      <c r="X704" s="1" t="n">
        <v>20.8</v>
      </c>
      <c r="Y704" s="1" t="n">
        <v>53</v>
      </c>
      <c r="Z704" s="1" t="n">
        <v>0</v>
      </c>
      <c r="AA704" s="1" t="n">
        <v>107</v>
      </c>
      <c r="AB704" s="7" t="s">
        <v>81</v>
      </c>
      <c r="AC704" s="7" t="s">
        <v>82</v>
      </c>
      <c r="AD704" s="7" t="s">
        <v>83</v>
      </c>
      <c r="AE704" s="7" t="s">
        <v>84</v>
      </c>
      <c r="AF704" s="4" t="n">
        <f aca="false">IF(T704="","",IF(T704&lt;=30,(50/30)*T704,IF(T704&lt;=60,50+((100-50)/(60-30))*(T704-30),IF(T704&lt;=90,100+((200-100)/(90-60))*(T704-60),IF(T704&lt;=120,200+((300-200)/(120-90))*(T704-90),IF(T704&lt;=250,300+((400-300)/(250-120))*(T704-120),IF(T704&lt;=380,400+((500-400)/(380-250))*(T704-250),500)))))))</f>
        <v>50.6666666666667</v>
      </c>
      <c r="AG704" s="4" t="n">
        <f aca="false">IF(U704="","",IF(U704&lt;=50,(50/50)*U704,IF(U704&lt;=100,50+((100-50)/(100-50))*(U704-50),IF(U704&lt;=250,100+((200-100)/(250-100))*(U704-100),IF(U704&lt;=350,200+((300-200)/(350-250))*(U704-250),IF(U704&lt;=430,300+((400-300)/(430-350))*(U704-350),IF(U704&lt;=600,400+((500-400)/(600-430))*(U704-430),500)))))))</f>
        <v>30.6</v>
      </c>
      <c r="AH704" s="4" t="n">
        <f aca="false">IF(V704="","",IF((V704/1000)&lt;=1,(50/1)*(V704/1000),IF((V704/1000)&lt;=2,50+((100-50)/(2-1))*(V704/1000-1),IF((V704/1000)&lt;=10,100+((200-100)/(10-2))*(V704/1000-2),IF((V704/1000)&lt;=17,200+((300-200)/(17-10))*(V704/1000-10),IF((V704/1000)&lt;=34,300+((400-300)/(34-17))*(V704/1000-17),IF((V704/1000)&lt;=57,400+((500-400)/(57-34))*(V704/1000-34),500)))))))</f>
        <v>18.55</v>
      </c>
      <c r="AI704" s="4" t="n">
        <f aca="false">IF(W704="","",IF(W704&lt;=40,(50/40)*W704,IF(W704&lt;=80,50+((100-50)/(80-40))*(W704-40),IF(W704&lt;=180,100+((200-100)/(180-80))*(W704-80),IF(W704&lt;=280,200+((300-200)/(280-180))*(W704-180),IF(W704&lt;=400,300+((400-300)/(400-280))*(W704-280),IF(W704&lt;=800,400+((500-400)/(800-400))*(W704-400),500)))))))</f>
        <v>32.125</v>
      </c>
      <c r="AJ704" s="4" t="n">
        <f aca="false">IF(X704="","",IF(X704&lt;=40,(50/40)*X704,IF(X704&lt;=80,50+((100-50)/(80-40))*(X704-40),IF(X704&lt;=380,100+((200-100)/(380-80))*(X704-80),IF(X704&lt;=800,200+((300-200)/(800-380))*(X704-380),IF(X704&lt;=1600,300+((400-300)/(1600-800))*(X704-800),IF(X704&lt;=2100,400+((500-400)/(2100-1600))*(X704-1600),500)))))))</f>
        <v>26</v>
      </c>
      <c r="AK704" s="4" t="n">
        <f aca="false">IF(Y704="","",IF(Y704&lt;=50,(50/50)*Y704,IF(Y704&lt;=100,50+((100-50)/(100-50))*(Y704-50),IF(Y704&lt;=168,100+((200-100)/(168-100))*(Y704-100),IF(Y704&lt;=208,200+((300-200)/(208-168))*(Y704-168),IF(Y704&lt;=748,300+((400-300)/(748-208))*(Y704-208),IF(Y704&lt;=1000,400+((500-400)/(1000-748))*(Y704-748),500)))))))</f>
        <v>53</v>
      </c>
      <c r="AL704" s="4" t="n">
        <f aca="false">ROUND(MAX(AF704,AG704,AH704,AI704,AJ704,AK704),0)</f>
        <v>53</v>
      </c>
      <c r="AM704" s="4" t="str">
        <f aca="false">IF(AL704="","",IF(AL704&lt;=50,"Good",IF(AL704&lt;=100,"Satisfactory",IF(AL704&lt;=200,"Moderate",IF(AL704&lt;=300,"Poor",IF(AL704&lt;=400,"Very Poor","Severe"))))))</f>
        <v>Satisfactory</v>
      </c>
    </row>
    <row r="705" customFormat="false" ht="15.75" hidden="false" customHeight="false" outlineLevel="0" collapsed="false">
      <c r="A705" s="1" t="s">
        <v>39</v>
      </c>
      <c r="B705" s="1" t="s">
        <v>40</v>
      </c>
      <c r="C705" s="1" t="n">
        <v>28.4595</v>
      </c>
      <c r="D705" s="1" t="n">
        <v>77.0266</v>
      </c>
      <c r="E705" s="5" t="n">
        <v>45930</v>
      </c>
      <c r="F705" s="6" t="s">
        <v>57</v>
      </c>
      <c r="G705" s="1" t="n">
        <v>9</v>
      </c>
      <c r="H705" s="7" t="s">
        <v>78</v>
      </c>
      <c r="I705" s="6" t="s">
        <v>43</v>
      </c>
      <c r="J705" s="7" t="s">
        <v>44</v>
      </c>
      <c r="K705" s="7" t="s">
        <v>56</v>
      </c>
      <c r="L705" s="1" t="n">
        <v>91</v>
      </c>
      <c r="M705" s="1" t="n">
        <v>25.5</v>
      </c>
      <c r="N705" s="1" t="n">
        <v>11.2</v>
      </c>
      <c r="O705" s="1" t="n">
        <v>0</v>
      </c>
      <c r="P705" s="6" t="s">
        <v>43</v>
      </c>
      <c r="Q705" s="6" t="s">
        <v>43</v>
      </c>
      <c r="R705" s="1" t="n">
        <v>1004.7</v>
      </c>
      <c r="S705" s="1" t="n">
        <v>100</v>
      </c>
      <c r="T705" s="1" t="n">
        <v>32.2</v>
      </c>
      <c r="U705" s="1" t="n">
        <v>32.5</v>
      </c>
      <c r="V705" s="1" t="n">
        <v>521</v>
      </c>
      <c r="W705" s="1" t="n">
        <v>25.9</v>
      </c>
      <c r="X705" s="1" t="n">
        <v>20.8</v>
      </c>
      <c r="Y705" s="1" t="n">
        <v>55</v>
      </c>
      <c r="Z705" s="1" t="n">
        <v>0</v>
      </c>
      <c r="AA705" s="1" t="n">
        <v>105</v>
      </c>
      <c r="AB705" s="7" t="s">
        <v>81</v>
      </c>
      <c r="AC705" s="7" t="s">
        <v>82</v>
      </c>
      <c r="AD705" s="7" t="s">
        <v>83</v>
      </c>
      <c r="AE705" s="7" t="s">
        <v>84</v>
      </c>
      <c r="AF705" s="4" t="n">
        <f aca="false">IF(T705="","",IF(T705&lt;=30,(50/30)*T705,IF(T705&lt;=60,50+((100-50)/(60-30))*(T705-30),IF(T705&lt;=90,100+((200-100)/(90-60))*(T705-60),IF(T705&lt;=120,200+((300-200)/(120-90))*(T705-90),IF(T705&lt;=250,300+((400-300)/(250-120))*(T705-120),IF(T705&lt;=380,400+((500-400)/(380-250))*(T705-250),500)))))))</f>
        <v>53.6666666666667</v>
      </c>
      <c r="AG705" s="4" t="n">
        <f aca="false">IF(U705="","",IF(U705&lt;=50,(50/50)*U705,IF(U705&lt;=100,50+((100-50)/(100-50))*(U705-50),IF(U705&lt;=250,100+((200-100)/(250-100))*(U705-100),IF(U705&lt;=350,200+((300-200)/(350-250))*(U705-250),IF(U705&lt;=430,300+((400-300)/(430-350))*(U705-350),IF(U705&lt;=600,400+((500-400)/(600-430))*(U705-430),500)))))))</f>
        <v>32.5</v>
      </c>
      <c r="AH705" s="4" t="n">
        <f aca="false">IF(V705="","",IF((V705/1000)&lt;=1,(50/1)*(V705/1000),IF((V705/1000)&lt;=2,50+((100-50)/(2-1))*(V705/1000-1),IF((V705/1000)&lt;=10,100+((200-100)/(10-2))*(V705/1000-2),IF((V705/1000)&lt;=17,200+((300-200)/(17-10))*(V705/1000-10),IF((V705/1000)&lt;=34,300+((400-300)/(34-17))*(V705/1000-17),IF((V705/1000)&lt;=57,400+((500-400)/(57-34))*(V705/1000-34),500)))))))</f>
        <v>26.05</v>
      </c>
      <c r="AI705" s="4" t="n">
        <f aca="false">IF(W705="","",IF(W705&lt;=40,(50/40)*W705,IF(W705&lt;=80,50+((100-50)/(80-40))*(W705-40),IF(W705&lt;=180,100+((200-100)/(180-80))*(W705-80),IF(W705&lt;=280,200+((300-200)/(280-180))*(W705-180),IF(W705&lt;=400,300+((400-300)/(400-280))*(W705-280),IF(W705&lt;=800,400+((500-400)/(800-400))*(W705-400),500)))))))</f>
        <v>32.375</v>
      </c>
      <c r="AJ705" s="4" t="n">
        <f aca="false">IF(X705="","",IF(X705&lt;=40,(50/40)*X705,IF(X705&lt;=80,50+((100-50)/(80-40))*(X705-40),IF(X705&lt;=380,100+((200-100)/(380-80))*(X705-80),IF(X705&lt;=800,200+((300-200)/(800-380))*(X705-380),IF(X705&lt;=1600,300+((400-300)/(1600-800))*(X705-800),IF(X705&lt;=2100,400+((500-400)/(2100-1600))*(X705-1600),500)))))))</f>
        <v>26</v>
      </c>
      <c r="AK705" s="4" t="n">
        <f aca="false">IF(Y705="","",IF(Y705&lt;=50,(50/50)*Y705,IF(Y705&lt;=100,50+((100-50)/(100-50))*(Y705-50),IF(Y705&lt;=168,100+((200-100)/(168-100))*(Y705-100),IF(Y705&lt;=208,200+((300-200)/(208-168))*(Y705-168),IF(Y705&lt;=748,300+((400-300)/(748-208))*(Y705-208),IF(Y705&lt;=1000,400+((500-400)/(1000-748))*(Y705-748),500)))))))</f>
        <v>55</v>
      </c>
      <c r="AL705" s="4" t="n">
        <f aca="false">ROUND(MAX(AF705,AG705,AH705,AI705,AJ705,AK705),0)</f>
        <v>55</v>
      </c>
      <c r="AM705" s="4" t="str">
        <f aca="false">IF(AL705="","",IF(AL705&lt;=50,"Good",IF(AL705&lt;=100,"Satisfactory",IF(AL705&lt;=200,"Moderate",IF(AL705&lt;=300,"Poor",IF(AL705&lt;=400,"Very Poor","Severe"))))))</f>
        <v>Satisfactory</v>
      </c>
    </row>
    <row r="706" customFormat="false" ht="15.75" hidden="false" customHeight="false" outlineLevel="0" collapsed="false">
      <c r="A706" s="1" t="s">
        <v>39</v>
      </c>
      <c r="B706" s="1" t="s">
        <v>40</v>
      </c>
      <c r="C706" s="1" t="n">
        <v>28.4595</v>
      </c>
      <c r="D706" s="1" t="n">
        <v>77.0266</v>
      </c>
      <c r="E706" s="5" t="n">
        <v>45930</v>
      </c>
      <c r="F706" s="6" t="s">
        <v>58</v>
      </c>
      <c r="G706" s="1" t="n">
        <v>9</v>
      </c>
      <c r="H706" s="7" t="s">
        <v>78</v>
      </c>
      <c r="I706" s="6" t="s">
        <v>43</v>
      </c>
      <c r="J706" s="7" t="s">
        <v>44</v>
      </c>
      <c r="K706" s="7" t="s">
        <v>56</v>
      </c>
      <c r="L706" s="1" t="n">
        <v>84</v>
      </c>
      <c r="M706" s="1" t="n">
        <v>25.4</v>
      </c>
      <c r="N706" s="1" t="n">
        <v>10.8</v>
      </c>
      <c r="O706" s="1" t="n">
        <v>0</v>
      </c>
      <c r="P706" s="6" t="s">
        <v>43</v>
      </c>
      <c r="Q706" s="6" t="s">
        <v>43</v>
      </c>
      <c r="R706" s="1" t="n">
        <v>1005.1</v>
      </c>
      <c r="S706" s="1" t="n">
        <v>5</v>
      </c>
      <c r="T706" s="1" t="n">
        <v>31.4</v>
      </c>
      <c r="U706" s="1" t="n">
        <v>31.5</v>
      </c>
      <c r="V706" s="1" t="n">
        <v>611</v>
      </c>
      <c r="W706" s="1" t="n">
        <v>25.1</v>
      </c>
      <c r="X706" s="1" t="n">
        <v>21.9</v>
      </c>
      <c r="Y706" s="1" t="n">
        <v>65</v>
      </c>
      <c r="Z706" s="1" t="n">
        <v>0</v>
      </c>
      <c r="AA706" s="1" t="n">
        <v>104</v>
      </c>
      <c r="AB706" s="7" t="s">
        <v>81</v>
      </c>
      <c r="AC706" s="7" t="s">
        <v>82</v>
      </c>
      <c r="AD706" s="7" t="s">
        <v>83</v>
      </c>
      <c r="AE706" s="7" t="s">
        <v>84</v>
      </c>
      <c r="AF706" s="4" t="n">
        <f aca="false">IF(T706="","",IF(T706&lt;=30,(50/30)*T706,IF(T706&lt;=60,50+((100-50)/(60-30))*(T706-30),IF(T706&lt;=90,100+((200-100)/(90-60))*(T706-60),IF(T706&lt;=120,200+((300-200)/(120-90))*(T706-90),IF(T706&lt;=250,300+((400-300)/(250-120))*(T706-120),IF(T706&lt;=380,400+((500-400)/(380-250))*(T706-250),500)))))))</f>
        <v>52.3333333333333</v>
      </c>
      <c r="AG706" s="4" t="n">
        <f aca="false">IF(U706="","",IF(U706&lt;=50,(50/50)*U706,IF(U706&lt;=100,50+((100-50)/(100-50))*(U706-50),IF(U706&lt;=250,100+((200-100)/(250-100))*(U706-100),IF(U706&lt;=350,200+((300-200)/(350-250))*(U706-250),IF(U706&lt;=430,300+((400-300)/(430-350))*(U706-350),IF(U706&lt;=600,400+((500-400)/(600-430))*(U706-430),500)))))))</f>
        <v>31.5</v>
      </c>
      <c r="AH706" s="4" t="n">
        <f aca="false">IF(V706="","",IF((V706/1000)&lt;=1,(50/1)*(V706/1000),IF((V706/1000)&lt;=2,50+((100-50)/(2-1))*(V706/1000-1),IF((V706/1000)&lt;=10,100+((200-100)/(10-2))*(V706/1000-2),IF((V706/1000)&lt;=17,200+((300-200)/(17-10))*(V706/1000-10),IF((V706/1000)&lt;=34,300+((400-300)/(34-17))*(V706/1000-17),IF((V706/1000)&lt;=57,400+((500-400)/(57-34))*(V706/1000-34),500)))))))</f>
        <v>30.55</v>
      </c>
      <c r="AI706" s="4" t="n">
        <f aca="false">IF(W706="","",IF(W706&lt;=40,(50/40)*W706,IF(W706&lt;=80,50+((100-50)/(80-40))*(W706-40),IF(W706&lt;=180,100+((200-100)/(180-80))*(W706-80),IF(W706&lt;=280,200+((300-200)/(280-180))*(W706-180),IF(W706&lt;=400,300+((400-300)/(400-280))*(W706-280),IF(W706&lt;=800,400+((500-400)/(800-400))*(W706-400),500)))))))</f>
        <v>31.375</v>
      </c>
      <c r="AJ706" s="4" t="n">
        <f aca="false">IF(X706="","",IF(X706&lt;=40,(50/40)*X706,IF(X706&lt;=80,50+((100-50)/(80-40))*(X706-40),IF(X706&lt;=380,100+((200-100)/(380-80))*(X706-80),IF(X706&lt;=800,200+((300-200)/(800-380))*(X706-380),IF(X706&lt;=1600,300+((400-300)/(1600-800))*(X706-800),IF(X706&lt;=2100,400+((500-400)/(2100-1600))*(X706-1600),500)))))))</f>
        <v>27.375</v>
      </c>
      <c r="AK706" s="4" t="n">
        <f aca="false">IF(Y706="","",IF(Y706&lt;=50,(50/50)*Y706,IF(Y706&lt;=100,50+((100-50)/(100-50))*(Y706-50),IF(Y706&lt;=168,100+((200-100)/(168-100))*(Y706-100),IF(Y706&lt;=208,200+((300-200)/(208-168))*(Y706-168),IF(Y706&lt;=748,300+((400-300)/(748-208))*(Y706-208),IF(Y706&lt;=1000,400+((500-400)/(1000-748))*(Y706-748),500)))))))</f>
        <v>65</v>
      </c>
      <c r="AL706" s="4" t="n">
        <f aca="false">ROUND(MAX(AF706,AG706,AH706,AI706,AJ706,AK706),0)</f>
        <v>65</v>
      </c>
      <c r="AM706" s="4" t="str">
        <f aca="false">IF(AL706="","",IF(AL706&lt;=50,"Good",IF(AL706&lt;=100,"Satisfactory",IF(AL706&lt;=200,"Moderate",IF(AL706&lt;=300,"Poor",IF(AL706&lt;=400,"Very Poor","Severe"))))))</f>
        <v>Satisfactory</v>
      </c>
    </row>
    <row r="707" customFormat="false" ht="15.75" hidden="false" customHeight="false" outlineLevel="0" collapsed="false">
      <c r="A707" s="1" t="s">
        <v>39</v>
      </c>
      <c r="B707" s="1" t="s">
        <v>40</v>
      </c>
      <c r="C707" s="1" t="n">
        <v>28.4595</v>
      </c>
      <c r="D707" s="1" t="n">
        <v>77.0266</v>
      </c>
      <c r="E707" s="5" t="n">
        <v>45930</v>
      </c>
      <c r="F707" s="6" t="s">
        <v>59</v>
      </c>
      <c r="G707" s="1" t="n">
        <v>9</v>
      </c>
      <c r="H707" s="7" t="s">
        <v>78</v>
      </c>
      <c r="I707" s="6" t="s">
        <v>43</v>
      </c>
      <c r="J707" s="7" t="s">
        <v>44</v>
      </c>
      <c r="K707" s="7" t="s">
        <v>60</v>
      </c>
      <c r="L707" s="1" t="n">
        <v>71</v>
      </c>
      <c r="M707" s="1" t="n">
        <v>24.9</v>
      </c>
      <c r="N707" s="1" t="n">
        <v>11.9</v>
      </c>
      <c r="O707" s="1" t="n">
        <v>0</v>
      </c>
      <c r="P707" s="6" t="s">
        <v>43</v>
      </c>
      <c r="Q707" s="6" t="s">
        <v>43</v>
      </c>
      <c r="R707" s="1" t="n">
        <v>1005.1</v>
      </c>
      <c r="S707" s="1" t="n">
        <v>72</v>
      </c>
      <c r="T707" s="1" t="n">
        <v>30.5</v>
      </c>
      <c r="U707" s="1" t="n">
        <v>30.6</v>
      </c>
      <c r="V707" s="1" t="n">
        <v>567</v>
      </c>
      <c r="W707" s="1" t="n">
        <v>22.6</v>
      </c>
      <c r="X707" s="1" t="n">
        <v>25.5</v>
      </c>
      <c r="Y707" s="1" t="n">
        <v>89</v>
      </c>
      <c r="Z707" s="1" t="n">
        <v>0</v>
      </c>
      <c r="AA707" s="1" t="n">
        <v>102</v>
      </c>
      <c r="AB707" s="7" t="s">
        <v>81</v>
      </c>
      <c r="AC707" s="7" t="s">
        <v>82</v>
      </c>
      <c r="AD707" s="7" t="s">
        <v>83</v>
      </c>
      <c r="AE707" s="7" t="s">
        <v>84</v>
      </c>
      <c r="AF707" s="4" t="n">
        <f aca="false">IF(T707="","",IF(T707&lt;=30,(50/30)*T707,IF(T707&lt;=60,50+((100-50)/(60-30))*(T707-30),IF(T707&lt;=90,100+((200-100)/(90-60))*(T707-60),IF(T707&lt;=120,200+((300-200)/(120-90))*(T707-90),IF(T707&lt;=250,300+((400-300)/(250-120))*(T707-120),IF(T707&lt;=380,400+((500-400)/(380-250))*(T707-250),500)))))))</f>
        <v>50.8333333333333</v>
      </c>
      <c r="AG707" s="4" t="n">
        <f aca="false">IF(U707="","",IF(U707&lt;=50,(50/50)*U707,IF(U707&lt;=100,50+((100-50)/(100-50))*(U707-50),IF(U707&lt;=250,100+((200-100)/(250-100))*(U707-100),IF(U707&lt;=350,200+((300-200)/(350-250))*(U707-250),IF(U707&lt;=430,300+((400-300)/(430-350))*(U707-350),IF(U707&lt;=600,400+((500-400)/(600-430))*(U707-430),500)))))))</f>
        <v>30.6</v>
      </c>
      <c r="AH707" s="4" t="n">
        <f aca="false">IF(V707="","",IF((V707/1000)&lt;=1,(50/1)*(V707/1000),IF((V707/1000)&lt;=2,50+((100-50)/(2-1))*(V707/1000-1),IF((V707/1000)&lt;=10,100+((200-100)/(10-2))*(V707/1000-2),IF((V707/1000)&lt;=17,200+((300-200)/(17-10))*(V707/1000-10),IF((V707/1000)&lt;=34,300+((400-300)/(34-17))*(V707/1000-17),IF((V707/1000)&lt;=57,400+((500-400)/(57-34))*(V707/1000-34),500)))))))</f>
        <v>28.35</v>
      </c>
      <c r="AI707" s="4" t="n">
        <f aca="false">IF(W707="","",IF(W707&lt;=40,(50/40)*W707,IF(W707&lt;=80,50+((100-50)/(80-40))*(W707-40),IF(W707&lt;=180,100+((200-100)/(180-80))*(W707-80),IF(W707&lt;=280,200+((300-200)/(280-180))*(W707-180),IF(W707&lt;=400,300+((400-300)/(400-280))*(W707-280),IF(W707&lt;=800,400+((500-400)/(800-400))*(W707-400),500)))))))</f>
        <v>28.25</v>
      </c>
      <c r="AJ707" s="4" t="n">
        <f aca="false">IF(X707="","",IF(X707&lt;=40,(50/40)*X707,IF(X707&lt;=80,50+((100-50)/(80-40))*(X707-40),IF(X707&lt;=380,100+((200-100)/(380-80))*(X707-80),IF(X707&lt;=800,200+((300-200)/(800-380))*(X707-380),IF(X707&lt;=1600,300+((400-300)/(1600-800))*(X707-800),IF(X707&lt;=2100,400+((500-400)/(2100-1600))*(X707-1600),500)))))))</f>
        <v>31.875</v>
      </c>
      <c r="AK707" s="4" t="n">
        <f aca="false">IF(Y707="","",IF(Y707&lt;=50,(50/50)*Y707,IF(Y707&lt;=100,50+((100-50)/(100-50))*(Y707-50),IF(Y707&lt;=168,100+((200-100)/(168-100))*(Y707-100),IF(Y707&lt;=208,200+((300-200)/(208-168))*(Y707-168),IF(Y707&lt;=748,300+((400-300)/(748-208))*(Y707-208),IF(Y707&lt;=1000,400+((500-400)/(1000-748))*(Y707-748),500)))))))</f>
        <v>89</v>
      </c>
      <c r="AL707" s="4" t="n">
        <f aca="false">ROUND(MAX(AF707,AG707,AH707,AI707,AJ707,AK707),0)</f>
        <v>89</v>
      </c>
      <c r="AM707" s="4" t="str">
        <f aca="false">IF(AL707="","",IF(AL707&lt;=50,"Good",IF(AL707&lt;=100,"Satisfactory",IF(AL707&lt;=200,"Moderate",IF(AL707&lt;=300,"Poor",IF(AL707&lt;=400,"Very Poor","Severe"))))))</f>
        <v>Satisfactory</v>
      </c>
    </row>
    <row r="708" customFormat="false" ht="15.75" hidden="false" customHeight="false" outlineLevel="0" collapsed="false">
      <c r="A708" s="1" t="s">
        <v>39</v>
      </c>
      <c r="B708" s="1" t="s">
        <v>40</v>
      </c>
      <c r="C708" s="1" t="n">
        <v>28.4595</v>
      </c>
      <c r="D708" s="1" t="n">
        <v>77.0266</v>
      </c>
      <c r="E708" s="5" t="n">
        <v>45930</v>
      </c>
      <c r="F708" s="6" t="s">
        <v>61</v>
      </c>
      <c r="G708" s="1" t="n">
        <v>9</v>
      </c>
      <c r="H708" s="7" t="s">
        <v>78</v>
      </c>
      <c r="I708" s="6" t="s">
        <v>43</v>
      </c>
      <c r="J708" s="7" t="s">
        <v>44</v>
      </c>
      <c r="K708" s="7" t="s">
        <v>60</v>
      </c>
      <c r="L708" s="1" t="n">
        <v>63</v>
      </c>
      <c r="M708" s="1" t="n">
        <v>24.2</v>
      </c>
      <c r="N708" s="1" t="n">
        <v>12.6</v>
      </c>
      <c r="O708" s="1" t="n">
        <v>0</v>
      </c>
      <c r="P708" s="6" t="s">
        <v>43</v>
      </c>
      <c r="Q708" s="6" t="s">
        <v>43</v>
      </c>
      <c r="R708" s="1" t="n">
        <v>1004.5</v>
      </c>
      <c r="S708" s="1" t="n">
        <v>100</v>
      </c>
      <c r="T708" s="1" t="n">
        <v>31</v>
      </c>
      <c r="U708" s="1" t="n">
        <v>32.8</v>
      </c>
      <c r="V708" s="1" t="n">
        <v>464</v>
      </c>
      <c r="W708" s="1" t="n">
        <v>19.1</v>
      </c>
      <c r="X708" s="1" t="n">
        <v>30.3</v>
      </c>
      <c r="Y708" s="1" t="n">
        <v>120</v>
      </c>
      <c r="Z708" s="1" t="n">
        <v>1</v>
      </c>
      <c r="AA708" s="1" t="n">
        <v>102</v>
      </c>
      <c r="AB708" s="7" t="s">
        <v>81</v>
      </c>
      <c r="AC708" s="7" t="s">
        <v>82</v>
      </c>
      <c r="AD708" s="7" t="s">
        <v>83</v>
      </c>
      <c r="AE708" s="7" t="s">
        <v>84</v>
      </c>
      <c r="AF708" s="4" t="n">
        <f aca="false">IF(T708="","",IF(T708&lt;=30,(50/30)*T708,IF(T708&lt;=60,50+((100-50)/(60-30))*(T708-30),IF(T708&lt;=90,100+((200-100)/(90-60))*(T708-60),IF(T708&lt;=120,200+((300-200)/(120-90))*(T708-90),IF(T708&lt;=250,300+((400-300)/(250-120))*(T708-120),IF(T708&lt;=380,400+((500-400)/(380-250))*(T708-250),500)))))))</f>
        <v>51.6666666666667</v>
      </c>
      <c r="AG708" s="4" t="n">
        <f aca="false">IF(U708="","",IF(U708&lt;=50,(50/50)*U708,IF(U708&lt;=100,50+((100-50)/(100-50))*(U708-50),IF(U708&lt;=250,100+((200-100)/(250-100))*(U708-100),IF(U708&lt;=350,200+((300-200)/(350-250))*(U708-250),IF(U708&lt;=430,300+((400-300)/(430-350))*(U708-350),IF(U708&lt;=600,400+((500-400)/(600-430))*(U708-430),500)))))))</f>
        <v>32.8</v>
      </c>
      <c r="AH708" s="4" t="n">
        <f aca="false">IF(V708="","",IF((V708/1000)&lt;=1,(50/1)*(V708/1000),IF((V708/1000)&lt;=2,50+((100-50)/(2-1))*(V708/1000-1),IF((V708/1000)&lt;=10,100+((200-100)/(10-2))*(V708/1000-2),IF((V708/1000)&lt;=17,200+((300-200)/(17-10))*(V708/1000-10),IF((V708/1000)&lt;=34,300+((400-300)/(34-17))*(V708/1000-17),IF((V708/1000)&lt;=57,400+((500-400)/(57-34))*(V708/1000-34),500)))))))</f>
        <v>23.2</v>
      </c>
      <c r="AI708" s="4" t="n">
        <f aca="false">IF(W708="","",IF(W708&lt;=40,(50/40)*W708,IF(W708&lt;=80,50+((100-50)/(80-40))*(W708-40),IF(W708&lt;=180,100+((200-100)/(180-80))*(W708-80),IF(W708&lt;=280,200+((300-200)/(280-180))*(W708-180),IF(W708&lt;=400,300+((400-300)/(400-280))*(W708-280),IF(W708&lt;=800,400+((500-400)/(800-400))*(W708-400),500)))))))</f>
        <v>23.875</v>
      </c>
      <c r="AJ708" s="4" t="n">
        <f aca="false">IF(X708="","",IF(X708&lt;=40,(50/40)*X708,IF(X708&lt;=80,50+((100-50)/(80-40))*(X708-40),IF(X708&lt;=380,100+((200-100)/(380-80))*(X708-80),IF(X708&lt;=800,200+((300-200)/(800-380))*(X708-380),IF(X708&lt;=1600,300+((400-300)/(1600-800))*(X708-800),IF(X708&lt;=2100,400+((500-400)/(2100-1600))*(X708-1600),500)))))))</f>
        <v>37.875</v>
      </c>
      <c r="AK708" s="4" t="n">
        <f aca="false">IF(Y708="","",IF(Y708&lt;=50,(50/50)*Y708,IF(Y708&lt;=100,50+((100-50)/(100-50))*(Y708-50),IF(Y708&lt;=168,100+((200-100)/(168-100))*(Y708-100),IF(Y708&lt;=208,200+((300-200)/(208-168))*(Y708-168),IF(Y708&lt;=748,300+((400-300)/(748-208))*(Y708-208),IF(Y708&lt;=1000,400+((500-400)/(1000-748))*(Y708-748),500)))))))</f>
        <v>129.411764705882</v>
      </c>
      <c r="AL708" s="4" t="n">
        <f aca="false">ROUND(MAX(AF708,AG708,AH708,AI708,AJ708,AK708),0)</f>
        <v>129</v>
      </c>
      <c r="AM708" s="4" t="str">
        <f aca="false">IF(AL708="","",IF(AL708&lt;=50,"Good",IF(AL708&lt;=100,"Satisfactory",IF(AL708&lt;=200,"Moderate",IF(AL708&lt;=300,"Poor",IF(AL708&lt;=400,"Very Poor","Severe"))))))</f>
        <v>Moderate</v>
      </c>
    </row>
    <row r="709" customFormat="false" ht="15.75" hidden="false" customHeight="false" outlineLevel="0" collapsed="false">
      <c r="A709" s="1" t="s">
        <v>39</v>
      </c>
      <c r="B709" s="1" t="s">
        <v>40</v>
      </c>
      <c r="C709" s="1" t="n">
        <v>28.4595</v>
      </c>
      <c r="D709" s="1" t="n">
        <v>77.0266</v>
      </c>
      <c r="E709" s="5" t="n">
        <v>45930</v>
      </c>
      <c r="F709" s="6" t="s">
        <v>62</v>
      </c>
      <c r="G709" s="1" t="n">
        <v>9</v>
      </c>
      <c r="H709" s="7" t="s">
        <v>78</v>
      </c>
      <c r="I709" s="6" t="s">
        <v>43</v>
      </c>
      <c r="J709" s="7" t="s">
        <v>44</v>
      </c>
      <c r="K709" s="7" t="s">
        <v>60</v>
      </c>
      <c r="L709" s="1" t="n">
        <v>57</v>
      </c>
      <c r="M709" s="1" t="n">
        <v>23.4</v>
      </c>
      <c r="N709" s="1" t="n">
        <v>16.2</v>
      </c>
      <c r="O709" s="1" t="n">
        <v>0</v>
      </c>
      <c r="P709" s="6" t="s">
        <v>43</v>
      </c>
      <c r="Q709" s="6" t="s">
        <v>43</v>
      </c>
      <c r="R709" s="1" t="n">
        <v>1004</v>
      </c>
      <c r="S709" s="1" t="n">
        <v>100</v>
      </c>
      <c r="T709" s="1" t="n">
        <v>34.8</v>
      </c>
      <c r="U709" s="1" t="n">
        <v>36.1</v>
      </c>
      <c r="V709" s="1" t="n">
        <v>391</v>
      </c>
      <c r="W709" s="1" t="n">
        <v>15.8</v>
      </c>
      <c r="X709" s="1" t="n">
        <v>33</v>
      </c>
      <c r="Y709" s="1" t="n">
        <v>149</v>
      </c>
      <c r="Z709" s="1" t="n">
        <v>3</v>
      </c>
      <c r="AA709" s="1" t="n">
        <v>102</v>
      </c>
      <c r="AB709" s="7" t="s">
        <v>81</v>
      </c>
      <c r="AC709" s="7" t="s">
        <v>82</v>
      </c>
      <c r="AD709" s="7" t="s">
        <v>83</v>
      </c>
      <c r="AE709" s="7" t="s">
        <v>84</v>
      </c>
      <c r="AF709" s="4" t="n">
        <f aca="false">IF(T709="","",IF(T709&lt;=30,(50/30)*T709,IF(T709&lt;=60,50+((100-50)/(60-30))*(T709-30),IF(T709&lt;=90,100+((200-100)/(90-60))*(T709-60),IF(T709&lt;=120,200+((300-200)/(120-90))*(T709-90),IF(T709&lt;=250,300+((400-300)/(250-120))*(T709-120),IF(T709&lt;=380,400+((500-400)/(380-250))*(T709-250),500)))))))</f>
        <v>58</v>
      </c>
      <c r="AG709" s="4" t="n">
        <f aca="false">IF(U709="","",IF(U709&lt;=50,(50/50)*U709,IF(U709&lt;=100,50+((100-50)/(100-50))*(U709-50),IF(U709&lt;=250,100+((200-100)/(250-100))*(U709-100),IF(U709&lt;=350,200+((300-200)/(350-250))*(U709-250),IF(U709&lt;=430,300+((400-300)/(430-350))*(U709-350),IF(U709&lt;=600,400+((500-400)/(600-430))*(U709-430),500)))))))</f>
        <v>36.1</v>
      </c>
      <c r="AH709" s="4" t="n">
        <f aca="false">IF(V709="","",IF((V709/1000)&lt;=1,(50/1)*(V709/1000),IF((V709/1000)&lt;=2,50+((100-50)/(2-1))*(V709/1000-1),IF((V709/1000)&lt;=10,100+((200-100)/(10-2))*(V709/1000-2),IF((V709/1000)&lt;=17,200+((300-200)/(17-10))*(V709/1000-10),IF((V709/1000)&lt;=34,300+((400-300)/(34-17))*(V709/1000-17),IF((V709/1000)&lt;=57,400+((500-400)/(57-34))*(V709/1000-34),500)))))))</f>
        <v>19.55</v>
      </c>
      <c r="AI709" s="4" t="n">
        <f aca="false">IF(W709="","",IF(W709&lt;=40,(50/40)*W709,IF(W709&lt;=80,50+((100-50)/(80-40))*(W709-40),IF(W709&lt;=180,100+((200-100)/(180-80))*(W709-80),IF(W709&lt;=280,200+((300-200)/(280-180))*(W709-180),IF(W709&lt;=400,300+((400-300)/(400-280))*(W709-280),IF(W709&lt;=800,400+((500-400)/(800-400))*(W709-400),500)))))))</f>
        <v>19.75</v>
      </c>
      <c r="AJ709" s="4" t="n">
        <f aca="false">IF(X709="","",IF(X709&lt;=40,(50/40)*X709,IF(X709&lt;=80,50+((100-50)/(80-40))*(X709-40),IF(X709&lt;=380,100+((200-100)/(380-80))*(X709-80),IF(X709&lt;=800,200+((300-200)/(800-380))*(X709-380),IF(X709&lt;=1600,300+((400-300)/(1600-800))*(X709-800),IF(X709&lt;=2100,400+((500-400)/(2100-1600))*(X709-1600),500)))))))</f>
        <v>41.25</v>
      </c>
      <c r="AK709" s="4" t="n">
        <f aca="false">IF(Y709="","",IF(Y709&lt;=50,(50/50)*Y709,IF(Y709&lt;=100,50+((100-50)/(100-50))*(Y709-50),IF(Y709&lt;=168,100+((200-100)/(168-100))*(Y709-100),IF(Y709&lt;=208,200+((300-200)/(208-168))*(Y709-168),IF(Y709&lt;=748,300+((400-300)/(748-208))*(Y709-208),IF(Y709&lt;=1000,400+((500-400)/(1000-748))*(Y709-748),500)))))))</f>
        <v>172.058823529412</v>
      </c>
      <c r="AL709" s="4" t="n">
        <f aca="false">ROUND(MAX(AF709,AG709,AH709,AI709,AJ709,AK709),0)</f>
        <v>172</v>
      </c>
      <c r="AM709" s="4" t="str">
        <f aca="false">IF(AL709="","",IF(AL709&lt;=50,"Good",IF(AL709&lt;=100,"Satisfactory",IF(AL709&lt;=200,"Moderate",IF(AL709&lt;=300,"Poor",IF(AL709&lt;=400,"Very Poor","Severe"))))))</f>
        <v>Moderate</v>
      </c>
    </row>
    <row r="710" customFormat="false" ht="15.75" hidden="false" customHeight="false" outlineLevel="0" collapsed="false">
      <c r="A710" s="1" t="s">
        <v>39</v>
      </c>
      <c r="B710" s="1" t="s">
        <v>40</v>
      </c>
      <c r="C710" s="1" t="n">
        <v>28.4595</v>
      </c>
      <c r="D710" s="1" t="n">
        <v>77.0266</v>
      </c>
      <c r="E710" s="5" t="n">
        <v>45930</v>
      </c>
      <c r="F710" s="6" t="s">
        <v>63</v>
      </c>
      <c r="G710" s="1" t="n">
        <v>9</v>
      </c>
      <c r="H710" s="7" t="s">
        <v>78</v>
      </c>
      <c r="I710" s="6" t="s">
        <v>43</v>
      </c>
      <c r="J710" s="7" t="s">
        <v>44</v>
      </c>
      <c r="K710" s="7" t="s">
        <v>60</v>
      </c>
      <c r="L710" s="1" t="n">
        <v>56</v>
      </c>
      <c r="M710" s="1" t="n">
        <v>22.9</v>
      </c>
      <c r="N710" s="1" t="n">
        <v>15.8</v>
      </c>
      <c r="O710" s="1" t="n">
        <v>0</v>
      </c>
      <c r="P710" s="6" t="s">
        <v>43</v>
      </c>
      <c r="Q710" s="6" t="s">
        <v>43</v>
      </c>
      <c r="R710" s="1" t="n">
        <v>1003.2</v>
      </c>
      <c r="S710" s="1" t="n">
        <v>100</v>
      </c>
      <c r="T710" s="1" t="n">
        <v>36.6</v>
      </c>
      <c r="U710" s="1" t="n">
        <v>42.6</v>
      </c>
      <c r="V710" s="1" t="n">
        <v>384</v>
      </c>
      <c r="W710" s="1" t="n">
        <v>12.3</v>
      </c>
      <c r="X710" s="1" t="n">
        <v>31.6</v>
      </c>
      <c r="Y710" s="1" t="n">
        <v>173</v>
      </c>
      <c r="Z710" s="1" t="n">
        <v>7</v>
      </c>
      <c r="AA710" s="1" t="n">
        <v>103</v>
      </c>
      <c r="AB710" s="7" t="s">
        <v>81</v>
      </c>
      <c r="AC710" s="7" t="s">
        <v>82</v>
      </c>
      <c r="AD710" s="7" t="s">
        <v>83</v>
      </c>
      <c r="AE710" s="7" t="s">
        <v>84</v>
      </c>
      <c r="AF710" s="4" t="n">
        <f aca="false">IF(T710="","",IF(T710&lt;=30,(50/30)*T710,IF(T710&lt;=60,50+((100-50)/(60-30))*(T710-30),IF(T710&lt;=90,100+((200-100)/(90-60))*(T710-60),IF(T710&lt;=120,200+((300-200)/(120-90))*(T710-90),IF(T710&lt;=250,300+((400-300)/(250-120))*(T710-120),IF(T710&lt;=380,400+((500-400)/(380-250))*(T710-250),500)))))))</f>
        <v>61</v>
      </c>
      <c r="AG710" s="4" t="n">
        <f aca="false">IF(U710="","",IF(U710&lt;=50,(50/50)*U710,IF(U710&lt;=100,50+((100-50)/(100-50))*(U710-50),IF(U710&lt;=250,100+((200-100)/(250-100))*(U710-100),IF(U710&lt;=350,200+((300-200)/(350-250))*(U710-250),IF(U710&lt;=430,300+((400-300)/(430-350))*(U710-350),IF(U710&lt;=600,400+((500-400)/(600-430))*(U710-430),500)))))))</f>
        <v>42.6</v>
      </c>
      <c r="AH710" s="4" t="n">
        <f aca="false">IF(V710="","",IF((V710/1000)&lt;=1,(50/1)*(V710/1000),IF((V710/1000)&lt;=2,50+((100-50)/(2-1))*(V710/1000-1),IF((V710/1000)&lt;=10,100+((200-100)/(10-2))*(V710/1000-2),IF((V710/1000)&lt;=17,200+((300-200)/(17-10))*(V710/1000-10),IF((V710/1000)&lt;=34,300+((400-300)/(34-17))*(V710/1000-17),IF((V710/1000)&lt;=57,400+((500-400)/(57-34))*(V710/1000-34),500)))))))</f>
        <v>19.2</v>
      </c>
      <c r="AI710" s="4" t="n">
        <f aca="false">IF(W710="","",IF(W710&lt;=40,(50/40)*W710,IF(W710&lt;=80,50+((100-50)/(80-40))*(W710-40),IF(W710&lt;=180,100+((200-100)/(180-80))*(W710-80),IF(W710&lt;=280,200+((300-200)/(280-180))*(W710-180),IF(W710&lt;=400,300+((400-300)/(400-280))*(W710-280),IF(W710&lt;=800,400+((500-400)/(800-400))*(W710-400),500)))))))</f>
        <v>15.375</v>
      </c>
      <c r="AJ710" s="4" t="n">
        <f aca="false">IF(X710="","",IF(X710&lt;=40,(50/40)*X710,IF(X710&lt;=80,50+((100-50)/(80-40))*(X710-40),IF(X710&lt;=380,100+((200-100)/(380-80))*(X710-80),IF(X710&lt;=800,200+((300-200)/(800-380))*(X710-380),IF(X710&lt;=1600,300+((400-300)/(1600-800))*(X710-800),IF(X710&lt;=2100,400+((500-400)/(2100-1600))*(X710-1600),500)))))))</f>
        <v>39.5</v>
      </c>
      <c r="AK710" s="4" t="n">
        <f aca="false">IF(Y710="","",IF(Y710&lt;=50,(50/50)*Y710,IF(Y710&lt;=100,50+((100-50)/(100-50))*(Y710-50),IF(Y710&lt;=168,100+((200-100)/(168-100))*(Y710-100),IF(Y710&lt;=208,200+((300-200)/(208-168))*(Y710-168),IF(Y710&lt;=748,300+((400-300)/(748-208))*(Y710-208),IF(Y710&lt;=1000,400+((500-400)/(1000-748))*(Y710-748),500)))))))</f>
        <v>212.5</v>
      </c>
      <c r="AL710" s="4" t="n">
        <f aca="false">ROUND(MAX(AF710,AG710,AH710,AI710,AJ710,AK710),0)</f>
        <v>213</v>
      </c>
      <c r="AM710" s="4" t="str">
        <f aca="false">IF(AL710="","",IF(AL710&lt;=50,"Good",IF(AL710&lt;=100,"Satisfactory",IF(AL710&lt;=200,"Moderate",IF(AL710&lt;=300,"Poor",IF(AL710&lt;=400,"Very Poor","Severe"))))))</f>
        <v>Poor</v>
      </c>
    </row>
    <row r="711" customFormat="false" ht="15.75" hidden="false" customHeight="false" outlineLevel="0" collapsed="false">
      <c r="A711" s="1" t="s">
        <v>39</v>
      </c>
      <c r="B711" s="1" t="s">
        <v>40</v>
      </c>
      <c r="C711" s="1" t="n">
        <v>28.4595</v>
      </c>
      <c r="D711" s="1" t="n">
        <v>77.0266</v>
      </c>
      <c r="E711" s="5" t="n">
        <v>45930</v>
      </c>
      <c r="F711" s="6" t="s">
        <v>64</v>
      </c>
      <c r="G711" s="1" t="n">
        <v>9</v>
      </c>
      <c r="H711" s="7" t="s">
        <v>78</v>
      </c>
      <c r="I711" s="6" t="s">
        <v>43</v>
      </c>
      <c r="J711" s="7" t="s">
        <v>44</v>
      </c>
      <c r="K711" s="7" t="s">
        <v>65</v>
      </c>
      <c r="L711" s="1" t="n">
        <v>56</v>
      </c>
      <c r="M711" s="1" t="n">
        <v>22.7</v>
      </c>
      <c r="N711" s="1" t="n">
        <v>16.2</v>
      </c>
      <c r="O711" s="1" t="n">
        <v>0</v>
      </c>
      <c r="P711" s="6" t="s">
        <v>43</v>
      </c>
      <c r="Q711" s="6" t="s">
        <v>43</v>
      </c>
      <c r="R711" s="1" t="n">
        <v>1002.5</v>
      </c>
      <c r="S711" s="1" t="n">
        <v>100</v>
      </c>
      <c r="T711" s="1" t="n">
        <v>37.6</v>
      </c>
      <c r="U711" s="1" t="n">
        <v>45.2</v>
      </c>
      <c r="V711" s="1" t="n">
        <v>407</v>
      </c>
      <c r="W711" s="1" t="n">
        <v>8.9</v>
      </c>
      <c r="X711" s="1" t="n">
        <v>28.2</v>
      </c>
      <c r="Y711" s="1" t="n">
        <v>195</v>
      </c>
      <c r="Z711" s="1" t="n">
        <v>12</v>
      </c>
      <c r="AA711" s="1" t="n">
        <v>104</v>
      </c>
      <c r="AB711" s="7" t="s">
        <v>81</v>
      </c>
      <c r="AC711" s="7" t="s">
        <v>82</v>
      </c>
      <c r="AD711" s="7" t="s">
        <v>83</v>
      </c>
      <c r="AE711" s="7" t="s">
        <v>84</v>
      </c>
      <c r="AF711" s="4" t="n">
        <f aca="false">IF(T711="","",IF(T711&lt;=30,(50/30)*T711,IF(T711&lt;=60,50+((100-50)/(60-30))*(T711-30),IF(T711&lt;=90,100+((200-100)/(90-60))*(T711-60),IF(T711&lt;=120,200+((300-200)/(120-90))*(T711-90),IF(T711&lt;=250,300+((400-300)/(250-120))*(T711-120),IF(T711&lt;=380,400+((500-400)/(380-250))*(T711-250),500)))))))</f>
        <v>62.6666666666667</v>
      </c>
      <c r="AG711" s="4" t="n">
        <f aca="false">IF(U711="","",IF(U711&lt;=50,(50/50)*U711,IF(U711&lt;=100,50+((100-50)/(100-50))*(U711-50),IF(U711&lt;=250,100+((200-100)/(250-100))*(U711-100),IF(U711&lt;=350,200+((300-200)/(350-250))*(U711-250),IF(U711&lt;=430,300+((400-300)/(430-350))*(U711-350),IF(U711&lt;=600,400+((500-400)/(600-430))*(U711-430),500)))))))</f>
        <v>45.2</v>
      </c>
      <c r="AH711" s="4" t="n">
        <f aca="false">IF(V711="","",IF((V711/1000)&lt;=1,(50/1)*(V711/1000),IF((V711/1000)&lt;=2,50+((100-50)/(2-1))*(V711/1000-1),IF((V711/1000)&lt;=10,100+((200-100)/(10-2))*(V711/1000-2),IF((V711/1000)&lt;=17,200+((300-200)/(17-10))*(V711/1000-10),IF((V711/1000)&lt;=34,300+((400-300)/(34-17))*(V711/1000-17),IF((V711/1000)&lt;=57,400+((500-400)/(57-34))*(V711/1000-34),500)))))))</f>
        <v>20.35</v>
      </c>
      <c r="AI711" s="4" t="n">
        <f aca="false">IF(W711="","",IF(W711&lt;=40,(50/40)*W711,IF(W711&lt;=80,50+((100-50)/(80-40))*(W711-40),IF(W711&lt;=180,100+((200-100)/(180-80))*(W711-80),IF(W711&lt;=280,200+((300-200)/(280-180))*(W711-180),IF(W711&lt;=400,300+((400-300)/(400-280))*(W711-280),IF(W711&lt;=800,400+((500-400)/(800-400))*(W711-400),500)))))))</f>
        <v>11.125</v>
      </c>
      <c r="AJ711" s="4" t="n">
        <f aca="false">IF(X711="","",IF(X711&lt;=40,(50/40)*X711,IF(X711&lt;=80,50+((100-50)/(80-40))*(X711-40),IF(X711&lt;=380,100+((200-100)/(380-80))*(X711-80),IF(X711&lt;=800,200+((300-200)/(800-380))*(X711-380),IF(X711&lt;=1600,300+((400-300)/(1600-800))*(X711-800),IF(X711&lt;=2100,400+((500-400)/(2100-1600))*(X711-1600),500)))))))</f>
        <v>35.25</v>
      </c>
      <c r="AK711" s="4" t="n">
        <f aca="false">IF(Y711="","",IF(Y711&lt;=50,(50/50)*Y711,IF(Y711&lt;=100,50+((100-50)/(100-50))*(Y711-50),IF(Y711&lt;=168,100+((200-100)/(168-100))*(Y711-100),IF(Y711&lt;=208,200+((300-200)/(208-168))*(Y711-168),IF(Y711&lt;=748,300+((400-300)/(748-208))*(Y711-208),IF(Y711&lt;=1000,400+((500-400)/(1000-748))*(Y711-748),500)))))))</f>
        <v>267.5</v>
      </c>
      <c r="AL711" s="4" t="n">
        <f aca="false">ROUND(MAX(AF711,AG711,AH711,AI711,AJ711,AK711),0)</f>
        <v>268</v>
      </c>
      <c r="AM711" s="4" t="str">
        <f aca="false">IF(AL711="","",IF(AL711&lt;=50,"Good",IF(AL711&lt;=100,"Satisfactory",IF(AL711&lt;=200,"Moderate",IF(AL711&lt;=300,"Poor",IF(AL711&lt;=400,"Very Poor","Severe"))))))</f>
        <v>Poor</v>
      </c>
    </row>
    <row r="712" customFormat="false" ht="15.75" hidden="false" customHeight="false" outlineLevel="0" collapsed="false">
      <c r="A712" s="1" t="s">
        <v>39</v>
      </c>
      <c r="B712" s="1" t="s">
        <v>40</v>
      </c>
      <c r="C712" s="1" t="n">
        <v>28.4595</v>
      </c>
      <c r="D712" s="1" t="n">
        <v>77.0266</v>
      </c>
      <c r="E712" s="5" t="n">
        <v>45930</v>
      </c>
      <c r="F712" s="6" t="s">
        <v>66</v>
      </c>
      <c r="G712" s="1" t="n">
        <v>9</v>
      </c>
      <c r="H712" s="7" t="s">
        <v>78</v>
      </c>
      <c r="I712" s="6" t="s">
        <v>43</v>
      </c>
      <c r="J712" s="7" t="s">
        <v>44</v>
      </c>
      <c r="K712" s="7" t="s">
        <v>65</v>
      </c>
      <c r="L712" s="1" t="n">
        <v>59</v>
      </c>
      <c r="M712" s="1" t="n">
        <v>22.7</v>
      </c>
      <c r="N712" s="1" t="n">
        <v>14.4</v>
      </c>
      <c r="O712" s="1" t="n">
        <v>0</v>
      </c>
      <c r="P712" s="6" t="s">
        <v>43</v>
      </c>
      <c r="Q712" s="6" t="s">
        <v>43</v>
      </c>
      <c r="R712" s="1" t="n">
        <v>1001.7</v>
      </c>
      <c r="S712" s="1" t="n">
        <v>100</v>
      </c>
      <c r="T712" s="1" t="n">
        <v>37.7</v>
      </c>
      <c r="U712" s="1" t="n">
        <v>45.5</v>
      </c>
      <c r="V712" s="1" t="n">
        <v>443</v>
      </c>
      <c r="W712" s="1" t="n">
        <v>7.8</v>
      </c>
      <c r="X712" s="1" t="n">
        <v>25.5</v>
      </c>
      <c r="Y712" s="1" t="n">
        <v>205</v>
      </c>
      <c r="Z712" s="1" t="n">
        <v>15</v>
      </c>
      <c r="AA712" s="1" t="n">
        <v>106</v>
      </c>
      <c r="AB712" s="7" t="s">
        <v>81</v>
      </c>
      <c r="AC712" s="7" t="s">
        <v>82</v>
      </c>
      <c r="AD712" s="7" t="s">
        <v>83</v>
      </c>
      <c r="AE712" s="7" t="s">
        <v>84</v>
      </c>
      <c r="AF712" s="4" t="n">
        <f aca="false">IF(T712="","",IF(T712&lt;=30,(50/30)*T712,IF(T712&lt;=60,50+((100-50)/(60-30))*(T712-30),IF(T712&lt;=90,100+((200-100)/(90-60))*(T712-60),IF(T712&lt;=120,200+((300-200)/(120-90))*(T712-90),IF(T712&lt;=250,300+((400-300)/(250-120))*(T712-120),IF(T712&lt;=380,400+((500-400)/(380-250))*(T712-250),500)))))))</f>
        <v>62.8333333333333</v>
      </c>
      <c r="AG712" s="4" t="n">
        <f aca="false">IF(U712="","",IF(U712&lt;=50,(50/50)*U712,IF(U712&lt;=100,50+((100-50)/(100-50))*(U712-50),IF(U712&lt;=250,100+((200-100)/(250-100))*(U712-100),IF(U712&lt;=350,200+((300-200)/(350-250))*(U712-250),IF(U712&lt;=430,300+((400-300)/(430-350))*(U712-350),IF(U712&lt;=600,400+((500-400)/(600-430))*(U712-430),500)))))))</f>
        <v>45.5</v>
      </c>
      <c r="AH712" s="4" t="n">
        <f aca="false">IF(V712="","",IF((V712/1000)&lt;=1,(50/1)*(V712/1000),IF((V712/1000)&lt;=2,50+((100-50)/(2-1))*(V712/1000-1),IF((V712/1000)&lt;=10,100+((200-100)/(10-2))*(V712/1000-2),IF((V712/1000)&lt;=17,200+((300-200)/(17-10))*(V712/1000-10),IF((V712/1000)&lt;=34,300+((400-300)/(34-17))*(V712/1000-17),IF((V712/1000)&lt;=57,400+((500-400)/(57-34))*(V712/1000-34),500)))))))</f>
        <v>22.15</v>
      </c>
      <c r="AI712" s="4" t="n">
        <f aca="false">IF(W712="","",IF(W712&lt;=40,(50/40)*W712,IF(W712&lt;=80,50+((100-50)/(80-40))*(W712-40),IF(W712&lt;=180,100+((200-100)/(180-80))*(W712-80),IF(W712&lt;=280,200+((300-200)/(280-180))*(W712-180),IF(W712&lt;=400,300+((400-300)/(400-280))*(W712-280),IF(W712&lt;=800,400+((500-400)/(800-400))*(W712-400),500)))))))</f>
        <v>9.75</v>
      </c>
      <c r="AJ712" s="4" t="n">
        <f aca="false">IF(X712="","",IF(X712&lt;=40,(50/40)*X712,IF(X712&lt;=80,50+((100-50)/(80-40))*(X712-40),IF(X712&lt;=380,100+((200-100)/(380-80))*(X712-80),IF(X712&lt;=800,200+((300-200)/(800-380))*(X712-380),IF(X712&lt;=1600,300+((400-300)/(1600-800))*(X712-800),IF(X712&lt;=2100,400+((500-400)/(2100-1600))*(X712-1600),500)))))))</f>
        <v>31.875</v>
      </c>
      <c r="AK712" s="4" t="n">
        <f aca="false">IF(Y712="","",IF(Y712&lt;=50,(50/50)*Y712,IF(Y712&lt;=100,50+((100-50)/(100-50))*(Y712-50),IF(Y712&lt;=168,100+((200-100)/(168-100))*(Y712-100),IF(Y712&lt;=208,200+((300-200)/(208-168))*(Y712-168),IF(Y712&lt;=748,300+((400-300)/(748-208))*(Y712-208),IF(Y712&lt;=1000,400+((500-400)/(1000-748))*(Y712-748),500)))))))</f>
        <v>292.5</v>
      </c>
      <c r="AL712" s="4" t="n">
        <f aca="false">ROUND(MAX(AF712,AG712,AH712,AI712,AJ712,AK712),0)</f>
        <v>293</v>
      </c>
      <c r="AM712" s="4" t="str">
        <f aca="false">IF(AL712="","",IF(AL712&lt;=50,"Good",IF(AL712&lt;=100,"Satisfactory",IF(AL712&lt;=200,"Moderate",IF(AL712&lt;=300,"Poor",IF(AL712&lt;=400,"Very Poor","Severe"))))))</f>
        <v>Poor</v>
      </c>
    </row>
    <row r="713" customFormat="false" ht="15.75" hidden="false" customHeight="false" outlineLevel="0" collapsed="false">
      <c r="A713" s="1" t="s">
        <v>39</v>
      </c>
      <c r="B713" s="1" t="s">
        <v>40</v>
      </c>
      <c r="C713" s="1" t="n">
        <v>28.4595</v>
      </c>
      <c r="D713" s="1" t="n">
        <v>77.0266</v>
      </c>
      <c r="E713" s="5" t="n">
        <v>45930</v>
      </c>
      <c r="F713" s="6" t="s">
        <v>67</v>
      </c>
      <c r="G713" s="1" t="n">
        <v>9</v>
      </c>
      <c r="H713" s="7" t="s">
        <v>78</v>
      </c>
      <c r="I713" s="6" t="s">
        <v>43</v>
      </c>
      <c r="J713" s="7" t="s">
        <v>44</v>
      </c>
      <c r="K713" s="7" t="s">
        <v>65</v>
      </c>
      <c r="L713" s="1" t="n">
        <v>58</v>
      </c>
      <c r="M713" s="1" t="n">
        <v>22.6</v>
      </c>
      <c r="N713" s="1" t="n">
        <v>11.5</v>
      </c>
      <c r="O713" s="1" t="n">
        <v>0</v>
      </c>
      <c r="P713" s="6" t="s">
        <v>43</v>
      </c>
      <c r="Q713" s="6" t="s">
        <v>43</v>
      </c>
      <c r="R713" s="1" t="n">
        <v>1000.7</v>
      </c>
      <c r="S713" s="1" t="n">
        <v>75</v>
      </c>
      <c r="T713" s="1" t="n">
        <v>36</v>
      </c>
      <c r="U713" s="1" t="n">
        <v>43.3</v>
      </c>
      <c r="V713" s="1" t="n">
        <v>435</v>
      </c>
      <c r="W713" s="1" t="n">
        <v>10.1</v>
      </c>
      <c r="X713" s="1" t="n">
        <v>24.8</v>
      </c>
      <c r="Y713" s="1" t="n">
        <v>200</v>
      </c>
      <c r="Z713" s="1" t="n">
        <v>15</v>
      </c>
      <c r="AA713" s="1" t="n">
        <v>107</v>
      </c>
      <c r="AB713" s="7" t="s">
        <v>81</v>
      </c>
      <c r="AC713" s="7" t="s">
        <v>82</v>
      </c>
      <c r="AD713" s="7" t="s">
        <v>83</v>
      </c>
      <c r="AE713" s="7" t="s">
        <v>84</v>
      </c>
      <c r="AF713" s="4" t="n">
        <f aca="false">IF(T713="","",IF(T713&lt;=30,(50/30)*T713,IF(T713&lt;=60,50+((100-50)/(60-30))*(T713-30),IF(T713&lt;=90,100+((200-100)/(90-60))*(T713-60),IF(T713&lt;=120,200+((300-200)/(120-90))*(T713-90),IF(T713&lt;=250,300+((400-300)/(250-120))*(T713-120),IF(T713&lt;=380,400+((500-400)/(380-250))*(T713-250),500)))))))</f>
        <v>60</v>
      </c>
      <c r="AG713" s="4" t="n">
        <f aca="false">IF(U713="","",IF(U713&lt;=50,(50/50)*U713,IF(U713&lt;=100,50+((100-50)/(100-50))*(U713-50),IF(U713&lt;=250,100+((200-100)/(250-100))*(U713-100),IF(U713&lt;=350,200+((300-200)/(350-250))*(U713-250),IF(U713&lt;=430,300+((400-300)/(430-350))*(U713-350),IF(U713&lt;=600,400+((500-400)/(600-430))*(U713-430),500)))))))</f>
        <v>43.3</v>
      </c>
      <c r="AH713" s="4" t="n">
        <f aca="false">IF(V713="","",IF((V713/1000)&lt;=1,(50/1)*(V713/1000),IF((V713/1000)&lt;=2,50+((100-50)/(2-1))*(V713/1000-1),IF((V713/1000)&lt;=10,100+((200-100)/(10-2))*(V713/1000-2),IF((V713/1000)&lt;=17,200+((300-200)/(17-10))*(V713/1000-10),IF((V713/1000)&lt;=34,300+((400-300)/(34-17))*(V713/1000-17),IF((V713/1000)&lt;=57,400+((500-400)/(57-34))*(V713/1000-34),500)))))))</f>
        <v>21.75</v>
      </c>
      <c r="AI713" s="4" t="n">
        <f aca="false">IF(W713="","",IF(W713&lt;=40,(50/40)*W713,IF(W713&lt;=80,50+((100-50)/(80-40))*(W713-40),IF(W713&lt;=180,100+((200-100)/(180-80))*(W713-80),IF(W713&lt;=280,200+((300-200)/(280-180))*(W713-180),IF(W713&lt;=400,300+((400-300)/(400-280))*(W713-280),IF(W713&lt;=800,400+((500-400)/(800-400))*(W713-400),500)))))))</f>
        <v>12.625</v>
      </c>
      <c r="AJ713" s="4" t="n">
        <f aca="false">IF(X713="","",IF(X713&lt;=40,(50/40)*X713,IF(X713&lt;=80,50+((100-50)/(80-40))*(X713-40),IF(X713&lt;=380,100+((200-100)/(380-80))*(X713-80),IF(X713&lt;=800,200+((300-200)/(800-380))*(X713-380),IF(X713&lt;=1600,300+((400-300)/(1600-800))*(X713-800),IF(X713&lt;=2100,400+((500-400)/(2100-1600))*(X713-1600),500)))))))</f>
        <v>31</v>
      </c>
      <c r="AK713" s="4" t="n">
        <f aca="false">IF(Y713="","",IF(Y713&lt;=50,(50/50)*Y713,IF(Y713&lt;=100,50+((100-50)/(100-50))*(Y713-50),IF(Y713&lt;=168,100+((200-100)/(168-100))*(Y713-100),IF(Y713&lt;=208,200+((300-200)/(208-168))*(Y713-168),IF(Y713&lt;=748,300+((400-300)/(748-208))*(Y713-208),IF(Y713&lt;=1000,400+((500-400)/(1000-748))*(Y713-748),500)))))))</f>
        <v>280</v>
      </c>
      <c r="AL713" s="4" t="n">
        <f aca="false">ROUND(MAX(AF713,AG713,AH713,AI713,AJ713,AK713),0)</f>
        <v>280</v>
      </c>
      <c r="AM713" s="4" t="str">
        <f aca="false">IF(AL713="","",IF(AL713&lt;=50,"Good",IF(AL713&lt;=100,"Satisfactory",IF(AL713&lt;=200,"Moderate",IF(AL713&lt;=300,"Poor",IF(AL713&lt;=400,"Very Poor","Severe"))))))</f>
        <v>Poor</v>
      </c>
    </row>
    <row r="714" customFormat="false" ht="15.75" hidden="false" customHeight="false" outlineLevel="0" collapsed="false">
      <c r="A714" s="1" t="s">
        <v>39</v>
      </c>
      <c r="B714" s="1" t="s">
        <v>40</v>
      </c>
      <c r="C714" s="1" t="n">
        <v>28.4595</v>
      </c>
      <c r="D714" s="1" t="n">
        <v>77.0266</v>
      </c>
      <c r="E714" s="5" t="n">
        <v>45930</v>
      </c>
      <c r="F714" s="6" t="s">
        <v>68</v>
      </c>
      <c r="G714" s="1" t="n">
        <v>9</v>
      </c>
      <c r="H714" s="7" t="s">
        <v>78</v>
      </c>
      <c r="I714" s="6" t="s">
        <v>43</v>
      </c>
      <c r="J714" s="7" t="s">
        <v>44</v>
      </c>
      <c r="K714" s="7" t="s">
        <v>65</v>
      </c>
      <c r="L714" s="1" t="n">
        <v>57</v>
      </c>
      <c r="M714" s="1" t="n">
        <v>22.5</v>
      </c>
      <c r="N714" s="1" t="n">
        <v>8.6</v>
      </c>
      <c r="O714" s="1" t="n">
        <v>0</v>
      </c>
      <c r="P714" s="6" t="s">
        <v>43</v>
      </c>
      <c r="Q714" s="6" t="s">
        <v>43</v>
      </c>
      <c r="R714" s="1" t="n">
        <v>1000.5</v>
      </c>
      <c r="S714" s="1" t="n">
        <v>94</v>
      </c>
      <c r="T714" s="1" t="n">
        <v>36.6</v>
      </c>
      <c r="U714" s="1" t="n">
        <v>44.7</v>
      </c>
      <c r="V714" s="1" t="n">
        <v>439</v>
      </c>
      <c r="W714" s="1" t="n">
        <v>14.7</v>
      </c>
      <c r="X714" s="1" t="n">
        <v>24.9</v>
      </c>
      <c r="Y714" s="1" t="n">
        <v>184</v>
      </c>
      <c r="Z714" s="1" t="n">
        <v>13</v>
      </c>
      <c r="AA714" s="1" t="n">
        <v>121</v>
      </c>
      <c r="AB714" s="7" t="s">
        <v>81</v>
      </c>
      <c r="AC714" s="7" t="s">
        <v>82</v>
      </c>
      <c r="AD714" s="7" t="s">
        <v>83</v>
      </c>
      <c r="AE714" s="7" t="s">
        <v>84</v>
      </c>
      <c r="AF714" s="4" t="n">
        <f aca="false">IF(T714="","",IF(T714&lt;=30,(50/30)*T714,IF(T714&lt;=60,50+((100-50)/(60-30))*(T714-30),IF(T714&lt;=90,100+((200-100)/(90-60))*(T714-60),IF(T714&lt;=120,200+((300-200)/(120-90))*(T714-90),IF(T714&lt;=250,300+((400-300)/(250-120))*(T714-120),IF(T714&lt;=380,400+((500-400)/(380-250))*(T714-250),500)))))))</f>
        <v>61</v>
      </c>
      <c r="AG714" s="4" t="n">
        <f aca="false">IF(U714="","",IF(U714&lt;=50,(50/50)*U714,IF(U714&lt;=100,50+((100-50)/(100-50))*(U714-50),IF(U714&lt;=250,100+((200-100)/(250-100))*(U714-100),IF(U714&lt;=350,200+((300-200)/(350-250))*(U714-250),IF(U714&lt;=430,300+((400-300)/(430-350))*(U714-350),IF(U714&lt;=600,400+((500-400)/(600-430))*(U714-430),500)))))))</f>
        <v>44.7</v>
      </c>
      <c r="AH714" s="4" t="n">
        <f aca="false">IF(V714="","",IF((V714/1000)&lt;=1,(50/1)*(V714/1000),IF((V714/1000)&lt;=2,50+((100-50)/(2-1))*(V714/1000-1),IF((V714/1000)&lt;=10,100+((200-100)/(10-2))*(V714/1000-2),IF((V714/1000)&lt;=17,200+((300-200)/(17-10))*(V714/1000-10),IF((V714/1000)&lt;=34,300+((400-300)/(34-17))*(V714/1000-17),IF((V714/1000)&lt;=57,400+((500-400)/(57-34))*(V714/1000-34),500)))))))</f>
        <v>21.95</v>
      </c>
      <c r="AI714" s="4" t="n">
        <f aca="false">IF(W714="","",IF(W714&lt;=40,(50/40)*W714,IF(W714&lt;=80,50+((100-50)/(80-40))*(W714-40),IF(W714&lt;=180,100+((200-100)/(180-80))*(W714-80),IF(W714&lt;=280,200+((300-200)/(280-180))*(W714-180),IF(W714&lt;=400,300+((400-300)/(400-280))*(W714-280),IF(W714&lt;=800,400+((500-400)/(800-400))*(W714-400),500)))))))</f>
        <v>18.375</v>
      </c>
      <c r="AJ714" s="4" t="n">
        <f aca="false">IF(X714="","",IF(X714&lt;=40,(50/40)*X714,IF(X714&lt;=80,50+((100-50)/(80-40))*(X714-40),IF(X714&lt;=380,100+((200-100)/(380-80))*(X714-80),IF(X714&lt;=800,200+((300-200)/(800-380))*(X714-380),IF(X714&lt;=1600,300+((400-300)/(1600-800))*(X714-800),IF(X714&lt;=2100,400+((500-400)/(2100-1600))*(X714-1600),500)))))))</f>
        <v>31.125</v>
      </c>
      <c r="AK714" s="4" t="n">
        <f aca="false">IF(Y714="","",IF(Y714&lt;=50,(50/50)*Y714,IF(Y714&lt;=100,50+((100-50)/(100-50))*(Y714-50),IF(Y714&lt;=168,100+((200-100)/(168-100))*(Y714-100),IF(Y714&lt;=208,200+((300-200)/(208-168))*(Y714-168),IF(Y714&lt;=748,300+((400-300)/(748-208))*(Y714-208),IF(Y714&lt;=1000,400+((500-400)/(1000-748))*(Y714-748),500)))))))</f>
        <v>240</v>
      </c>
      <c r="AL714" s="4" t="n">
        <f aca="false">ROUND(MAX(AF714,AG714,AH714,AI714,AJ714,AK714),0)</f>
        <v>240</v>
      </c>
      <c r="AM714" s="4" t="str">
        <f aca="false">IF(AL714="","",IF(AL714&lt;=50,"Good",IF(AL714&lt;=100,"Satisfactory",IF(AL714&lt;=200,"Moderate",IF(AL714&lt;=300,"Poor",IF(AL714&lt;=400,"Very Poor","Severe"))))))</f>
        <v>Poor</v>
      </c>
    </row>
    <row r="715" customFormat="false" ht="15.75" hidden="false" customHeight="false" outlineLevel="0" collapsed="false">
      <c r="A715" s="1" t="s">
        <v>39</v>
      </c>
      <c r="B715" s="1" t="s">
        <v>40</v>
      </c>
      <c r="C715" s="1" t="n">
        <v>28.4595</v>
      </c>
      <c r="D715" s="1" t="n">
        <v>77.0266</v>
      </c>
      <c r="E715" s="5" t="n">
        <v>45930</v>
      </c>
      <c r="F715" s="6" t="s">
        <v>69</v>
      </c>
      <c r="G715" s="1" t="n">
        <v>9</v>
      </c>
      <c r="H715" s="7" t="s">
        <v>78</v>
      </c>
      <c r="I715" s="6" t="s">
        <v>43</v>
      </c>
      <c r="J715" s="7" t="s">
        <v>44</v>
      </c>
      <c r="K715" s="7" t="s">
        <v>65</v>
      </c>
      <c r="L715" s="1" t="n">
        <v>65</v>
      </c>
      <c r="M715" s="1" t="n">
        <v>23.9</v>
      </c>
      <c r="N715" s="1" t="n">
        <v>6.5</v>
      </c>
      <c r="O715" s="1" t="n">
        <v>0</v>
      </c>
      <c r="P715" s="6" t="s">
        <v>43</v>
      </c>
      <c r="Q715" s="6" t="s">
        <v>43</v>
      </c>
      <c r="R715" s="1" t="n">
        <v>1000.9</v>
      </c>
      <c r="S715" s="1" t="n">
        <v>100</v>
      </c>
      <c r="T715" s="1" t="n">
        <v>57</v>
      </c>
      <c r="U715" s="1" t="n">
        <v>166.2</v>
      </c>
      <c r="V715" s="1" t="n">
        <v>615</v>
      </c>
      <c r="W715" s="1" t="n">
        <v>37.9</v>
      </c>
      <c r="X715" s="1" t="n">
        <v>20</v>
      </c>
      <c r="Y715" s="1" t="n">
        <v>82</v>
      </c>
      <c r="Z715" s="1" t="n">
        <v>213</v>
      </c>
      <c r="AA715" s="1" t="n">
        <v>146</v>
      </c>
      <c r="AB715" s="7" t="s">
        <v>81</v>
      </c>
      <c r="AC715" s="7" t="s">
        <v>82</v>
      </c>
      <c r="AD715" s="7" t="s">
        <v>83</v>
      </c>
      <c r="AE715" s="7" t="s">
        <v>84</v>
      </c>
      <c r="AF715" s="4" t="n">
        <f aca="false">IF(T715="","",IF(T715&lt;=30,(50/30)*T715,IF(T715&lt;=60,50+((100-50)/(60-30))*(T715-30),IF(T715&lt;=90,100+((200-100)/(90-60))*(T715-60),IF(T715&lt;=120,200+((300-200)/(120-90))*(T715-90),IF(T715&lt;=250,300+((400-300)/(250-120))*(T715-120),IF(T715&lt;=380,400+((500-400)/(380-250))*(T715-250),500)))))))</f>
        <v>95</v>
      </c>
      <c r="AG715" s="4" t="n">
        <f aca="false">IF(U715="","",IF(U715&lt;=50,(50/50)*U715,IF(U715&lt;=100,50+((100-50)/(100-50))*(U715-50),IF(U715&lt;=250,100+((200-100)/(250-100))*(U715-100),IF(U715&lt;=350,200+((300-200)/(350-250))*(U715-250),IF(U715&lt;=430,300+((400-300)/(430-350))*(U715-350),IF(U715&lt;=600,400+((500-400)/(600-430))*(U715-430),500)))))))</f>
        <v>144.133333333333</v>
      </c>
      <c r="AH715" s="4" t="n">
        <f aca="false">IF(V715="","",IF((V715/1000)&lt;=1,(50/1)*(V715/1000),IF((V715/1000)&lt;=2,50+((100-50)/(2-1))*(V715/1000-1),IF((V715/1000)&lt;=10,100+((200-100)/(10-2))*(V715/1000-2),IF((V715/1000)&lt;=17,200+((300-200)/(17-10))*(V715/1000-10),IF((V715/1000)&lt;=34,300+((400-300)/(34-17))*(V715/1000-17),IF((V715/1000)&lt;=57,400+((500-400)/(57-34))*(V715/1000-34),500)))))))</f>
        <v>30.75</v>
      </c>
      <c r="AI715" s="4" t="n">
        <f aca="false">IF(W715="","",IF(W715&lt;=40,(50/40)*W715,IF(W715&lt;=80,50+((100-50)/(80-40))*(W715-40),IF(W715&lt;=180,100+((200-100)/(180-80))*(W715-80),IF(W715&lt;=280,200+((300-200)/(280-180))*(W715-180),IF(W715&lt;=400,300+((400-300)/(400-280))*(W715-280),IF(W715&lt;=800,400+((500-400)/(800-400))*(W715-400),500)))))))</f>
        <v>47.375</v>
      </c>
      <c r="AJ715" s="4" t="n">
        <f aca="false">IF(X715="","",IF(X715&lt;=40,(50/40)*X715,IF(X715&lt;=80,50+((100-50)/(80-40))*(X715-40),IF(X715&lt;=380,100+((200-100)/(380-80))*(X715-80),IF(X715&lt;=800,200+((300-200)/(800-380))*(X715-380),IF(X715&lt;=1600,300+((400-300)/(1600-800))*(X715-800),IF(X715&lt;=2100,400+((500-400)/(2100-1600))*(X715-1600),500)))))))</f>
        <v>25</v>
      </c>
      <c r="AK715" s="4" t="n">
        <f aca="false">IF(Y715="","",IF(Y715&lt;=50,(50/50)*Y715,IF(Y715&lt;=100,50+((100-50)/(100-50))*(Y715-50),IF(Y715&lt;=168,100+((200-100)/(168-100))*(Y715-100),IF(Y715&lt;=208,200+((300-200)/(208-168))*(Y715-168),IF(Y715&lt;=748,300+((400-300)/(748-208))*(Y715-208),IF(Y715&lt;=1000,400+((500-400)/(1000-748))*(Y715-748),500)))))))</f>
        <v>82</v>
      </c>
      <c r="AL715" s="4" t="n">
        <f aca="false">ROUND(MAX(AF715,AG715,AH715,AI715,AJ715,AK715),0)</f>
        <v>144</v>
      </c>
      <c r="AM715" s="4" t="str">
        <f aca="false">IF(AL715="","",IF(AL715&lt;=50,"Good",IF(AL715&lt;=100,"Satisfactory",IF(AL715&lt;=200,"Moderate",IF(AL715&lt;=300,"Poor",IF(AL715&lt;=400,"Very Poor","Severe"))))))</f>
        <v>Moderate</v>
      </c>
    </row>
    <row r="716" customFormat="false" ht="15.75" hidden="false" customHeight="false" outlineLevel="0" collapsed="false">
      <c r="A716" s="1" t="s">
        <v>39</v>
      </c>
      <c r="B716" s="1" t="s">
        <v>40</v>
      </c>
      <c r="C716" s="1" t="n">
        <v>28.4595</v>
      </c>
      <c r="D716" s="1" t="n">
        <v>77.0266</v>
      </c>
      <c r="E716" s="5" t="n">
        <v>45930</v>
      </c>
      <c r="F716" s="6" t="s">
        <v>70</v>
      </c>
      <c r="G716" s="1" t="n">
        <v>9</v>
      </c>
      <c r="H716" s="7" t="s">
        <v>78</v>
      </c>
      <c r="I716" s="6" t="s">
        <v>43</v>
      </c>
      <c r="J716" s="7" t="s">
        <v>44</v>
      </c>
      <c r="K716" s="7" t="s">
        <v>71</v>
      </c>
      <c r="L716" s="1" t="n">
        <v>73</v>
      </c>
      <c r="M716" s="1" t="n">
        <v>24.4</v>
      </c>
      <c r="N716" s="1" t="n">
        <v>7.2</v>
      </c>
      <c r="O716" s="1" t="n">
        <v>0</v>
      </c>
      <c r="P716" s="6" t="s">
        <v>43</v>
      </c>
      <c r="Q716" s="6" t="s">
        <v>43</v>
      </c>
      <c r="R716" s="1" t="n">
        <v>1001.4</v>
      </c>
      <c r="S716" s="1" t="n">
        <v>94</v>
      </c>
      <c r="T716" s="1" t="n">
        <v>50.8</v>
      </c>
      <c r="U716" s="1" t="n">
        <v>129.9</v>
      </c>
      <c r="V716" s="1" t="n">
        <v>1177</v>
      </c>
      <c r="W716" s="1" t="n">
        <v>35.2</v>
      </c>
      <c r="X716" s="1" t="n">
        <v>18.7</v>
      </c>
      <c r="Y716" s="1" t="n">
        <v>77</v>
      </c>
      <c r="Z716" s="1" t="n">
        <v>184</v>
      </c>
      <c r="AA716" s="1" t="n">
        <v>145</v>
      </c>
      <c r="AB716" s="7" t="s">
        <v>81</v>
      </c>
      <c r="AC716" s="7" t="s">
        <v>82</v>
      </c>
      <c r="AD716" s="7" t="s">
        <v>83</v>
      </c>
      <c r="AE716" s="7" t="s">
        <v>84</v>
      </c>
      <c r="AF716" s="4" t="n">
        <f aca="false">IF(T716="","",IF(T716&lt;=30,(50/30)*T716,IF(T716&lt;=60,50+((100-50)/(60-30))*(T716-30),IF(T716&lt;=90,100+((200-100)/(90-60))*(T716-60),IF(T716&lt;=120,200+((300-200)/(120-90))*(T716-90),IF(T716&lt;=250,300+((400-300)/(250-120))*(T716-120),IF(T716&lt;=380,400+((500-400)/(380-250))*(T716-250),500)))))))</f>
        <v>84.6666666666667</v>
      </c>
      <c r="AG716" s="4" t="n">
        <f aca="false">IF(U716="","",IF(U716&lt;=50,(50/50)*U716,IF(U716&lt;=100,50+((100-50)/(100-50))*(U716-50),IF(U716&lt;=250,100+((200-100)/(250-100))*(U716-100),IF(U716&lt;=350,200+((300-200)/(350-250))*(U716-250),IF(U716&lt;=430,300+((400-300)/(430-350))*(U716-350),IF(U716&lt;=600,400+((500-400)/(600-430))*(U716-430),500)))))))</f>
        <v>119.933333333333</v>
      </c>
      <c r="AH716" s="4" t="n">
        <f aca="false">IF(V716="","",IF((V716/1000)&lt;=1,(50/1)*(V716/1000),IF((V716/1000)&lt;=2,50+((100-50)/(2-1))*(V716/1000-1),IF((V716/1000)&lt;=10,100+((200-100)/(10-2))*(V716/1000-2),IF((V716/1000)&lt;=17,200+((300-200)/(17-10))*(V716/1000-10),IF((V716/1000)&lt;=34,300+((400-300)/(34-17))*(V716/1000-17),IF((V716/1000)&lt;=57,400+((500-400)/(57-34))*(V716/1000-34),500)))))))</f>
        <v>58.85</v>
      </c>
      <c r="AI716" s="4" t="n">
        <f aca="false">IF(W716="","",IF(W716&lt;=40,(50/40)*W716,IF(W716&lt;=80,50+((100-50)/(80-40))*(W716-40),IF(W716&lt;=180,100+((200-100)/(180-80))*(W716-80),IF(W716&lt;=280,200+((300-200)/(280-180))*(W716-180),IF(W716&lt;=400,300+((400-300)/(400-280))*(W716-280),IF(W716&lt;=800,400+((500-400)/(800-400))*(W716-400),500)))))))</f>
        <v>44</v>
      </c>
      <c r="AJ716" s="4" t="n">
        <f aca="false">IF(X716="","",IF(X716&lt;=40,(50/40)*X716,IF(X716&lt;=80,50+((100-50)/(80-40))*(X716-40),IF(X716&lt;=380,100+((200-100)/(380-80))*(X716-80),IF(X716&lt;=800,200+((300-200)/(800-380))*(X716-380),IF(X716&lt;=1600,300+((400-300)/(1600-800))*(X716-800),IF(X716&lt;=2100,400+((500-400)/(2100-1600))*(X716-1600),500)))))))</f>
        <v>23.375</v>
      </c>
      <c r="AK716" s="4" t="n">
        <f aca="false">IF(Y716="","",IF(Y716&lt;=50,(50/50)*Y716,IF(Y716&lt;=100,50+((100-50)/(100-50))*(Y716-50),IF(Y716&lt;=168,100+((200-100)/(168-100))*(Y716-100),IF(Y716&lt;=208,200+((300-200)/(208-168))*(Y716-168),IF(Y716&lt;=748,300+((400-300)/(748-208))*(Y716-208),IF(Y716&lt;=1000,400+((500-400)/(1000-748))*(Y716-748),500)))))))</f>
        <v>77</v>
      </c>
      <c r="AL716" s="4" t="n">
        <f aca="false">ROUND(MAX(AF716,AG716,AH716,AI716,AJ716,AK716),0)</f>
        <v>120</v>
      </c>
      <c r="AM716" s="4" t="str">
        <f aca="false">IF(AL716="","",IF(AL716&lt;=50,"Good",IF(AL716&lt;=100,"Satisfactory",IF(AL716&lt;=200,"Moderate",IF(AL716&lt;=300,"Poor",IF(AL716&lt;=400,"Very Poor","Severe"))))))</f>
        <v>Moderate</v>
      </c>
    </row>
    <row r="717" customFormat="false" ht="15.75" hidden="false" customHeight="false" outlineLevel="0" collapsed="false">
      <c r="A717" s="1" t="s">
        <v>39</v>
      </c>
      <c r="B717" s="1" t="s">
        <v>40</v>
      </c>
      <c r="C717" s="1" t="n">
        <v>28.4595</v>
      </c>
      <c r="D717" s="1" t="n">
        <v>77.0266</v>
      </c>
      <c r="E717" s="5" t="n">
        <v>45930</v>
      </c>
      <c r="F717" s="6" t="s">
        <v>72</v>
      </c>
      <c r="G717" s="1" t="n">
        <v>9</v>
      </c>
      <c r="H717" s="7" t="s">
        <v>78</v>
      </c>
      <c r="I717" s="6" t="s">
        <v>43</v>
      </c>
      <c r="J717" s="7" t="s">
        <v>44</v>
      </c>
      <c r="K717" s="7" t="s">
        <v>71</v>
      </c>
      <c r="L717" s="1" t="n">
        <v>79</v>
      </c>
      <c r="M717" s="1" t="n">
        <v>25</v>
      </c>
      <c r="N717" s="1" t="n">
        <v>6.5</v>
      </c>
      <c r="O717" s="1" t="n">
        <v>0</v>
      </c>
      <c r="P717" s="6" t="s">
        <v>43</v>
      </c>
      <c r="Q717" s="6" t="s">
        <v>43</v>
      </c>
      <c r="R717" s="1" t="n">
        <v>1002.1</v>
      </c>
      <c r="S717" s="1" t="n">
        <v>100</v>
      </c>
      <c r="T717" s="1" t="n">
        <v>47.5</v>
      </c>
      <c r="U717" s="1" t="n">
        <v>115.9</v>
      </c>
      <c r="V717" s="1" t="n">
        <v>1911</v>
      </c>
      <c r="W717" s="1" t="n">
        <v>31.5</v>
      </c>
      <c r="X717" s="1" t="n">
        <v>16.8</v>
      </c>
      <c r="Y717" s="1" t="n">
        <v>70</v>
      </c>
      <c r="Z717" s="1" t="n">
        <v>143</v>
      </c>
      <c r="AA717" s="1" t="n">
        <v>136</v>
      </c>
      <c r="AB717" s="7" t="s">
        <v>81</v>
      </c>
      <c r="AC717" s="7" t="s">
        <v>82</v>
      </c>
      <c r="AD717" s="7" t="s">
        <v>83</v>
      </c>
      <c r="AE717" s="7" t="s">
        <v>84</v>
      </c>
      <c r="AF717" s="4" t="n">
        <f aca="false">IF(T717="","",IF(T717&lt;=30,(50/30)*T717,IF(T717&lt;=60,50+((100-50)/(60-30))*(T717-30),IF(T717&lt;=90,100+((200-100)/(90-60))*(T717-60),IF(T717&lt;=120,200+((300-200)/(120-90))*(T717-90),IF(T717&lt;=250,300+((400-300)/(250-120))*(T717-120),IF(T717&lt;=380,400+((500-400)/(380-250))*(T717-250),500)))))))</f>
        <v>79.1666666666667</v>
      </c>
      <c r="AG717" s="4" t="n">
        <f aca="false">IF(U717="","",IF(U717&lt;=50,(50/50)*U717,IF(U717&lt;=100,50+((100-50)/(100-50))*(U717-50),IF(U717&lt;=250,100+((200-100)/(250-100))*(U717-100),IF(U717&lt;=350,200+((300-200)/(350-250))*(U717-250),IF(U717&lt;=430,300+((400-300)/(430-350))*(U717-350),IF(U717&lt;=600,400+((500-400)/(600-430))*(U717-430),500)))))))</f>
        <v>110.6</v>
      </c>
      <c r="AH717" s="4" t="n">
        <f aca="false">IF(V717="","",IF((V717/1000)&lt;=1,(50/1)*(V717/1000),IF((V717/1000)&lt;=2,50+((100-50)/(2-1))*(V717/1000-1),IF((V717/1000)&lt;=10,100+((200-100)/(10-2))*(V717/1000-2),IF((V717/1000)&lt;=17,200+((300-200)/(17-10))*(V717/1000-10),IF((V717/1000)&lt;=34,300+((400-300)/(34-17))*(V717/1000-17),IF((V717/1000)&lt;=57,400+((500-400)/(57-34))*(V717/1000-34),500)))))))</f>
        <v>95.55</v>
      </c>
      <c r="AI717" s="4" t="n">
        <f aca="false">IF(W717="","",IF(W717&lt;=40,(50/40)*W717,IF(W717&lt;=80,50+((100-50)/(80-40))*(W717-40),IF(W717&lt;=180,100+((200-100)/(180-80))*(W717-80),IF(W717&lt;=280,200+((300-200)/(280-180))*(W717-180),IF(W717&lt;=400,300+((400-300)/(400-280))*(W717-280),IF(W717&lt;=800,400+((500-400)/(800-400))*(W717-400),500)))))))</f>
        <v>39.375</v>
      </c>
      <c r="AJ717" s="4" t="n">
        <f aca="false">IF(X717="","",IF(X717&lt;=40,(50/40)*X717,IF(X717&lt;=80,50+((100-50)/(80-40))*(X717-40),IF(X717&lt;=380,100+((200-100)/(380-80))*(X717-80),IF(X717&lt;=800,200+((300-200)/(800-380))*(X717-380),IF(X717&lt;=1600,300+((400-300)/(1600-800))*(X717-800),IF(X717&lt;=2100,400+((500-400)/(2100-1600))*(X717-1600),500)))))))</f>
        <v>21</v>
      </c>
      <c r="AK717" s="4" t="n">
        <f aca="false">IF(Y717="","",IF(Y717&lt;=50,(50/50)*Y717,IF(Y717&lt;=100,50+((100-50)/(100-50))*(Y717-50),IF(Y717&lt;=168,100+((200-100)/(168-100))*(Y717-100),IF(Y717&lt;=208,200+((300-200)/(208-168))*(Y717-168),IF(Y717&lt;=748,300+((400-300)/(748-208))*(Y717-208),IF(Y717&lt;=1000,400+((500-400)/(1000-748))*(Y717-748),500)))))))</f>
        <v>70</v>
      </c>
      <c r="AL717" s="4" t="n">
        <f aca="false">ROUND(MAX(AF717,AG717,AH717,AI717,AJ717,AK717),0)</f>
        <v>111</v>
      </c>
      <c r="AM717" s="4" t="str">
        <f aca="false">IF(AL717="","",IF(AL717&lt;=50,"Good",IF(AL717&lt;=100,"Satisfactory",IF(AL717&lt;=200,"Moderate",IF(AL717&lt;=300,"Poor",IF(AL717&lt;=400,"Very Poor","Severe"))))))</f>
        <v>Moderate</v>
      </c>
    </row>
    <row r="718" customFormat="false" ht="15.75" hidden="false" customHeight="false" outlineLevel="0" collapsed="false">
      <c r="A718" s="1" t="s">
        <v>39</v>
      </c>
      <c r="B718" s="1" t="s">
        <v>40</v>
      </c>
      <c r="C718" s="1" t="n">
        <v>28.4595</v>
      </c>
      <c r="D718" s="1" t="n">
        <v>77.0266</v>
      </c>
      <c r="E718" s="5" t="n">
        <v>45930</v>
      </c>
      <c r="F718" s="6" t="s">
        <v>73</v>
      </c>
      <c r="G718" s="1" t="n">
        <v>9</v>
      </c>
      <c r="H718" s="7" t="s">
        <v>78</v>
      </c>
      <c r="I718" s="6" t="s">
        <v>43</v>
      </c>
      <c r="J718" s="7" t="s">
        <v>44</v>
      </c>
      <c r="K718" s="7" t="s">
        <v>71</v>
      </c>
      <c r="L718" s="1" t="n">
        <v>81</v>
      </c>
      <c r="M718" s="1" t="n">
        <v>24.7</v>
      </c>
      <c r="N718" s="1" t="n">
        <v>5.8</v>
      </c>
      <c r="O718" s="1" t="n">
        <v>0</v>
      </c>
      <c r="P718" s="6" t="s">
        <v>43</v>
      </c>
      <c r="Q718" s="6" t="s">
        <v>43</v>
      </c>
      <c r="R718" s="1" t="n">
        <v>1002.7</v>
      </c>
      <c r="S718" s="1" t="n">
        <v>81</v>
      </c>
      <c r="T718" s="1" t="n">
        <v>44.4</v>
      </c>
      <c r="U718" s="1" t="n">
        <v>99.7</v>
      </c>
      <c r="V718" s="1" t="n">
        <v>2324</v>
      </c>
      <c r="W718" s="1" t="n">
        <v>29</v>
      </c>
      <c r="X718" s="1" t="n">
        <v>15.4</v>
      </c>
      <c r="Y718" s="1" t="n">
        <v>63</v>
      </c>
      <c r="Z718" s="1" t="n">
        <v>107</v>
      </c>
      <c r="AA718" s="1" t="n">
        <v>119</v>
      </c>
      <c r="AB718" s="7" t="s">
        <v>81</v>
      </c>
      <c r="AC718" s="7" t="s">
        <v>82</v>
      </c>
      <c r="AD718" s="7" t="s">
        <v>83</v>
      </c>
      <c r="AE718" s="7" t="s">
        <v>84</v>
      </c>
      <c r="AF718" s="4" t="n">
        <f aca="false">IF(T718="","",IF(T718&lt;=30,(50/30)*T718,IF(T718&lt;=60,50+((100-50)/(60-30))*(T718-30),IF(T718&lt;=90,100+((200-100)/(90-60))*(T718-60),IF(T718&lt;=120,200+((300-200)/(120-90))*(T718-90),IF(T718&lt;=250,300+((400-300)/(250-120))*(T718-120),IF(T718&lt;=380,400+((500-400)/(380-250))*(T718-250),500)))))))</f>
        <v>74</v>
      </c>
      <c r="AG718" s="4" t="n">
        <f aca="false">IF(U718="","",IF(U718&lt;=50,(50/50)*U718,IF(U718&lt;=100,50+((100-50)/(100-50))*(U718-50),IF(U718&lt;=250,100+((200-100)/(250-100))*(U718-100),IF(U718&lt;=350,200+((300-200)/(350-250))*(U718-250),IF(U718&lt;=430,300+((400-300)/(430-350))*(U718-350),IF(U718&lt;=600,400+((500-400)/(600-430))*(U718-430),500)))))))</f>
        <v>99.7</v>
      </c>
      <c r="AH718" s="4" t="n">
        <f aca="false">IF(V718="","",IF((V718/1000)&lt;=1,(50/1)*(V718/1000),IF((V718/1000)&lt;=2,50+((100-50)/(2-1))*(V718/1000-1),IF((V718/1000)&lt;=10,100+((200-100)/(10-2))*(V718/1000-2),IF((V718/1000)&lt;=17,200+((300-200)/(17-10))*(V718/1000-10),IF((V718/1000)&lt;=34,300+((400-300)/(34-17))*(V718/1000-17),IF((V718/1000)&lt;=57,400+((500-400)/(57-34))*(V718/1000-34),500)))))))</f>
        <v>104.05</v>
      </c>
      <c r="AI718" s="4" t="n">
        <f aca="false">IF(W718="","",IF(W718&lt;=40,(50/40)*W718,IF(W718&lt;=80,50+((100-50)/(80-40))*(W718-40),IF(W718&lt;=180,100+((200-100)/(180-80))*(W718-80),IF(W718&lt;=280,200+((300-200)/(280-180))*(W718-180),IF(W718&lt;=400,300+((400-300)/(400-280))*(W718-280),IF(W718&lt;=800,400+((500-400)/(800-400))*(W718-400),500)))))))</f>
        <v>36.25</v>
      </c>
      <c r="AJ718" s="4" t="n">
        <f aca="false">IF(X718="","",IF(X718&lt;=40,(50/40)*X718,IF(X718&lt;=80,50+((100-50)/(80-40))*(X718-40),IF(X718&lt;=380,100+((200-100)/(380-80))*(X718-80),IF(X718&lt;=800,200+((300-200)/(800-380))*(X718-380),IF(X718&lt;=1600,300+((400-300)/(1600-800))*(X718-800),IF(X718&lt;=2100,400+((500-400)/(2100-1600))*(X718-1600),500)))))))</f>
        <v>19.25</v>
      </c>
      <c r="AK718" s="4" t="n">
        <f aca="false">IF(Y718="","",IF(Y718&lt;=50,(50/50)*Y718,IF(Y718&lt;=100,50+((100-50)/(100-50))*(Y718-50),IF(Y718&lt;=168,100+((200-100)/(168-100))*(Y718-100),IF(Y718&lt;=208,200+((300-200)/(208-168))*(Y718-168),IF(Y718&lt;=748,300+((400-300)/(748-208))*(Y718-208),IF(Y718&lt;=1000,400+((500-400)/(1000-748))*(Y718-748),500)))))))</f>
        <v>63</v>
      </c>
      <c r="AL718" s="4" t="n">
        <f aca="false">ROUND(MAX(AF718,AG718,AH718,AI718,AJ718,AK718),0)</f>
        <v>104</v>
      </c>
      <c r="AM718" s="4" t="str">
        <f aca="false">IF(AL718="","",IF(AL718&lt;=50,"Good",IF(AL718&lt;=100,"Satisfactory",IF(AL718&lt;=200,"Moderate",IF(AL718&lt;=300,"Poor",IF(AL718&lt;=400,"Very Poor","Severe"))))))</f>
        <v>Moderate</v>
      </c>
    </row>
    <row r="719" customFormat="false" ht="15.75" hidden="false" customHeight="false" outlineLevel="0" collapsed="false">
      <c r="A719" s="1" t="s">
        <v>39</v>
      </c>
      <c r="B719" s="1" t="s">
        <v>40</v>
      </c>
      <c r="C719" s="1" t="n">
        <v>28.4595</v>
      </c>
      <c r="D719" s="1" t="n">
        <v>77.0266</v>
      </c>
      <c r="E719" s="5" t="n">
        <v>45930</v>
      </c>
      <c r="F719" s="6" t="s">
        <v>74</v>
      </c>
      <c r="G719" s="1" t="n">
        <v>9</v>
      </c>
      <c r="H719" s="7" t="s">
        <v>78</v>
      </c>
      <c r="I719" s="6" t="s">
        <v>43</v>
      </c>
      <c r="J719" s="7" t="s">
        <v>44</v>
      </c>
      <c r="K719" s="7" t="s">
        <v>75</v>
      </c>
      <c r="L719" s="1" t="n">
        <v>83</v>
      </c>
      <c r="M719" s="1" t="n">
        <v>24.6</v>
      </c>
      <c r="N719" s="1" t="n">
        <v>7.9</v>
      </c>
      <c r="O719" s="1" t="n">
        <v>0</v>
      </c>
      <c r="P719" s="6" t="s">
        <v>43</v>
      </c>
      <c r="Q719" s="6" t="s">
        <v>43</v>
      </c>
      <c r="R719" s="1" t="n">
        <v>1003.2</v>
      </c>
      <c r="S719" s="1" t="n">
        <v>64</v>
      </c>
      <c r="T719" s="1" t="n">
        <v>41.9</v>
      </c>
      <c r="U719" s="1" t="n">
        <v>83.4</v>
      </c>
      <c r="V719" s="1" t="n">
        <v>2129</v>
      </c>
      <c r="W719" s="1" t="n">
        <v>29.1</v>
      </c>
      <c r="X719" s="1" t="n">
        <v>14.8</v>
      </c>
      <c r="Y719" s="1" t="n">
        <v>58</v>
      </c>
      <c r="Z719" s="1" t="n">
        <v>81</v>
      </c>
      <c r="AA719" s="1" t="n">
        <v>111</v>
      </c>
      <c r="AB719" s="7" t="s">
        <v>81</v>
      </c>
      <c r="AC719" s="7" t="s">
        <v>82</v>
      </c>
      <c r="AD719" s="7" t="s">
        <v>83</v>
      </c>
      <c r="AE719" s="7" t="s">
        <v>84</v>
      </c>
      <c r="AF719" s="4" t="n">
        <f aca="false">IF(T719="","",IF(T719&lt;=30,(50/30)*T719,IF(T719&lt;=60,50+((100-50)/(60-30))*(T719-30),IF(T719&lt;=90,100+((200-100)/(90-60))*(T719-60),IF(T719&lt;=120,200+((300-200)/(120-90))*(T719-90),IF(T719&lt;=250,300+((400-300)/(250-120))*(T719-120),IF(T719&lt;=380,400+((500-400)/(380-250))*(T719-250),500)))))))</f>
        <v>69.8333333333333</v>
      </c>
      <c r="AG719" s="4" t="n">
        <f aca="false">IF(U719="","",IF(U719&lt;=50,(50/50)*U719,IF(U719&lt;=100,50+((100-50)/(100-50))*(U719-50),IF(U719&lt;=250,100+((200-100)/(250-100))*(U719-100),IF(U719&lt;=350,200+((300-200)/(350-250))*(U719-250),IF(U719&lt;=430,300+((400-300)/(430-350))*(U719-350),IF(U719&lt;=600,400+((500-400)/(600-430))*(U719-430),500)))))))</f>
        <v>83.4</v>
      </c>
      <c r="AH719" s="4" t="n">
        <f aca="false">IF(V719="","",IF((V719/1000)&lt;=1,(50/1)*(V719/1000),IF((V719/1000)&lt;=2,50+((100-50)/(2-1))*(V719/1000-1),IF((V719/1000)&lt;=10,100+((200-100)/(10-2))*(V719/1000-2),IF((V719/1000)&lt;=17,200+((300-200)/(17-10))*(V719/1000-10),IF((V719/1000)&lt;=34,300+((400-300)/(34-17))*(V719/1000-17),IF((V719/1000)&lt;=57,400+((500-400)/(57-34))*(V719/1000-34),500)))))))</f>
        <v>101.6125</v>
      </c>
      <c r="AI719" s="4" t="n">
        <f aca="false">IF(W719="","",IF(W719&lt;=40,(50/40)*W719,IF(W719&lt;=80,50+((100-50)/(80-40))*(W719-40),IF(W719&lt;=180,100+((200-100)/(180-80))*(W719-80),IF(W719&lt;=280,200+((300-200)/(280-180))*(W719-180),IF(W719&lt;=400,300+((400-300)/(400-280))*(W719-280),IF(W719&lt;=800,400+((500-400)/(800-400))*(W719-400),500)))))))</f>
        <v>36.375</v>
      </c>
      <c r="AJ719" s="4" t="n">
        <f aca="false">IF(X719="","",IF(X719&lt;=40,(50/40)*X719,IF(X719&lt;=80,50+((100-50)/(80-40))*(X719-40),IF(X719&lt;=380,100+((200-100)/(380-80))*(X719-80),IF(X719&lt;=800,200+((300-200)/(800-380))*(X719-380),IF(X719&lt;=1600,300+((400-300)/(1600-800))*(X719-800),IF(X719&lt;=2100,400+((500-400)/(2100-1600))*(X719-1600),500)))))))</f>
        <v>18.5</v>
      </c>
      <c r="AK719" s="4" t="n">
        <f aca="false">IF(Y719="","",IF(Y719&lt;=50,(50/50)*Y719,IF(Y719&lt;=100,50+((100-50)/(100-50))*(Y719-50),IF(Y719&lt;=168,100+((200-100)/(168-100))*(Y719-100),IF(Y719&lt;=208,200+((300-200)/(208-168))*(Y719-168),IF(Y719&lt;=748,300+((400-300)/(748-208))*(Y719-208),IF(Y719&lt;=1000,400+((500-400)/(1000-748))*(Y719-748),500)))))))</f>
        <v>58</v>
      </c>
      <c r="AL719" s="4" t="n">
        <f aca="false">ROUND(MAX(AF719,AG719,AH719,AI719,AJ719,AK719),0)</f>
        <v>102</v>
      </c>
      <c r="AM719" s="4" t="str">
        <f aca="false">IF(AL719="","",IF(AL719&lt;=50,"Good",IF(AL719&lt;=100,"Satisfactory",IF(AL719&lt;=200,"Moderate",IF(AL719&lt;=300,"Poor",IF(AL719&lt;=400,"Very Poor","Severe"))))))</f>
        <v>Moderate</v>
      </c>
    </row>
    <row r="720" customFormat="false" ht="15.75" hidden="false" customHeight="false" outlineLevel="0" collapsed="false">
      <c r="A720" s="1" t="s">
        <v>39</v>
      </c>
      <c r="B720" s="1" t="s">
        <v>40</v>
      </c>
      <c r="C720" s="1" t="n">
        <v>28.4595</v>
      </c>
      <c r="D720" s="1" t="n">
        <v>77.0266</v>
      </c>
      <c r="E720" s="5" t="n">
        <v>45930</v>
      </c>
      <c r="F720" s="6" t="s">
        <v>76</v>
      </c>
      <c r="G720" s="1" t="n">
        <v>9</v>
      </c>
      <c r="H720" s="7" t="s">
        <v>78</v>
      </c>
      <c r="I720" s="6" t="s">
        <v>43</v>
      </c>
      <c r="J720" s="7" t="s">
        <v>44</v>
      </c>
      <c r="K720" s="7" t="s">
        <v>75</v>
      </c>
      <c r="L720" s="1" t="n">
        <v>82</v>
      </c>
      <c r="M720" s="1" t="n">
        <v>24.1</v>
      </c>
      <c r="N720" s="1" t="n">
        <v>11.5</v>
      </c>
      <c r="O720" s="1" t="n">
        <v>0</v>
      </c>
      <c r="P720" s="6" t="s">
        <v>43</v>
      </c>
      <c r="Q720" s="6" t="s">
        <v>43</v>
      </c>
      <c r="R720" s="1" t="n">
        <v>1003.5</v>
      </c>
      <c r="S720" s="1" t="n">
        <v>65</v>
      </c>
      <c r="T720" s="1" t="n">
        <v>39.6</v>
      </c>
      <c r="U720" s="1" t="n">
        <v>68.9</v>
      </c>
      <c r="V720" s="1" t="n">
        <v>1614</v>
      </c>
      <c r="W720" s="1" t="n">
        <v>30.4</v>
      </c>
      <c r="X720" s="1" t="n">
        <v>14.5</v>
      </c>
      <c r="Y720" s="1" t="n">
        <v>53</v>
      </c>
      <c r="Z720" s="1" t="n">
        <v>59</v>
      </c>
      <c r="AA720" s="1" t="n">
        <v>110</v>
      </c>
      <c r="AB720" s="7" t="s">
        <v>81</v>
      </c>
      <c r="AC720" s="7" t="s">
        <v>82</v>
      </c>
      <c r="AD720" s="7" t="s">
        <v>83</v>
      </c>
      <c r="AE720" s="7" t="s">
        <v>84</v>
      </c>
      <c r="AF720" s="4" t="n">
        <f aca="false">IF(T720="","",IF(T720&lt;=30,(50/30)*T720,IF(T720&lt;=60,50+((100-50)/(60-30))*(T720-30),IF(T720&lt;=90,100+((200-100)/(90-60))*(T720-60),IF(T720&lt;=120,200+((300-200)/(120-90))*(T720-90),IF(T720&lt;=250,300+((400-300)/(250-120))*(T720-120),IF(T720&lt;=380,400+((500-400)/(380-250))*(T720-250),500)))))))</f>
        <v>66</v>
      </c>
      <c r="AG720" s="4" t="n">
        <f aca="false">IF(U720="","",IF(U720&lt;=50,(50/50)*U720,IF(U720&lt;=100,50+((100-50)/(100-50))*(U720-50),IF(U720&lt;=250,100+((200-100)/(250-100))*(U720-100),IF(U720&lt;=350,200+((300-200)/(350-250))*(U720-250),IF(U720&lt;=430,300+((400-300)/(430-350))*(U720-350),IF(U720&lt;=600,400+((500-400)/(600-430))*(U720-430),500)))))))</f>
        <v>68.9</v>
      </c>
      <c r="AH720" s="4" t="n">
        <f aca="false">IF(V720="","",IF((V720/1000)&lt;=1,(50/1)*(V720/1000),IF((V720/1000)&lt;=2,50+((100-50)/(2-1))*(V720/1000-1),IF((V720/1000)&lt;=10,100+((200-100)/(10-2))*(V720/1000-2),IF((V720/1000)&lt;=17,200+((300-200)/(17-10))*(V720/1000-10),IF((V720/1000)&lt;=34,300+((400-300)/(34-17))*(V720/1000-17),IF((V720/1000)&lt;=57,400+((500-400)/(57-34))*(V720/1000-34),500)))))))</f>
        <v>80.7</v>
      </c>
      <c r="AI720" s="4" t="n">
        <f aca="false">IF(W720="","",IF(W720&lt;=40,(50/40)*W720,IF(W720&lt;=80,50+((100-50)/(80-40))*(W720-40),IF(W720&lt;=180,100+((200-100)/(180-80))*(W720-80),IF(W720&lt;=280,200+((300-200)/(280-180))*(W720-180),IF(W720&lt;=400,300+((400-300)/(400-280))*(W720-280),IF(W720&lt;=800,400+((500-400)/(800-400))*(W720-400),500)))))))</f>
        <v>38</v>
      </c>
      <c r="AJ720" s="4" t="n">
        <f aca="false">IF(X720="","",IF(X720&lt;=40,(50/40)*X720,IF(X720&lt;=80,50+((100-50)/(80-40))*(X720-40),IF(X720&lt;=380,100+((200-100)/(380-80))*(X720-80),IF(X720&lt;=800,200+((300-200)/(800-380))*(X720-380),IF(X720&lt;=1600,300+((400-300)/(1600-800))*(X720-800),IF(X720&lt;=2100,400+((500-400)/(2100-1600))*(X720-1600),500)))))))</f>
        <v>18.125</v>
      </c>
      <c r="AK720" s="4" t="n">
        <f aca="false">IF(Y720="","",IF(Y720&lt;=50,(50/50)*Y720,IF(Y720&lt;=100,50+((100-50)/(100-50))*(Y720-50),IF(Y720&lt;=168,100+((200-100)/(168-100))*(Y720-100),IF(Y720&lt;=208,200+((300-200)/(208-168))*(Y720-168),IF(Y720&lt;=748,300+((400-300)/(748-208))*(Y720-208),IF(Y720&lt;=1000,400+((500-400)/(1000-748))*(Y720-748),500)))))))</f>
        <v>53</v>
      </c>
      <c r="AL720" s="4" t="n">
        <f aca="false">ROUND(MAX(AF720,AG720,AH720,AI720,AJ720,AK720),0)</f>
        <v>81</v>
      </c>
      <c r="AM720" s="4" t="str">
        <f aca="false">IF(AL720="","",IF(AL720&lt;=50,"Good",IF(AL720&lt;=100,"Satisfactory",IF(AL720&lt;=200,"Moderate",IF(AL720&lt;=300,"Poor",IF(AL720&lt;=400,"Very Poor","Severe"))))))</f>
        <v>Satisfactory</v>
      </c>
    </row>
    <row r="721" customFormat="false" ht="15.75" hidden="false" customHeight="false" outlineLevel="0" collapsed="false">
      <c r="A721" s="1" t="s">
        <v>39</v>
      </c>
      <c r="B721" s="1" t="s">
        <v>40</v>
      </c>
      <c r="C721" s="1" t="n">
        <v>28.4595</v>
      </c>
      <c r="D721" s="1" t="n">
        <v>77.0266</v>
      </c>
      <c r="E721" s="5" t="n">
        <v>45930</v>
      </c>
      <c r="F721" s="6" t="s">
        <v>77</v>
      </c>
      <c r="G721" s="1" t="n">
        <v>9</v>
      </c>
      <c r="H721" s="7" t="s">
        <v>78</v>
      </c>
      <c r="I721" s="6" t="s">
        <v>43</v>
      </c>
      <c r="J721" s="7" t="s">
        <v>44</v>
      </c>
      <c r="K721" s="7" t="s">
        <v>75</v>
      </c>
      <c r="L721" s="1" t="n">
        <v>80</v>
      </c>
      <c r="M721" s="1" t="n">
        <v>23.6</v>
      </c>
      <c r="N721" s="1" t="n">
        <v>11.9</v>
      </c>
      <c r="O721" s="1" t="n">
        <v>0</v>
      </c>
      <c r="P721" s="6" t="s">
        <v>43</v>
      </c>
      <c r="Q721" s="6" t="s">
        <v>43</v>
      </c>
      <c r="R721" s="1" t="n">
        <v>1003.4</v>
      </c>
      <c r="S721" s="1" t="n">
        <v>87</v>
      </c>
      <c r="T721" s="1" t="n">
        <v>37.4</v>
      </c>
      <c r="U721" s="1" t="n">
        <v>60.3</v>
      </c>
      <c r="V721" s="1" t="n">
        <v>1153</v>
      </c>
      <c r="W721" s="1" t="n">
        <v>31.4</v>
      </c>
      <c r="X721" s="1" t="n">
        <v>14.3</v>
      </c>
      <c r="Y721" s="1" t="n">
        <v>49</v>
      </c>
      <c r="Z721" s="1" t="n">
        <v>44</v>
      </c>
      <c r="AA721" s="1" t="n">
        <v>108</v>
      </c>
      <c r="AB721" s="7" t="s">
        <v>81</v>
      </c>
      <c r="AC721" s="7" t="s">
        <v>82</v>
      </c>
      <c r="AD721" s="7" t="s">
        <v>83</v>
      </c>
      <c r="AE721" s="7" t="s">
        <v>84</v>
      </c>
      <c r="AF721" s="4" t="n">
        <f aca="false">IF(T721="","",IF(T721&lt;=30,(50/30)*T721,IF(T721&lt;=60,50+((100-50)/(60-30))*(T721-30),IF(T721&lt;=90,100+((200-100)/(90-60))*(T721-60),IF(T721&lt;=120,200+((300-200)/(120-90))*(T721-90),IF(T721&lt;=250,300+((400-300)/(250-120))*(T721-120),IF(T721&lt;=380,400+((500-400)/(380-250))*(T721-250),500)))))))</f>
        <v>62.3333333333333</v>
      </c>
      <c r="AG721" s="4" t="n">
        <f aca="false">IF(U721="","",IF(U721&lt;=50,(50/50)*U721,IF(U721&lt;=100,50+((100-50)/(100-50))*(U721-50),IF(U721&lt;=250,100+((200-100)/(250-100))*(U721-100),IF(U721&lt;=350,200+((300-200)/(350-250))*(U721-250),IF(U721&lt;=430,300+((400-300)/(430-350))*(U721-350),IF(U721&lt;=600,400+((500-400)/(600-430))*(U721-430),500)))))))</f>
        <v>60.3</v>
      </c>
      <c r="AH721" s="4" t="n">
        <f aca="false">IF(V721="","",IF((V721/1000)&lt;=1,(50/1)*(V721/1000),IF((V721/1000)&lt;=2,50+((100-50)/(2-1))*(V721/1000-1),IF((V721/1000)&lt;=10,100+((200-100)/(10-2))*(V721/1000-2),IF((V721/1000)&lt;=17,200+((300-200)/(17-10))*(V721/1000-10),IF((V721/1000)&lt;=34,300+((400-300)/(34-17))*(V721/1000-17),IF((V721/1000)&lt;=57,400+((500-400)/(57-34))*(V721/1000-34),500)))))))</f>
        <v>57.65</v>
      </c>
      <c r="AI721" s="4" t="n">
        <f aca="false">IF(W721="","",IF(W721&lt;=40,(50/40)*W721,IF(W721&lt;=80,50+((100-50)/(80-40))*(W721-40),IF(W721&lt;=180,100+((200-100)/(180-80))*(W721-80),IF(W721&lt;=280,200+((300-200)/(280-180))*(W721-180),IF(W721&lt;=400,300+((400-300)/(400-280))*(W721-280),IF(W721&lt;=800,400+((500-400)/(800-400))*(W721-400),500)))))))</f>
        <v>39.25</v>
      </c>
      <c r="AJ721" s="4" t="n">
        <f aca="false">IF(X721="","",IF(X721&lt;=40,(50/40)*X721,IF(X721&lt;=80,50+((100-50)/(80-40))*(X721-40),IF(X721&lt;=380,100+((200-100)/(380-80))*(X721-80),IF(X721&lt;=800,200+((300-200)/(800-380))*(X721-380),IF(X721&lt;=1600,300+((400-300)/(1600-800))*(X721-800),IF(X721&lt;=2100,400+((500-400)/(2100-1600))*(X721-1600),500)))))))</f>
        <v>17.875</v>
      </c>
      <c r="AK721" s="4" t="n">
        <f aca="false">IF(Y721="","",IF(Y721&lt;=50,(50/50)*Y721,IF(Y721&lt;=100,50+((100-50)/(100-50))*(Y721-50),IF(Y721&lt;=168,100+((200-100)/(168-100))*(Y721-100),IF(Y721&lt;=208,200+((300-200)/(208-168))*(Y721-168),IF(Y721&lt;=748,300+((400-300)/(748-208))*(Y721-208),IF(Y721&lt;=1000,400+((500-400)/(1000-748))*(Y721-748),500)))))))</f>
        <v>49</v>
      </c>
      <c r="AL721" s="4" t="n">
        <f aca="false">ROUND(MAX(AF721,AG721,AH721,AI721,AJ721,AK721),0)</f>
        <v>62</v>
      </c>
      <c r="AM721" s="4" t="str">
        <f aca="false">IF(AL721="","",IF(AL721&lt;=50,"Good",IF(AL721&lt;=100,"Satisfactory",IF(AL721&lt;=200,"Moderate",IF(AL721&lt;=300,"Poor",IF(AL721&lt;=400,"Very Poor","Severe"))))))</f>
        <v>Satisfactory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2026-03-30T03:33:22Z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